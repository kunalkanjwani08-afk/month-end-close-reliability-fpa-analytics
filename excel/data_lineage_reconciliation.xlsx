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s" sheetId="2" state="visible" r:id="rId4"/>
    <sheet name="Waterfall" sheetId="3" state="visible" r:id="rId5"/>
    <sheet name="Gap_16352" sheetId="4" state="visible" r:id="rId6"/>
    <sheet name="Excl_pl_actual" sheetId="5" state="visible" r:id="rId7"/>
    <sheet name="Excl_pl_variance" sheetId="6" state="visible" r:id="rId8"/>
    <sheet name="Excl_bs_actual" sheetId="7" state="visible" r:id="rId9"/>
    <sheet name="Raw_preservation" sheetId="8" state="visible" r:id="rId10"/>
    <sheet name="Amount_formats" sheetId="9" state="visible" r:id="rId11"/>
  </sheets>
  <definedNames>
    <definedName function="false" hidden="true" localSheetId="8" name="_xlnm._FilterDatabase" vbProcedure="false">Amount_formats!$A$3:$F$10</definedName>
    <definedName function="false" hidden="true" localSheetId="1" name="_xlnm._FilterDatabase" vbProcedure="false">Checks!$A$3:$M$118</definedName>
    <definedName function="false" hidden="true" localSheetId="6" name="_xlnm._FilterDatabase" vbProcedure="false">Excl_bs_actual!$A$3:$B$11</definedName>
    <definedName function="false" hidden="true" localSheetId="4" name="_xlnm._FilterDatabase" vbProcedure="false">Excl_pl_actual!$A$3:$B$11</definedName>
    <definedName function="false" hidden="true" localSheetId="5" name="_xlnm._FilterDatabase" vbProcedure="false">Excl_pl_variance!$A$3:$B$11</definedName>
    <definedName function="false" hidden="true" localSheetId="3" name="_xlnm._FilterDatabase" vbProcedure="false">Gap_16352!$A$3:$D$10</definedName>
    <definedName function="false" hidden="true" localSheetId="7" name="_xlnm._FilterDatabase" vbProcedure="false">Raw_preservation!$A$3:$D$46</definedName>
    <definedName function="false" hidden="true" localSheetId="2" name="_xlnm._FilterDatabase" vbProcedure="false">Waterfall!$A$3:$E$24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<sst xmlns="http://schemas.openxmlformats.org/spreadsheetml/2006/main" count="764" uniqueCount="452">
  <si>
    <t xml:space="preserve">Data lineage and record-count reconciliation - independent validation</t>
  </si>
  <si>
    <t xml:space="preserve">Counts are live formulas over the 'Checks' sheet (COUNTIF on the status column). INFO rows are observations, not tests.</t>
  </si>
  <si>
    <t xml:space="preserve">Status</t>
  </si>
  <si>
    <t xml:space="preserve">Checks</t>
  </si>
  <si>
    <t xml:space="preserve">PASS</t>
  </si>
  <si>
    <t xml:space="preserve">FAIL</t>
  </si>
  <si>
    <t xml:space="preserve">BLOCKED</t>
  </si>
  <si>
    <t xml:space="preserve">NOT TESTED</t>
  </si>
  <si>
    <t xml:space="preserve">INFO</t>
  </si>
  <si>
    <t xml:space="preserve">Total</t>
  </si>
  <si>
    <t xml:space="preserve">Lineage checks (independent re-derivation from the raw file)</t>
  </si>
  <si>
    <t xml:space="preserve">id</t>
  </si>
  <si>
    <t xml:space="preserve">area</t>
  </si>
  <si>
    <t xml:space="preserve">check</t>
  </si>
  <si>
    <t xml:space="preserve">population</t>
  </si>
  <si>
    <t xml:space="preserve">definition</t>
  </si>
  <si>
    <t xml:space="preserve">expected</t>
  </si>
  <si>
    <t xml:space="preserve">actual</t>
  </si>
  <si>
    <t xml:space="preserve">abs_diff</t>
  </si>
  <si>
    <t xml:space="preserve">rel_diff</t>
  </si>
  <si>
    <t xml:space="preserve">tolerance</t>
  </si>
  <si>
    <t xml:space="preserve">status</t>
  </si>
  <si>
    <t xml:space="preserve">explanation / evidence note</t>
  </si>
  <si>
    <t xml:space="preserve">evidence</t>
  </si>
  <si>
    <t xml:space="preserve">Recheck |diff| (formula)</t>
  </si>
  <si>
    <t xml:space="preserve">Recheck status (formula)</t>
  </si>
  <si>
    <t xml:space="preserve">L00</t>
  </si>
  <si>
    <t xml:space="preserve">Data lineage &amp; record reconciliation</t>
  </si>
  <si>
    <t xml:space="preserve">Raw CSV SHA-256 equals approved hash</t>
  </si>
  <si>
    <t xml:space="preserve">approved a0e6eddde25280aa27a60c5955743d3243b14138d876eedac0547e24a1cc6fff</t>
  </si>
  <si>
    <t xml:space="preserve">L01</t>
  </si>
  <si>
    <t xml:space="preserve">Cleaned CSV SHA-256 equals approved hash</t>
  </si>
  <si>
    <t xml:space="preserve">approved c184b677bacc6f23086e3b5eedd71836643cb75064e428a1ebfee4c075fa9b47</t>
  </si>
  <si>
    <t xml:space="preserve">L02</t>
  </si>
  <si>
    <t xml:space="preserve">Raw rows</t>
  </si>
  <si>
    <t xml:space="preserve">data rows excl. header</t>
  </si>
  <si>
    <t xml:space="preserve">L03</t>
  </si>
  <si>
    <t xml:space="preserve">Raw columns</t>
  </si>
  <si>
    <t xml:space="preserve">L04</t>
  </si>
  <si>
    <t xml:space="preserve">Cleaned rows</t>
  </si>
  <si>
    <t xml:space="preserve">L05</t>
  </si>
  <si>
    <t xml:space="preserve">Cleaned columns</t>
  </si>
  <si>
    <t xml:space="preserve">L06</t>
  </si>
  <si>
    <t xml:space="preserve">Raw row_id unique</t>
  </si>
  <si>
    <t xml:space="preserve">L07</t>
  </si>
  <si>
    <t xml:space="preserve">Cleaned row_id unique</t>
  </si>
  <si>
    <t xml:space="preserve">L08</t>
  </si>
  <si>
    <t xml:space="preserve">Raw row_id set == cleaned row_id set (no row lost or added)</t>
  </si>
  <si>
    <t xml:space="preserve">symmetric difference of the two id sets</t>
  </si>
  <si>
    <t xml:space="preserve">L09</t>
  </si>
  <si>
    <t xml:space="preserve">source_row_number = raw file line (row order preserved, 2..152683)</t>
  </si>
  <si>
    <t xml:space="preserve">L10</t>
  </si>
  <si>
    <t xml:space="preserve">row_id at the same position in raw and cleaned</t>
  </si>
  <si>
    <t xml:space="preserve">L11</t>
  </si>
  <si>
    <t xml:space="preserve">Exact duplicate rows in raw (all 43 columns)</t>
  </si>
  <si>
    <t xml:space="preserve">0 means no fully identical raw records; duplicate CANDIDATES are a separate, unresolved topic</t>
  </si>
  <si>
    <t xml:space="preserve">L12</t>
  </si>
  <si>
    <t xml:space="preserve">Cleaned columns that are entirely blank</t>
  </si>
  <si>
    <t xml:space="preserve">L13.row_id</t>
  </si>
  <si>
    <t xml:space="preserve">Raw value preserved byte-for-byte: row_id -&gt; row_id</t>
  </si>
  <si>
    <t xml:space="preserve">L13.extract_batch</t>
  </si>
  <si>
    <t xml:space="preserve">Raw value preserved byte-for-byte: extract_batch -&gt; extract_batch_raw</t>
  </si>
  <si>
    <t xml:space="preserve">L13.fiscal_year</t>
  </si>
  <si>
    <t xml:space="preserve">Raw value preserved byte-for-byte: fiscal_year -&gt; fiscal_year_raw</t>
  </si>
  <si>
    <t xml:space="preserve">L13.fiscal_period</t>
  </si>
  <si>
    <t xml:space="preserve">Raw value preserved byte-for-byte: fiscal_period -&gt; fiscal_period_raw</t>
  </si>
  <si>
    <t xml:space="preserve">L13.legal_entity</t>
  </si>
  <si>
    <t xml:space="preserve">Raw value preserved byte-for-byte: legal_entity -&gt; legal_entity_raw</t>
  </si>
  <si>
    <t xml:space="preserve">L13.entity_code</t>
  </si>
  <si>
    <t xml:space="preserve">Raw value preserved byte-for-byte: entity_code -&gt; entity_code_raw</t>
  </si>
  <si>
    <t xml:space="preserve">L13.gl_account</t>
  </si>
  <si>
    <t xml:space="preserve">Raw value preserved byte-for-byte: gl_account -&gt; gl_account_raw</t>
  </si>
  <si>
    <t xml:space="preserve">L13.currency</t>
  </si>
  <si>
    <t xml:space="preserve">Raw value preserved byte-for-byte: currency -&gt; currency_raw</t>
  </si>
  <si>
    <t xml:space="preserve">L13.amount_local_raw</t>
  </si>
  <si>
    <t xml:space="preserve">Raw value preserved byte-for-byte: amount_local_raw -&gt; amount_local_raw</t>
  </si>
  <si>
    <t xml:space="preserve">L13.fx_rate_raw</t>
  </si>
  <si>
    <t xml:space="preserve">Raw value preserved byte-for-byte: fx_rate_raw -&gt; fx_rate_raw</t>
  </si>
  <si>
    <t xml:space="preserve">L13.actual_usd_raw</t>
  </si>
  <si>
    <t xml:space="preserve">Raw value preserved byte-for-byte: actual_usd_raw -&gt; actual_usd_raw</t>
  </si>
  <si>
    <t xml:space="preserve">L13.budget_usd_raw</t>
  </si>
  <si>
    <t xml:space="preserve">Raw value preserved byte-for-byte: budget_usd_raw -&gt; budget_usd_raw</t>
  </si>
  <si>
    <t xml:space="preserve">L13.forecast_usd_raw</t>
  </si>
  <si>
    <t xml:space="preserve">Raw value preserved byte-for-byte: forecast_usd_raw -&gt; forecast_usd_raw</t>
  </si>
  <si>
    <t xml:space="preserve">L13.prior_year_usd_raw</t>
  </si>
  <si>
    <t xml:space="preserve">Raw value preserved byte-for-byte: prior_year_usd_raw -&gt; prior_year_usd_raw</t>
  </si>
  <si>
    <t xml:space="preserve">L13.qty_raw</t>
  </si>
  <si>
    <t xml:space="preserve">Raw value preserved byte-for-byte: qty_raw -&gt; qty_raw</t>
  </si>
  <si>
    <t xml:space="preserve">L13.headcount_fte_raw</t>
  </si>
  <si>
    <t xml:space="preserve">Raw value preserved byte-for-byte: headcount_fte_raw -&gt; headcount_fte_raw</t>
  </si>
  <si>
    <t xml:space="preserve">L13.document_no</t>
  </si>
  <si>
    <t xml:space="preserve">Raw value preserved byte-for-byte: document_no -&gt; document_no</t>
  </si>
  <si>
    <t xml:space="preserve">L13.posting_date</t>
  </si>
  <si>
    <t xml:space="preserve">Raw value preserved byte-for-byte: posting_date -&gt; posting_date_raw</t>
  </si>
  <si>
    <t xml:space="preserve">L13.report_scale</t>
  </si>
  <si>
    <t xml:space="preserve">Raw value preserved byte-for-byte: report_scale -&gt; report_scale_raw</t>
  </si>
  <si>
    <t xml:space="preserve">L14</t>
  </si>
  <si>
    <t xml:space="preserve">Cleaned (normalised) columns: rows whose value differs from raw</t>
  </si>
  <si>
    <t xml:space="preserve">source_system:2038; division:49554; country:0; region:6180; cost_center_code:7405; cost_center_name:7307; cost_center_owner:0; account_name:9004; account_group:3681; fs_line:3747; statement:121962; cost_nature:4510; product_family:0; customer_segment:0; channel:5733; uom:3689; user_id:18689; line_text:21902; intercompany:102625; accrual:7922; elimination_status:30000; scenario_tag:0; approval_status:22072; notes:0</t>
  </si>
  <si>
    <t xml:space="preserve">evidence/work/raw_preservation.csv</t>
  </si>
  <si>
    <t xml:space="preserve">L20.amount_local</t>
  </si>
  <si>
    <t xml:space="preserve">Independent raw parse of amount_local: missing/placeholder agreement</t>
  </si>
  <si>
    <r>
      <rPr>
        <sz val="10"/>
        <rFont val="Arial"/>
        <family val="0"/>
        <charset val="1"/>
      </rPr>
      <t xml:space="preserve">placeholders ###, </t>
    </r>
    <r>
      <rPr>
        <sz val="10"/>
        <rFont val="Noto Sans CJK SC"/>
        <family val="2"/>
      </rPr>
      <t xml:space="preserve">＃</t>
    </r>
    <r>
      <rPr>
        <sz val="10"/>
        <rFont val="Arial"/>
        <family val="0"/>
        <charset val="1"/>
      </rPr>
      <t xml:space="preserve">N/A, NA, N/A, n/a, null, -, blank -&gt; missing</t>
    </r>
  </si>
  <si>
    <t xml:space="preserve">L21.amount_local</t>
  </si>
  <si>
    <t xml:space="preserve">Independent raw parse of amount_local: value agreement (|diff| &lt;= 1e-9)</t>
  </si>
  <si>
    <t xml:space="preserve">US 1,234.56 / EU 1.234,56 / decimal comma 54,78 / thousands comma 4,579 / ($) / parentheses negative</t>
  </si>
  <si>
    <t xml:space="preserve">L22.amount_local</t>
  </si>
  <si>
    <t xml:space="preserve">Ambiguous 'n,nnn' strings in amount_local read as thousands (not 3-dp decimal comma)</t>
  </si>
  <si>
    <t xml:space="preserve">Same reading as the cleaner. The alternative reading would shrink each value 1000x; no field in the data can settle it. Accepted limitation (disclosed).</t>
  </si>
  <si>
    <t xml:space="preserve">L20.actual_usd</t>
  </si>
  <si>
    <t xml:space="preserve">Independent raw parse of actual_usd: missing/placeholder agreement</t>
  </si>
  <si>
    <t xml:space="preserve">L21.actual_usd</t>
  </si>
  <si>
    <t xml:space="preserve">Independent raw parse of actual_usd: value agreement (|diff| &lt;= 1e-9)</t>
  </si>
  <si>
    <t xml:space="preserve">L22.actual_usd</t>
  </si>
  <si>
    <t xml:space="preserve">Ambiguous 'n,nnn' strings in actual_usd read as thousands (not 3-dp decimal comma)</t>
  </si>
  <si>
    <t xml:space="preserve">L20.budget_usd</t>
  </si>
  <si>
    <t xml:space="preserve">Independent raw parse of budget_usd: missing/placeholder agreement</t>
  </si>
  <si>
    <t xml:space="preserve">L21.budget_usd</t>
  </si>
  <si>
    <t xml:space="preserve">Independent raw parse of budget_usd: value agreement (|diff| &lt;= 1e-9)</t>
  </si>
  <si>
    <t xml:space="preserve">L22.budget_usd</t>
  </si>
  <si>
    <t xml:space="preserve">Ambiguous 'n,nnn' strings in budget_usd read as thousands (not 3-dp decimal comma)</t>
  </si>
  <si>
    <t xml:space="preserve">L20.forecast_usd</t>
  </si>
  <si>
    <t xml:space="preserve">Independent raw parse of forecast_usd: missing/placeholder agreement</t>
  </si>
  <si>
    <t xml:space="preserve">L21.forecast_usd</t>
  </si>
  <si>
    <t xml:space="preserve">Independent raw parse of forecast_usd: value agreement (|diff| &lt;= 1e-9)</t>
  </si>
  <si>
    <t xml:space="preserve">L22.forecast_usd</t>
  </si>
  <si>
    <t xml:space="preserve">Ambiguous 'n,nnn' strings in forecast_usd read as thousands (not 3-dp decimal comma)</t>
  </si>
  <si>
    <t xml:space="preserve">L20.prior_year_usd</t>
  </si>
  <si>
    <t xml:space="preserve">Independent raw parse of prior_year_usd: missing/placeholder agreement</t>
  </si>
  <si>
    <t xml:space="preserve">L21.prior_year_usd</t>
  </si>
  <si>
    <t xml:space="preserve">Independent raw parse of prior_year_usd: value agreement (|diff| &lt;= 1e-9)</t>
  </si>
  <si>
    <t xml:space="preserve">L22.prior_year_usd</t>
  </si>
  <si>
    <t xml:space="preserve">Ambiguous 'n,nnn' strings in prior_year_usd read as thousands (not 3-dp decimal comma)</t>
  </si>
  <si>
    <t xml:space="preserve">L30</t>
  </si>
  <si>
    <t xml:space="preserve">scale_factor_applied consistent with scale_decision (1 / 1e3 / 1e5; blank otherwise)</t>
  </si>
  <si>
    <t xml:space="preserve">L31.actual_usd</t>
  </si>
  <si>
    <t xml:space="preserve">actual_usd_adj == independently parsed raw x scale factor</t>
  </si>
  <si>
    <t xml:space="preserve">rows with a scale decision; undetermined/non-posting rows must be blank</t>
  </si>
  <si>
    <t xml:space="preserve">L31.budget_usd</t>
  </si>
  <si>
    <t xml:space="preserve">budget_usd_adj == independently parsed raw x scale factor</t>
  </si>
  <si>
    <t xml:space="preserve">L31.forecast_usd</t>
  </si>
  <si>
    <t xml:space="preserve">forecast_usd_adj == independently parsed raw x scale factor</t>
  </si>
  <si>
    <t xml:space="preserve">L31.prior_year_usd</t>
  </si>
  <si>
    <t xml:space="preserve">prior_year_usd_adj == independently parsed raw x scale factor</t>
  </si>
  <si>
    <t xml:space="preserve">L31.amount_local</t>
  </si>
  <si>
    <t xml:space="preserve">amount_local_adj == independently parsed raw x scale factor</t>
  </si>
  <si>
    <t xml:space="preserve">L32</t>
  </si>
  <si>
    <t xml:space="preserve">Scale-restored rows (all 152,682 rows)</t>
  </si>
  <si>
    <t xml:space="preserve">previously reported 6,265</t>
  </si>
  <si>
    <t xml:space="preserve">L33</t>
  </si>
  <si>
    <t xml:space="preserve">Restored rows with HIGH confidence</t>
  </si>
  <si>
    <t xml:space="preserve">L34</t>
  </si>
  <si>
    <t xml:space="preserve">Restored rows with MEDIUM confidence</t>
  </si>
  <si>
    <t xml:space="preserve">L35</t>
  </si>
  <si>
    <t xml:space="preserve">Undetermined-scale rows</t>
  </si>
  <si>
    <t xml:space="preserve">L36</t>
  </si>
  <si>
    <t xml:space="preserve">Restorations by raw report_scale label</t>
  </si>
  <si>
    <t xml:space="preserve">{"DIVIDED_1E3": {"Lakhs": 0, "Thousands": 5326}, "DIVIDED_1E5": {"Lakhs": 939, "Thousands": 0}}</t>
  </si>
  <si>
    <t xml:space="preserve">L40</t>
  </si>
  <si>
    <t xml:space="preserve">Every raw statement label maps to P&amp;L or BS by the explicit list</t>
  </si>
  <si>
    <t xml:space="preserve">L41</t>
  </si>
  <si>
    <t xml:space="preserve">Cleaned statement agrees with independent mapping</t>
  </si>
  <si>
    <t xml:space="preserve">L42</t>
  </si>
  <si>
    <t xml:space="preserve">Non-posting rows (notes = 'subtotal row')</t>
  </si>
  <si>
    <t xml:space="preserve">L43</t>
  </si>
  <si>
    <t xml:space="preserve">Cleaned is_posting_row agrees with notes rule</t>
  </si>
  <si>
    <t xml:space="preserve">L44</t>
  </si>
  <si>
    <t xml:space="preserve">Raw legal_entity values of blank-code rows (independent view)</t>
  </si>
  <si>
    <t xml:space="preserve">{"do not use": 23, "xxx": 21, "test entity": 16, "": 16}</t>
  </si>
  <si>
    <t xml:space="preserve">L45</t>
  </si>
  <si>
    <t xml:space="preserve">Junk-entity rows (code T999/99 or name TEST ENTITY/Do not use/xxx)</t>
  </si>
  <si>
    <t xml:space="preserve">L46</t>
  </si>
  <si>
    <t xml:space="preserve">Cleaned entity_code agrees with independent resolution on resolvable rows</t>
  </si>
  <si>
    <t xml:space="preserve">L47.pl_actual</t>
  </si>
  <si>
    <t xml:space="preserve">Independent primary exclusion reason == excl_PL_actual (row by row)</t>
  </si>
  <si>
    <t xml:space="preserve">precedence 1 non-posting, 2 junk, 3 entity, 4 statement, 5 status, 6 period, 7 amount, 8 scale</t>
  </si>
  <si>
    <t xml:space="preserve">L48.pl_actual</t>
  </si>
  <si>
    <t xml:space="preserve">pl_actual: eligible + all exclusions = 152,682</t>
  </si>
  <si>
    <t xml:space="preserve">L49.pl_actual</t>
  </si>
  <si>
    <t xml:space="preserve">eligible_PL_actual flag == (reason == ELIGIBLE)</t>
  </si>
  <si>
    <t xml:space="preserve">L47.pl_variance</t>
  </si>
  <si>
    <t xml:space="preserve">Independent primary exclusion reason == excl_PL_variance (row by row)</t>
  </si>
  <si>
    <t xml:space="preserve">L48.pl_variance</t>
  </si>
  <si>
    <t xml:space="preserve">pl_variance: eligible + all exclusions = 152,682</t>
  </si>
  <si>
    <t xml:space="preserve">L49.pl_variance</t>
  </si>
  <si>
    <t xml:space="preserve">eligible_PL_variance flag == (reason == ELIGIBLE)</t>
  </si>
  <si>
    <t xml:space="preserve">L47.bs_actual</t>
  </si>
  <si>
    <t xml:space="preserve">Independent primary exclusion reason == excl_BS_actual (row by row)</t>
  </si>
  <si>
    <t xml:space="preserve">L48.bs_actual</t>
  </si>
  <si>
    <t xml:space="preserve">bs_actual: eligible + all exclusions = 152,682</t>
  </si>
  <si>
    <t xml:space="preserve">L49.bs_actual</t>
  </si>
  <si>
    <t xml:space="preserve">eligible_BS_actual flag == (reason == ELIGIBLE)</t>
  </si>
  <si>
    <t xml:space="preserve">P01</t>
  </si>
  <si>
    <t xml:space="preserve">Posted eligible P&amp;L lines (dashboard main population)</t>
  </si>
  <si>
    <t xml:space="preserve">P02</t>
  </si>
  <si>
    <t xml:space="preserve">Non-Posted lines passing steps 1-4 and 6-8 (dashboard diagnostic population, documented definition)</t>
  </si>
  <si>
    <t xml:space="preserve">P03</t>
  </si>
  <si>
    <t xml:space="preserve">Posted eligible + non-Posted diagnostic</t>
  </si>
  <si>
    <t xml:space="preserve">P04</t>
  </si>
  <si>
    <t xml:space="preserve">Rows in cleaned file but in neither dashboard population</t>
  </si>
  <si>
    <t xml:space="preserve">P05</t>
  </si>
  <si>
    <t xml:space="preserve">Gap rows with no explaining rule (UNEXPLAINED)</t>
  </si>
  <si>
    <t xml:space="preserve">evidence/work/gap_16352_breakdown.csv</t>
  </si>
  <si>
    <t xml:space="preserve">P06</t>
  </si>
  <si>
    <t xml:space="preserve">16,352 gap decomposition (reason x status)</t>
  </si>
  <si>
    <t xml:space="preserve">{"Posted":{"1_NON_POSTING_ROW":147,"2_JUNK_ENTITY":90,"3_ENTITY_UNRESOLVABLE":7,"4_OUT_OF_SCOPE_STATEMENT (Balance Sheet)":3136,"7_AMOUNT_MISSING (actual)":3637,"8_SCALE_UNDECIDABLE":24,"All":7041},"non-Posted":{"1_NON_POSTING_ROW":203,"2_JUNK_ENTITY":114,"3_ENTITY_UNRESOLVABLE":9,"4_OUT_OF_SCOPE_STATEMENT (Balance Sheet)":3989,"7_AMOUNT_MISSING (actual)":4958,"8_SCALE_UNDECIDABLE":38,"All":9311},"All":{"1_NON_POSTING_ROW":350,"2_JUNK_ENTITY":204,"3_ENTITY_UNRESOLVABLE":16,"4_OUT_OF_SCOPE_STATEMENT (Balance Sheet)":7125,"7_AMOUNT_MISSING (actual)":8595,"8_SCALE_UNDECIDABLE":62,"All":16352}}</t>
  </si>
  <si>
    <t xml:space="preserve">P07</t>
  </si>
  <si>
    <t xml:space="preserve">Restored rows in Posted eligible population</t>
  </si>
  <si>
    <t xml:space="preserve">P08</t>
  </si>
  <si>
    <t xml:space="preserve">Restored rows in non-Posted diagnostic population</t>
  </si>
  <si>
    <t xml:space="preserve">P09</t>
  </si>
  <si>
    <t xml:space="preserve">Non-Posted diagnostic by status</t>
  </si>
  <si>
    <t xml:space="preserve">{"Pending": 19777, "Rejected": 19467, "(blank)": 19444, "Parked": 19302}</t>
  </si>
  <si>
    <t xml:space="preserve">P10</t>
  </si>
  <si>
    <t xml:space="preserve">Dashboard Posted payload row set == independent Posted eligible set</t>
  </si>
  <si>
    <t xml:space="preserve">symmetric difference of source_row_number sets</t>
  </si>
  <si>
    <t xml:space="preserve">P11</t>
  </si>
  <si>
    <t xml:space="preserve">Dashboard non-Posted payload row set == independent non-Posted diagnostic set</t>
  </si>
  <si>
    <t xml:space="preserve">P12</t>
  </si>
  <si>
    <t xml:space="preserve">Posted and non-Posted payload sets do not overlap</t>
  </si>
  <si>
    <t xml:space="preserve">P13</t>
  </si>
  <si>
    <t xml:space="preserve">Payload Posted actual (scale-adjusted) == independent parse x factor, max |diff|</t>
  </si>
  <si>
    <t xml:space="preserve">P14</t>
  </si>
  <si>
    <t xml:space="preserve">Payload non-Posted actual == independent, max |diff|</t>
  </si>
  <si>
    <t xml:space="preserve">P15.b</t>
  </si>
  <si>
    <t xml:space="preserve">Payload budget_usd presence and value == independent (missing mismatches)</t>
  </si>
  <si>
    <t xml:space="preserve">max |diff| 7.275957614183426e-12</t>
  </si>
  <si>
    <t xml:space="preserve">P15.f</t>
  </si>
  <si>
    <t xml:space="preserve">Payload forecast_usd presence and value == independent (missing mismatches)</t>
  </si>
  <si>
    <t xml:space="preserve">max |diff| 1.4551915228366852e-11</t>
  </si>
  <si>
    <t xml:space="preserve">P15.p</t>
  </si>
  <si>
    <t xml:space="preserve">Payload prior_year_usd presence and value == independent (missing mismatches)</t>
  </si>
  <si>
    <t xml:space="preserve">P16</t>
  </si>
  <si>
    <t xml:space="preserve">Payload non-Posted status label == raw approval_status (row by row)</t>
  </si>
  <si>
    <t xml:space="preserve">P17</t>
  </si>
  <si>
    <t xml:space="preserve">Payload restored marker count (Posted)</t>
  </si>
  <si>
    <t xml:space="preserve">P18</t>
  </si>
  <si>
    <t xml:space="preserve">Payload meta as embedded</t>
  </si>
  <si>
    <t xml:space="preserve">{"csv_sha256": "c184b677bacc6f23086e3b5eedd71836643cb75064e428a1ebfee4c075fa9b47", "raw_sha256": "a0e6eddde25280aa27a60c5955743d3243b14138d876eedac0547e24a1cc6fff", "db_sha256": "00e7437697c8e11baab5d2cff7036d6dda3d251a139774adee0a2dfe92c413e6", "xlsx_sha256": "71e23dca9e0bbce3295223188c296cd3bd5ff51759825487bae049705375f561", "rows_total_source": 152682, "rows_pl_eligible": 58340, "rows_budget": 55043, "rows_any_status": 136330, "rows_nonposted": 77990, "p5_manifest_keys": ["formula_cells", "generated_at_utc", "generator", "generator_sha256", "generator_warnings", "inputs", "notes", "qa", "reconciliation", "sheets", "version", "workbook", "workbook_bytes", "workbook_sha256"]}</t>
  </si>
  <si>
    <t xml:space="preserve">W99</t>
  </si>
  <si>
    <t xml:space="preserve">Waterfall: 152,682 - exclusions = 58,340</t>
  </si>
  <si>
    <t xml:space="preserve">L50.1_NON_POSTING_ROW</t>
  </si>
  <si>
    <t xml:space="preserve">SQL i9 waterfall rows for 1_NON_POSTING_ROW == independent</t>
  </si>
  <si>
    <t xml:space="preserve">L50.2_JUNK_ENTITY</t>
  </si>
  <si>
    <t xml:space="preserve">SQL i9 waterfall rows for 2_JUNK_ENTITY == independent</t>
  </si>
  <si>
    <t xml:space="preserve">L50.3_ENTITY_UNRESOLVABLE</t>
  </si>
  <si>
    <t xml:space="preserve">SQL i9 waterfall rows for 3_ENTITY_UNRESOLVABLE == independent</t>
  </si>
  <si>
    <t xml:space="preserve">L50.4_OUT_OF_SCOPE_STATEMENT</t>
  </si>
  <si>
    <t xml:space="preserve">SQL i9 waterfall rows for 4_OUT_OF_SCOPE_STATEMENT == independent</t>
  </si>
  <si>
    <t xml:space="preserve">L50.5_STATUS_NOT_ELIGIBLE</t>
  </si>
  <si>
    <t xml:space="preserve">SQL i9 waterfall rows for 5_STATUS_NOT_ELIGIBLE == independent</t>
  </si>
  <si>
    <t xml:space="preserve">L50.7_AMOUNT_MISSING</t>
  </si>
  <si>
    <t xml:space="preserve">SQL i9 waterfall rows for 7_AMOUNT_MISSING == independent</t>
  </si>
  <si>
    <t xml:space="preserve">L50.8_SCALE_UNDECIDABLE</t>
  </si>
  <si>
    <t xml:space="preserve">SQL i9 waterfall rows for 8_SCALE_UNDECIDABLE == independent</t>
  </si>
  <si>
    <t xml:space="preserve">L50.ELIGIBLE</t>
  </si>
  <si>
    <t xml:space="preserve">SQL i9 waterfall rows for ELIGIBLE == independent</t>
  </si>
  <si>
    <t xml:space="preserve">D01</t>
  </si>
  <si>
    <t xml:space="preserve">Posted eligible: missing entity / division / GL / period</t>
  </si>
  <si>
    <t xml:space="preserve">D02</t>
  </si>
  <si>
    <t xml:space="preserve">Posted eligible: period_ym within 2023-01..2025-12</t>
  </si>
  <si>
    <t xml:space="preserve">D03</t>
  </si>
  <si>
    <t xml:space="preserve">GL account -&gt; account_group mapping is 1:1 (posting rows)</t>
  </si>
  <si>
    <t xml:space="preserve">D04</t>
  </si>
  <si>
    <t xml:space="preserve">Posted eligible rows with blank cost centre</t>
  </si>
  <si>
    <t xml:space="preserve">D05</t>
  </si>
  <si>
    <t xml:space="preserve">Posted eligible rows that are duplicate candidates (retained, not deleted)</t>
  </si>
  <si>
    <t xml:space="preserve">{"UNIQUE_DOCUMENT_NO": 55420, "GROUP_ANCHOR": 2322, "DUP_CANDIDATE_FIELD_MATCH_SAME_SIGN": 363, "DUP_CANDIDATE_FIELD_MATCH_SIGN_CONFLICT": 235} | note: flag_dup_candidate marks only CANDIDATE_COPY_PARTIAL_AGREEMENT (11 rows); field-match tiers have their own flags</t>
  </si>
  <si>
    <t xml:space="preserve">D06</t>
  </si>
  <si>
    <t xml:space="preserve">Sign-conflict duplicate candidates (all rows)</t>
  </si>
  <si>
    <t xml:space="preserve">D07</t>
  </si>
  <si>
    <t xml:space="preserve">Duplicate-candidate rows deleted by cleaning (raw rows with a candidate tier missing from cleaned)</t>
  </si>
  <si>
    <t xml:space="preserve">cleaned rows = raw rows (L08): 3,930 candidate rows all retained</t>
  </si>
  <si>
    <t xml:space="preserve">D08</t>
  </si>
  <si>
    <t xml:space="preserve">Raw FX rate = 0 rows</t>
  </si>
  <si>
    <t xml:space="preserve">D08b</t>
  </si>
  <si>
    <t xml:space="preserve">flag_fx_zero = raw zero rate on POSTING rows (non-posting zero rows not flagged by design)</t>
  </si>
  <si>
    <t xml:space="preserve">2,517 raw zeros = 2,510 posting + 7 non-posting rows; FX is not used to derive any reported USD amount</t>
  </si>
  <si>
    <t xml:space="preserve">L23</t>
  </si>
  <si>
    <t xml:space="preserve">Ambiguous 'n,nnn' actuals: rows fitting a 3-dp decimal reading via local/FX (must be 0)</t>
  </si>
  <si>
    <t xml:space="preserve">7,563 testable rows; 6,940 fit the thousands reading within 2% or 1 USD, 0 fit the decimal reading. Evidence supports the cleaner's thousands interpretation.</t>
  </si>
  <si>
    <t xml:space="preserve">D09</t>
  </si>
  <si>
    <t xml:space="preserve">Infinite values in adjusted amounts (eligible)</t>
  </si>
  <si>
    <t xml:space="preserve">Record-count waterfall: raw -&gt; cleaned -&gt; eligibility -&gt; Dashboard populations</t>
  </si>
  <si>
    <t xml:space="preserve">Each step is reproducible from the cleaned CSV with the expression in 'identification'; the reasons were re-derived independently from the raw values (check L47).</t>
  </si>
  <si>
    <t xml:space="preserve">step</t>
  </si>
  <si>
    <t xml:space="preserve">stage</t>
  </si>
  <si>
    <t xml:space="preserve">records</t>
  </si>
  <si>
    <t xml:space="preserve">note</t>
  </si>
  <si>
    <t xml:space="preserve">identification</t>
  </si>
  <si>
    <t xml:space="preserve">W00</t>
  </si>
  <si>
    <t xml:space="preserve">Raw records</t>
  </si>
  <si>
    <t xml:space="preserve">raw CSV data rows</t>
  </si>
  <si>
    <t xml:space="preserve">len(raw)</t>
  </si>
  <si>
    <t xml:space="preserve">W01</t>
  </si>
  <si>
    <t xml:space="preserve">Cleaned records (1:1 with raw, no row dropped)</t>
  </si>
  <si>
    <t xml:space="preserve">cleaned CSV rows</t>
  </si>
  <si>
    <t xml:space="preserve">L08/L09</t>
  </si>
  <si>
    <t xml:space="preserve">W11</t>
  </si>
  <si>
    <t xml:space="preserve">less 1_NON_POSTING_ROW</t>
  </si>
  <si>
    <t xml:space="preserve">remaining 152,332</t>
  </si>
  <si>
    <t xml:space="preserve">excl_PL_actual == '1_NON_POSTING_ROW' (independently re-derived, L47)</t>
  </si>
  <si>
    <t xml:space="preserve">W12</t>
  </si>
  <si>
    <t xml:space="preserve">less 2_JUNK_ENTITY</t>
  </si>
  <si>
    <t xml:space="preserve">remaining 152,128</t>
  </si>
  <si>
    <t xml:space="preserve">excl_PL_actual == '2_JUNK_ENTITY' (independently re-derived, L47)</t>
  </si>
  <si>
    <t xml:space="preserve">W13</t>
  </si>
  <si>
    <t xml:space="preserve">less 3_ENTITY_UNRESOLVABLE</t>
  </si>
  <si>
    <t xml:space="preserve">remaining 152,112</t>
  </si>
  <si>
    <t xml:space="preserve">excl_PL_actual == '3_ENTITY_UNRESOLVABLE' (independently re-derived, L47)</t>
  </si>
  <si>
    <t xml:space="preserve">W14</t>
  </si>
  <si>
    <t xml:space="preserve">less 4_OUT_OF_SCOPE_STATEMENT</t>
  </si>
  <si>
    <t xml:space="preserve">remaining 144,987</t>
  </si>
  <si>
    <t xml:space="preserve">excl_PL_actual == '4_OUT_OF_SCOPE_STATEMENT' (independently re-derived, L47)</t>
  </si>
  <si>
    <t xml:space="preserve">W15</t>
  </si>
  <si>
    <t xml:space="preserve">less 5_STATUS_NOT_ELIGIBLE</t>
  </si>
  <si>
    <t xml:space="preserve">remaining 62,001</t>
  </si>
  <si>
    <t xml:space="preserve">excl_PL_actual == '5_STATUS_NOT_ELIGIBLE' (independently re-derived, L47)</t>
  </si>
  <si>
    <t xml:space="preserve">W16</t>
  </si>
  <si>
    <t xml:space="preserve">less 6_PERIOD_UNRESOLVABLE</t>
  </si>
  <si>
    <t xml:space="preserve">excl_PL_actual == '6_PERIOD_UNRESOLVABLE' (independently re-derived, L47)</t>
  </si>
  <si>
    <t xml:space="preserve">W17</t>
  </si>
  <si>
    <t xml:space="preserve">less 7_AMOUNT_MISSING</t>
  </si>
  <si>
    <t xml:space="preserve">remaining 58,364</t>
  </si>
  <si>
    <t xml:space="preserve">excl_PL_actual == '7_AMOUNT_MISSING' (independently re-derived, L47)</t>
  </si>
  <si>
    <t xml:space="preserve">W18</t>
  </si>
  <si>
    <t xml:space="preserve">less 8_SCALE_UNDECIDABLE</t>
  </si>
  <si>
    <t xml:space="preserve">remaining 58,340</t>
  </si>
  <si>
    <t xml:space="preserve">excl_PL_actual == '8_SCALE_UNDECIDABLE' (independently re-derived, L47)</t>
  </si>
  <si>
    <t xml:space="preserve">W20</t>
  </si>
  <si>
    <t xml:space="preserve">= Posted eligible P&amp;L lines (dashboard main payload, SQL v_pl_actual)</t>
  </si>
  <si>
    <t xml:space="preserve">eligible_PL_actual = 1</t>
  </si>
  <si>
    <t xml:space="preserve">W30</t>
  </si>
  <si>
    <t xml:space="preserve">Step-5 (status) exclusions</t>
  </si>
  <si>
    <t xml:space="preserve">excl_PL_actual == 5</t>
  </si>
  <si>
    <t xml:space="preserve">W31</t>
  </si>
  <si>
    <t xml:space="preserve">  of which also pass steps 6-8 -&gt; non-Posted diagnostic payload</t>
  </si>
  <si>
    <t xml:space="preserve">v_pl_actual_any_status, status &lt;&gt; Posted</t>
  </si>
  <si>
    <t xml:space="preserve">W32</t>
  </si>
  <si>
    <t xml:space="preserve">  of which fail step 7 (actual missing) as well -&gt; in NO payload</t>
  </si>
  <si>
    <t xml:space="preserve">status excl. AND actual missing</t>
  </si>
  <si>
    <t xml:space="preserve">W33</t>
  </si>
  <si>
    <t xml:space="preserve">  of which fail step 8 (scale undetermined) only -&gt; in NO payload</t>
  </si>
  <si>
    <t xml:space="preserve">W40</t>
  </si>
  <si>
    <t xml:space="preserve">Combined dashboard payload</t>
  </si>
  <si>
    <t xml:space="preserve">W41</t>
  </si>
  <si>
    <t xml:space="preserve">Not in any dashboard payload</t>
  </si>
  <si>
    <t xml:space="preserve">P04 / gap_16352_breakdown.csv</t>
  </si>
  <si>
    <t xml:space="preserve">W50</t>
  </si>
  <si>
    <t xml:space="preserve">P&amp;L variance population (actual AND budget present)</t>
  </si>
  <si>
    <t xml:space="preserve">eligible_PL_variance = 1</t>
  </si>
  <si>
    <t xml:space="preserve">W60</t>
  </si>
  <si>
    <t xml:space="preserve">Balance Sheet actual population (separate, never added to P&amp;L)</t>
  </si>
  <si>
    <t xml:space="preserve">eligible_BS_actual = 1</t>
  </si>
  <si>
    <t xml:space="preserve">W70</t>
  </si>
  <si>
    <t xml:space="preserve">P&amp;L vs forecast population (eligible AND forecast present)</t>
  </si>
  <si>
    <t xml:space="preserve">v_pl_forecast</t>
  </si>
  <si>
    <t xml:space="preserve">W71</t>
  </si>
  <si>
    <t xml:space="preserve">P&amp;L vs prior-year population (eligible AND PY present)</t>
  </si>
  <si>
    <t xml:space="preserve">v_pl_prior</t>
  </si>
  <si>
    <t xml:space="preserve">Why 16,352 cleaned rows are in no dashboard population</t>
  </si>
  <si>
    <t xml:space="preserve">Posted+non-Posted rows that fail a non-status gate. 0 unexplained rows (check P05).</t>
  </si>
  <si>
    <t xml:space="preserve">reason (first failing gate, status gate ignored)</t>
  </si>
  <si>
    <t xml:space="preserve">Posted</t>
  </si>
  <si>
    <t xml:space="preserve">non-Posted</t>
  </si>
  <si>
    <t xml:space="preserve">All</t>
  </si>
  <si>
    <t xml:space="preserve">1_NON_POSTING_ROW</t>
  </si>
  <si>
    <t xml:space="preserve">2_JUNK_ENTITY</t>
  </si>
  <si>
    <t xml:space="preserve">3_ENTITY_UNRESOLVABLE</t>
  </si>
  <si>
    <t xml:space="preserve">4_OUT_OF_SCOPE_STATEMENT (Balance Sheet)</t>
  </si>
  <si>
    <t xml:space="preserve">7_AMOUNT_MISSING (actual)</t>
  </si>
  <si>
    <t xml:space="preserve">8_SCALE_UNDECIDABLE</t>
  </si>
  <si>
    <t xml:space="preserve">Primary exclusion reasons - P&amp;L actual (sum must be 152,682)</t>
  </si>
  <si>
    <t xml:space="preserve">primary reason</t>
  </si>
  <si>
    <t xml:space="preserve">rows</t>
  </si>
  <si>
    <t xml:space="preserve">4_OUT_OF_SCOPE_STATEMENT</t>
  </si>
  <si>
    <t xml:space="preserve">5_STATUS_NOT_ELIGIBLE</t>
  </si>
  <si>
    <t xml:space="preserve">7_AMOUNT_MISSING</t>
  </si>
  <si>
    <t xml:space="preserve">ELIGIBLE</t>
  </si>
  <si>
    <t xml:space="preserve">Total (formula)</t>
  </si>
  <si>
    <t xml:space="preserve">Primary exclusion reasons - P&amp;L variance (actual and budget) (sum must be 152,682)</t>
  </si>
  <si>
    <t xml:space="preserve">Primary exclusion reasons - Balance Sheet actual (sum must be 152,682)</t>
  </si>
  <si>
    <t xml:space="preserve">Raw column -&gt; cleaned column: rows whose value differs (raw-value columns must be 0)</t>
  </si>
  <si>
    <t xml:space="preserve">raw_column</t>
  </si>
  <si>
    <t xml:space="preserve">cleaned_column</t>
  </si>
  <si>
    <t xml:space="preserve">rows_differing</t>
  </si>
  <si>
    <t xml:space="preserve">row_id</t>
  </si>
  <si>
    <t xml:space="preserve">source_system</t>
  </si>
  <si>
    <t xml:space="preserve">extract_batch</t>
  </si>
  <si>
    <t xml:space="preserve">extract_batch_raw</t>
  </si>
  <si>
    <t xml:space="preserve">fiscal_year</t>
  </si>
  <si>
    <t xml:space="preserve">fiscal_year_raw</t>
  </si>
  <si>
    <t xml:space="preserve">fiscal_period</t>
  </si>
  <si>
    <t xml:space="preserve">fiscal_period_raw</t>
  </si>
  <si>
    <t xml:space="preserve">legal_entity</t>
  </si>
  <si>
    <t xml:space="preserve">legal_entity_raw</t>
  </si>
  <si>
    <t xml:space="preserve">entity_code</t>
  </si>
  <si>
    <t xml:space="preserve">entity_code_raw</t>
  </si>
  <si>
    <t xml:space="preserve">division</t>
  </si>
  <si>
    <t xml:space="preserve">country</t>
  </si>
  <si>
    <t xml:space="preserve">region</t>
  </si>
  <si>
    <t xml:space="preserve">cost_center_code</t>
  </si>
  <si>
    <t xml:space="preserve">cost_center_name</t>
  </si>
  <si>
    <t xml:space="preserve">cost_center_owner</t>
  </si>
  <si>
    <t xml:space="preserve">gl_account</t>
  </si>
  <si>
    <t xml:space="preserve">gl_account_raw</t>
  </si>
  <si>
    <t xml:space="preserve">account_name</t>
  </si>
  <si>
    <t xml:space="preserve">account_group</t>
  </si>
  <si>
    <t xml:space="preserve">fs_line</t>
  </si>
  <si>
    <t xml:space="preserve">statement</t>
  </si>
  <si>
    <t xml:space="preserve">cost_nature</t>
  </si>
  <si>
    <t xml:space="preserve">product_family</t>
  </si>
  <si>
    <t xml:space="preserve">customer_segment</t>
  </si>
  <si>
    <t xml:space="preserve">channel</t>
  </si>
  <si>
    <t xml:space="preserve">currency</t>
  </si>
  <si>
    <t xml:space="preserve">currency_raw</t>
  </si>
  <si>
    <t xml:space="preserve">amount_local_raw</t>
  </si>
  <si>
    <t xml:space="preserve">fx_rate_raw</t>
  </si>
  <si>
    <t xml:space="preserve">actual_usd_raw</t>
  </si>
  <si>
    <t xml:space="preserve">budget_usd_raw</t>
  </si>
  <si>
    <t xml:space="preserve">forecast_usd_raw</t>
  </si>
  <si>
    <t xml:space="preserve">prior_year_usd_raw</t>
  </si>
  <si>
    <t xml:space="preserve">qty_raw</t>
  </si>
  <si>
    <t xml:space="preserve">uom</t>
  </si>
  <si>
    <t xml:space="preserve">headcount_fte_raw</t>
  </si>
  <si>
    <t xml:space="preserve">document_no</t>
  </si>
  <si>
    <t xml:space="preserve">posting_date</t>
  </si>
  <si>
    <t xml:space="preserve">posting_date_raw</t>
  </si>
  <si>
    <t xml:space="preserve">user_id</t>
  </si>
  <si>
    <t xml:space="preserve">line_text</t>
  </si>
  <si>
    <t xml:space="preserve">intercompany</t>
  </si>
  <si>
    <t xml:space="preserve">accrual</t>
  </si>
  <si>
    <t xml:space="preserve">elimination_status</t>
  </si>
  <si>
    <t xml:space="preserve">report_scale</t>
  </si>
  <si>
    <t xml:space="preserve">report_scale_raw</t>
  </si>
  <si>
    <t xml:space="preserve">scenario_tag</t>
  </si>
  <si>
    <t xml:space="preserve">approval_status</t>
  </si>
  <si>
    <t xml:space="preserve">notes</t>
  </si>
  <si>
    <t xml:space="preserve">Raw amount formats found by the independent parser (rows)</t>
  </si>
  <si>
    <t xml:space="preserve">format class (independent parser)</t>
  </si>
  <si>
    <t xml:space="preserve">amount_local</t>
  </si>
  <si>
    <t xml:space="preserve">actual_usd</t>
  </si>
  <si>
    <t xml:space="preserve">budget_usd</t>
  </si>
  <si>
    <t xml:space="preserve">forecast_usd</t>
  </si>
  <si>
    <t xml:space="preserve">prior_year_usd</t>
  </si>
  <si>
    <t xml:space="preserve">missing</t>
  </si>
  <si>
    <t xml:space="preserve">us</t>
  </si>
  <si>
    <t xml:space="preserve">plain</t>
  </si>
  <si>
    <t xml:space="preserve">dec_comma</t>
  </si>
  <si>
    <t xml:space="preserve">comma_thousands_ambiguous</t>
  </si>
  <si>
    <t xml:space="preserve">eu</t>
  </si>
  <si>
    <t xml:space="preserve">comma_thousands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</si>
</sst>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#,##0.0000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COUNTIF(Checks!$K$4:$K$118,A5)</f>
        <v>101</v>
      </c>
    </row>
    <row r="6" customFormat="false" ht="15" hidden="false" customHeight="false" outlineLevel="0" collapsed="false">
      <c r="A6" s="4" t="s">
        <v>5</v>
      </c>
      <c r="B6" s="4" t="n">
        <f aca="false">COUNTIF(Checks!$K$4:$K$118,A6)</f>
        <v>0</v>
      </c>
    </row>
    <row r="7" customFormat="false" ht="15" hidden="false" customHeight="false" outlineLevel="0" collapsed="false">
      <c r="A7" s="4" t="s">
        <v>6</v>
      </c>
      <c r="B7" s="4" t="n">
        <f aca="false">COUNTIF(Checks!$K$4:$K$118,A7)</f>
        <v>0</v>
      </c>
    </row>
    <row r="8" customFormat="false" ht="15" hidden="false" customHeight="false" outlineLevel="0" collapsed="false">
      <c r="A8" s="4" t="s">
        <v>7</v>
      </c>
      <c r="B8" s="4" t="n">
        <f aca="false">COUNTIF(Checks!$K$4:$K$118,A8)</f>
        <v>0</v>
      </c>
    </row>
    <row r="9" customFormat="false" ht="15" hidden="false" customHeight="false" outlineLevel="0" collapsed="false">
      <c r="A9" s="4" t="s">
        <v>8</v>
      </c>
      <c r="B9" s="4" t="n">
        <f aca="false">COUNTIF(Checks!$K$4:$K$118,A9)</f>
        <v>14</v>
      </c>
    </row>
    <row r="10" customFormat="false" ht="15" hidden="false" customHeight="false" outlineLevel="0" collapsed="false">
      <c r="A10" s="5" t="s">
        <v>9</v>
      </c>
      <c r="B10" s="5" t="n">
        <f aca="false">SUM(B5:B9)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7" min="6" style="0" width="18"/>
    <col collapsed="false" customWidth="true" hidden="false" outlineLevel="0" max="11" min="8" style="0" width="12"/>
    <col collapsed="false" customWidth="true" hidden="false" outlineLevel="0" max="12" min="12" style="0" width="70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3" t="s">
        <v>24</v>
      </c>
      <c r="O3" s="3" t="s">
        <v>25</v>
      </c>
    </row>
    <row r="4" customFormat="false" ht="23.85" hidden="false" customHeight="false" outlineLevel="0" collapsed="false">
      <c r="A4" s="7" t="s">
        <v>26</v>
      </c>
      <c r="B4" s="7" t="s">
        <v>27</v>
      </c>
      <c r="C4" s="7" t="s">
        <v>28</v>
      </c>
      <c r="D4" s="7"/>
      <c r="E4" s="7"/>
      <c r="F4" s="8" t="n">
        <v>1</v>
      </c>
      <c r="G4" s="8" t="n">
        <v>1</v>
      </c>
      <c r="H4" s="7" t="n">
        <v>0</v>
      </c>
      <c r="I4" s="7" t="n">
        <v>0</v>
      </c>
      <c r="J4" s="7" t="n">
        <v>0</v>
      </c>
      <c r="K4" s="9" t="s">
        <v>4</v>
      </c>
      <c r="L4" s="7" t="s">
        <v>29</v>
      </c>
      <c r="M4" s="7"/>
      <c r="N4" s="10" t="n">
        <f aca="false">IF(AND(ISNUMBER(F4),ISNUMBER(G4)),ABS(G4-F4),"")</f>
        <v>0</v>
      </c>
      <c r="O4" s="4" t="str">
        <f aca="false">IF(AND(ISNUMBER(N4),ISNUMBER(J4)),IF(N4&lt;=J4,"PASS","FAIL"),"n/a")</f>
        <v>PASS</v>
      </c>
    </row>
    <row r="5" customFormat="false" ht="23.85" hidden="false" customHeight="false" outlineLevel="0" collapsed="false">
      <c r="A5" s="7" t="s">
        <v>30</v>
      </c>
      <c r="B5" s="7" t="s">
        <v>27</v>
      </c>
      <c r="C5" s="7" t="s">
        <v>31</v>
      </c>
      <c r="D5" s="7"/>
      <c r="E5" s="7"/>
      <c r="F5" s="8" t="n">
        <v>1</v>
      </c>
      <c r="G5" s="8" t="n">
        <v>1</v>
      </c>
      <c r="H5" s="7" t="n">
        <v>0</v>
      </c>
      <c r="I5" s="7" t="n">
        <v>0</v>
      </c>
      <c r="J5" s="7" t="n">
        <v>0</v>
      </c>
      <c r="K5" s="9" t="s">
        <v>4</v>
      </c>
      <c r="L5" s="7" t="s">
        <v>32</v>
      </c>
      <c r="M5" s="7"/>
      <c r="N5" s="10" t="n">
        <f aca="false">IF(AND(ISNUMBER(F5),ISNUMBER(G5)),ABS(G5-F5),"")</f>
        <v>0</v>
      </c>
      <c r="O5" s="4" t="str">
        <f aca="false">IF(AND(ISNUMBER(N5),ISNUMBER(J5)),IF(N5&lt;=J5,"PASS","FAIL"),"n/a")</f>
        <v>PASS</v>
      </c>
    </row>
    <row r="6" customFormat="false" ht="23.85" hidden="false" customHeight="false" outlineLevel="0" collapsed="false">
      <c r="A6" s="7" t="s">
        <v>33</v>
      </c>
      <c r="B6" s="7" t="s">
        <v>27</v>
      </c>
      <c r="C6" s="7" t="s">
        <v>34</v>
      </c>
      <c r="D6" s="7"/>
      <c r="E6" s="7" t="s">
        <v>35</v>
      </c>
      <c r="F6" s="8" t="n">
        <v>152682</v>
      </c>
      <c r="G6" s="8" t="n">
        <v>152682</v>
      </c>
      <c r="H6" s="7" t="n">
        <v>0</v>
      </c>
      <c r="I6" s="7" t="n">
        <v>0</v>
      </c>
      <c r="J6" s="7" t="n">
        <v>0</v>
      </c>
      <c r="K6" s="9" t="s">
        <v>4</v>
      </c>
      <c r="L6" s="7"/>
      <c r="M6" s="7"/>
      <c r="N6" s="10" t="n">
        <f aca="false">IF(AND(ISNUMBER(F6),ISNUMBER(G6)),ABS(G6-F6),"")</f>
        <v>0</v>
      </c>
      <c r="O6" s="4" t="str">
        <f aca="false">IF(AND(ISNUMBER(N6),ISNUMBER(J6)),IF(N6&lt;=J6,"PASS","FAIL"),"n/a")</f>
        <v>PASS</v>
      </c>
    </row>
    <row r="7" customFormat="false" ht="23.85" hidden="false" customHeight="false" outlineLevel="0" collapsed="false">
      <c r="A7" s="7" t="s">
        <v>36</v>
      </c>
      <c r="B7" s="7" t="s">
        <v>27</v>
      </c>
      <c r="C7" s="7" t="s">
        <v>37</v>
      </c>
      <c r="D7" s="7"/>
      <c r="E7" s="7"/>
      <c r="F7" s="8" t="n">
        <v>43</v>
      </c>
      <c r="G7" s="8" t="n">
        <v>43</v>
      </c>
      <c r="H7" s="7" t="n">
        <v>0</v>
      </c>
      <c r="I7" s="7" t="n">
        <v>0</v>
      </c>
      <c r="J7" s="7" t="n">
        <v>0</v>
      </c>
      <c r="K7" s="9" t="s">
        <v>4</v>
      </c>
      <c r="L7" s="7"/>
      <c r="M7" s="7"/>
      <c r="N7" s="10" t="n">
        <f aca="false">IF(AND(ISNUMBER(F7),ISNUMBER(G7)),ABS(G7-F7),"")</f>
        <v>0</v>
      </c>
      <c r="O7" s="4" t="str">
        <f aca="false">IF(AND(ISNUMBER(N7),ISNUMBER(J7)),IF(N7&lt;=J7,"PASS","FAIL"),"n/a")</f>
        <v>PASS</v>
      </c>
    </row>
    <row r="8" customFormat="false" ht="23.85" hidden="false" customHeight="false" outlineLevel="0" collapsed="false">
      <c r="A8" s="7" t="s">
        <v>38</v>
      </c>
      <c r="B8" s="7" t="s">
        <v>27</v>
      </c>
      <c r="C8" s="7" t="s">
        <v>39</v>
      </c>
      <c r="D8" s="7"/>
      <c r="E8" s="7"/>
      <c r="F8" s="8" t="n">
        <v>152682</v>
      </c>
      <c r="G8" s="8" t="n">
        <v>152682</v>
      </c>
      <c r="H8" s="7" t="n">
        <v>0</v>
      </c>
      <c r="I8" s="7" t="n">
        <v>0</v>
      </c>
      <c r="J8" s="7" t="n">
        <v>0</v>
      </c>
      <c r="K8" s="9" t="s">
        <v>4</v>
      </c>
      <c r="L8" s="7"/>
      <c r="M8" s="7"/>
      <c r="N8" s="10" t="n">
        <f aca="false">IF(AND(ISNUMBER(F8),ISNUMBER(G8)),ABS(G8-F8),"")</f>
        <v>0</v>
      </c>
      <c r="O8" s="4" t="str">
        <f aca="false">IF(AND(ISNUMBER(N8),ISNUMBER(J8)),IF(N8&lt;=J8,"PASS","FAIL"),"n/a")</f>
        <v>PASS</v>
      </c>
    </row>
    <row r="9" customFormat="false" ht="23.85" hidden="false" customHeight="false" outlineLevel="0" collapsed="false">
      <c r="A9" s="7" t="s">
        <v>40</v>
      </c>
      <c r="B9" s="7" t="s">
        <v>27</v>
      </c>
      <c r="C9" s="7" t="s">
        <v>41</v>
      </c>
      <c r="D9" s="7"/>
      <c r="E9" s="7"/>
      <c r="F9" s="8" t="n">
        <v>192</v>
      </c>
      <c r="G9" s="8" t="n">
        <v>192</v>
      </c>
      <c r="H9" s="7" t="n">
        <v>0</v>
      </c>
      <c r="I9" s="7" t="n">
        <v>0</v>
      </c>
      <c r="J9" s="7" t="n">
        <v>0</v>
      </c>
      <c r="K9" s="9" t="s">
        <v>4</v>
      </c>
      <c r="L9" s="7"/>
      <c r="M9" s="7"/>
      <c r="N9" s="10" t="n">
        <f aca="false">IF(AND(ISNUMBER(F9),ISNUMBER(G9)),ABS(G9-F9),"")</f>
        <v>0</v>
      </c>
      <c r="O9" s="4" t="str">
        <f aca="false">IF(AND(ISNUMBER(N9),ISNUMBER(J9)),IF(N9&lt;=J9,"PASS","FAIL"),"n/a")</f>
        <v>PASS</v>
      </c>
    </row>
    <row r="10" customFormat="false" ht="23.85" hidden="false" customHeight="false" outlineLevel="0" collapsed="false">
      <c r="A10" s="7" t="s">
        <v>42</v>
      </c>
      <c r="B10" s="7" t="s">
        <v>27</v>
      </c>
      <c r="C10" s="7" t="s">
        <v>43</v>
      </c>
      <c r="D10" s="7"/>
      <c r="E10" s="7"/>
      <c r="F10" s="8" t="n">
        <v>152682</v>
      </c>
      <c r="G10" s="8" t="n">
        <v>152682</v>
      </c>
      <c r="H10" s="7" t="n">
        <v>0</v>
      </c>
      <c r="I10" s="7" t="n">
        <v>0</v>
      </c>
      <c r="J10" s="7" t="n">
        <v>0</v>
      </c>
      <c r="K10" s="9" t="s">
        <v>4</v>
      </c>
      <c r="L10" s="7"/>
      <c r="M10" s="7"/>
      <c r="N10" s="10" t="n">
        <f aca="false">IF(AND(ISNUMBER(F10),ISNUMBER(G10)),ABS(G10-F10),"")</f>
        <v>0</v>
      </c>
      <c r="O10" s="4" t="str">
        <f aca="false">IF(AND(ISNUMBER(N10),ISNUMBER(J10)),IF(N10&lt;=J10,"PASS","FAIL"),"n/a")</f>
        <v>PASS</v>
      </c>
    </row>
    <row r="11" customFormat="false" ht="23.85" hidden="false" customHeight="false" outlineLevel="0" collapsed="false">
      <c r="A11" s="7" t="s">
        <v>44</v>
      </c>
      <c r="B11" s="7" t="s">
        <v>27</v>
      </c>
      <c r="C11" s="7" t="s">
        <v>45</v>
      </c>
      <c r="D11" s="7"/>
      <c r="E11" s="7"/>
      <c r="F11" s="8" t="n">
        <v>152682</v>
      </c>
      <c r="G11" s="8" t="n">
        <v>152682</v>
      </c>
      <c r="H11" s="7" t="n">
        <v>0</v>
      </c>
      <c r="I11" s="7" t="n">
        <v>0</v>
      </c>
      <c r="J11" s="7" t="n">
        <v>0</v>
      </c>
      <c r="K11" s="9" t="s">
        <v>4</v>
      </c>
      <c r="L11" s="7"/>
      <c r="M11" s="7"/>
      <c r="N11" s="10" t="n">
        <f aca="false">IF(AND(ISNUMBER(F11),ISNUMBER(G11)),ABS(G11-F11),"")</f>
        <v>0</v>
      </c>
      <c r="O11" s="4" t="str">
        <f aca="false">IF(AND(ISNUMBER(N11),ISNUMBER(J11)),IF(N11&lt;=J11,"PASS","FAIL"),"n/a")</f>
        <v>PASS</v>
      </c>
    </row>
    <row r="12" customFormat="false" ht="23.85" hidden="false" customHeight="false" outlineLevel="0" collapsed="false">
      <c r="A12" s="7" t="s">
        <v>46</v>
      </c>
      <c r="B12" s="7" t="s">
        <v>27</v>
      </c>
      <c r="C12" s="7" t="s">
        <v>47</v>
      </c>
      <c r="D12" s="7"/>
      <c r="E12" s="7" t="s">
        <v>48</v>
      </c>
      <c r="F12" s="8" t="n">
        <v>0</v>
      </c>
      <c r="G12" s="8" t="n">
        <v>0</v>
      </c>
      <c r="H12" s="7" t="n">
        <v>0</v>
      </c>
      <c r="I12" s="7"/>
      <c r="J12" s="7" t="n">
        <v>0</v>
      </c>
      <c r="K12" s="9" t="s">
        <v>4</v>
      </c>
      <c r="L12" s="7"/>
      <c r="M12" s="7"/>
      <c r="N12" s="10" t="n">
        <f aca="false">IF(AND(ISNUMBER(F12),ISNUMBER(G12)),ABS(G12-F12),"")</f>
        <v>0</v>
      </c>
      <c r="O12" s="4" t="str">
        <f aca="false">IF(AND(ISNUMBER(N12),ISNUMBER(J12)),IF(N12&lt;=J12,"PASS","FAIL"),"n/a")</f>
        <v>PASS</v>
      </c>
    </row>
    <row r="13" customFormat="false" ht="23.85" hidden="false" customHeight="false" outlineLevel="0" collapsed="false">
      <c r="A13" s="7" t="s">
        <v>49</v>
      </c>
      <c r="B13" s="7" t="s">
        <v>27</v>
      </c>
      <c r="C13" s="7" t="s">
        <v>50</v>
      </c>
      <c r="D13" s="7"/>
      <c r="E13" s="7"/>
      <c r="F13" s="8" t="n">
        <v>0</v>
      </c>
      <c r="G13" s="8" t="n">
        <v>0</v>
      </c>
      <c r="H13" s="7" t="n">
        <v>0</v>
      </c>
      <c r="I13" s="7"/>
      <c r="J13" s="7" t="n">
        <v>0</v>
      </c>
      <c r="K13" s="9" t="s">
        <v>4</v>
      </c>
      <c r="L13" s="7"/>
      <c r="M13" s="7"/>
      <c r="N13" s="10" t="n">
        <f aca="false">IF(AND(ISNUMBER(F13),ISNUMBER(G13)),ABS(G13-F13),"")</f>
        <v>0</v>
      </c>
      <c r="O13" s="4" t="str">
        <f aca="false">IF(AND(ISNUMBER(N13),ISNUMBER(J13)),IF(N13&lt;=J13,"PASS","FAIL"),"n/a")</f>
        <v>PASS</v>
      </c>
    </row>
    <row r="14" customFormat="false" ht="23.85" hidden="false" customHeight="false" outlineLevel="0" collapsed="false">
      <c r="A14" s="7" t="s">
        <v>51</v>
      </c>
      <c r="B14" s="7" t="s">
        <v>27</v>
      </c>
      <c r="C14" s="7" t="s">
        <v>52</v>
      </c>
      <c r="D14" s="7"/>
      <c r="E14" s="7"/>
      <c r="F14" s="8" t="n">
        <v>0</v>
      </c>
      <c r="G14" s="8" t="n">
        <v>0</v>
      </c>
      <c r="H14" s="7" t="n">
        <v>0</v>
      </c>
      <c r="I14" s="7"/>
      <c r="J14" s="7" t="n">
        <v>0</v>
      </c>
      <c r="K14" s="9" t="s">
        <v>4</v>
      </c>
      <c r="L14" s="7"/>
      <c r="M14" s="7"/>
      <c r="N14" s="10" t="n">
        <f aca="false">IF(AND(ISNUMBER(F14),ISNUMBER(G14)),ABS(G14-F14),"")</f>
        <v>0</v>
      </c>
      <c r="O14" s="4" t="str">
        <f aca="false">IF(AND(ISNUMBER(N14),ISNUMBER(J14)),IF(N14&lt;=J14,"PASS","FAIL"),"n/a")</f>
        <v>PASS</v>
      </c>
    </row>
    <row r="15" customFormat="false" ht="23.85" hidden="false" customHeight="false" outlineLevel="0" collapsed="false">
      <c r="A15" s="7" t="s">
        <v>53</v>
      </c>
      <c r="B15" s="7" t="s">
        <v>27</v>
      </c>
      <c r="C15" s="7" t="s">
        <v>54</v>
      </c>
      <c r="D15" s="7"/>
      <c r="E15" s="7"/>
      <c r="F15" s="8" t="n">
        <v>0</v>
      </c>
      <c r="G15" s="8" t="n">
        <v>0</v>
      </c>
      <c r="H15" s="7" t="n">
        <v>0</v>
      </c>
      <c r="I15" s="7"/>
      <c r="J15" s="7" t="n">
        <v>0</v>
      </c>
      <c r="K15" s="9" t="s">
        <v>4</v>
      </c>
      <c r="L15" s="7" t="s">
        <v>55</v>
      </c>
      <c r="M15" s="7"/>
      <c r="N15" s="10" t="n">
        <f aca="false">IF(AND(ISNUMBER(F15),ISNUMBER(G15)),ABS(G15-F15),"")</f>
        <v>0</v>
      </c>
      <c r="O15" s="4" t="str">
        <f aca="false">IF(AND(ISNUMBER(N15),ISNUMBER(J15)),IF(N15&lt;=J15,"PASS","FAIL"),"n/a")</f>
        <v>PASS</v>
      </c>
    </row>
    <row r="16" customFormat="false" ht="23.85" hidden="false" customHeight="false" outlineLevel="0" collapsed="false">
      <c r="A16" s="7" t="s">
        <v>56</v>
      </c>
      <c r="B16" s="7" t="s">
        <v>27</v>
      </c>
      <c r="C16" s="7" t="s">
        <v>57</v>
      </c>
      <c r="D16" s="7"/>
      <c r="E16" s="7"/>
      <c r="F16" s="7"/>
      <c r="G16" s="8" t="n">
        <v>0</v>
      </c>
      <c r="H16" s="7"/>
      <c r="I16" s="7"/>
      <c r="J16" s="7"/>
      <c r="K16" s="11" t="s">
        <v>8</v>
      </c>
      <c r="L16" s="7"/>
      <c r="M16" s="7"/>
      <c r="N16" s="10" t="str">
        <f aca="false">IF(AND(ISNUMBER(F16),ISNUMBER(G16)),ABS(G16-F16),"")</f>
        <v/>
      </c>
      <c r="O16" s="4" t="str">
        <f aca="false">IF(AND(ISNUMBER(N16),ISNUMBER(J16)),IF(N16&lt;=J16,"PASS","FAIL"),"n/a")</f>
        <v>n/a</v>
      </c>
    </row>
    <row r="17" customFormat="false" ht="23.85" hidden="false" customHeight="false" outlineLevel="0" collapsed="false">
      <c r="A17" s="7" t="s">
        <v>58</v>
      </c>
      <c r="B17" s="7" t="s">
        <v>27</v>
      </c>
      <c r="C17" s="7" t="s">
        <v>59</v>
      </c>
      <c r="D17" s="7"/>
      <c r="E17" s="7"/>
      <c r="F17" s="8" t="n">
        <v>0</v>
      </c>
      <c r="G17" s="8" t="n">
        <v>0</v>
      </c>
      <c r="H17" s="7" t="n">
        <v>0</v>
      </c>
      <c r="I17" s="7"/>
      <c r="J17" s="7" t="n">
        <v>0</v>
      </c>
      <c r="K17" s="9" t="s">
        <v>4</v>
      </c>
      <c r="L17" s="7"/>
      <c r="M17" s="7"/>
      <c r="N17" s="10" t="n">
        <f aca="false">IF(AND(ISNUMBER(F17),ISNUMBER(G17)),ABS(G17-F17),"")</f>
        <v>0</v>
      </c>
      <c r="O17" s="4" t="str">
        <f aca="false">IF(AND(ISNUMBER(N17),ISNUMBER(J17)),IF(N17&lt;=J17,"PASS","FAIL"),"n/a")</f>
        <v>PASS</v>
      </c>
    </row>
    <row r="18" customFormat="false" ht="23.85" hidden="false" customHeight="false" outlineLevel="0" collapsed="false">
      <c r="A18" s="7" t="s">
        <v>60</v>
      </c>
      <c r="B18" s="7" t="s">
        <v>27</v>
      </c>
      <c r="C18" s="7" t="s">
        <v>61</v>
      </c>
      <c r="D18" s="7"/>
      <c r="E18" s="7"/>
      <c r="F18" s="8" t="n">
        <v>0</v>
      </c>
      <c r="G18" s="8" t="n">
        <v>0</v>
      </c>
      <c r="H18" s="7" t="n">
        <v>0</v>
      </c>
      <c r="I18" s="7"/>
      <c r="J18" s="7" t="n">
        <v>0</v>
      </c>
      <c r="K18" s="9" t="s">
        <v>4</v>
      </c>
      <c r="L18" s="7"/>
      <c r="M18" s="7"/>
      <c r="N18" s="10" t="n">
        <f aca="false">IF(AND(ISNUMBER(F18),ISNUMBER(G18)),ABS(G18-F18),"")</f>
        <v>0</v>
      </c>
      <c r="O18" s="4" t="str">
        <f aca="false">IF(AND(ISNUMBER(N18),ISNUMBER(J18)),IF(N18&lt;=J18,"PASS","FAIL"),"n/a")</f>
        <v>PASS</v>
      </c>
    </row>
    <row r="19" customFormat="false" ht="23.85" hidden="false" customHeight="false" outlineLevel="0" collapsed="false">
      <c r="A19" s="7" t="s">
        <v>62</v>
      </c>
      <c r="B19" s="7" t="s">
        <v>27</v>
      </c>
      <c r="C19" s="7" t="s">
        <v>63</v>
      </c>
      <c r="D19" s="7"/>
      <c r="E19" s="7"/>
      <c r="F19" s="8" t="n">
        <v>0</v>
      </c>
      <c r="G19" s="8" t="n">
        <v>0</v>
      </c>
      <c r="H19" s="7" t="n">
        <v>0</v>
      </c>
      <c r="I19" s="7"/>
      <c r="J19" s="7" t="n">
        <v>0</v>
      </c>
      <c r="K19" s="9" t="s">
        <v>4</v>
      </c>
      <c r="L19" s="7"/>
      <c r="M19" s="7"/>
      <c r="N19" s="10" t="n">
        <f aca="false">IF(AND(ISNUMBER(F19),ISNUMBER(G19)),ABS(G19-F19),"")</f>
        <v>0</v>
      </c>
      <c r="O19" s="4" t="str">
        <f aca="false">IF(AND(ISNUMBER(N19),ISNUMBER(J19)),IF(N19&lt;=J19,"PASS","FAIL"),"n/a")</f>
        <v>PASS</v>
      </c>
    </row>
    <row r="20" customFormat="false" ht="23.85" hidden="false" customHeight="false" outlineLevel="0" collapsed="false">
      <c r="A20" s="7" t="s">
        <v>64</v>
      </c>
      <c r="B20" s="7" t="s">
        <v>27</v>
      </c>
      <c r="C20" s="7" t="s">
        <v>65</v>
      </c>
      <c r="D20" s="7"/>
      <c r="E20" s="7"/>
      <c r="F20" s="8" t="n">
        <v>0</v>
      </c>
      <c r="G20" s="8" t="n">
        <v>0</v>
      </c>
      <c r="H20" s="7" t="n">
        <v>0</v>
      </c>
      <c r="I20" s="7"/>
      <c r="J20" s="7" t="n">
        <v>0</v>
      </c>
      <c r="K20" s="9" t="s">
        <v>4</v>
      </c>
      <c r="L20" s="7"/>
      <c r="M20" s="7"/>
      <c r="N20" s="10" t="n">
        <f aca="false">IF(AND(ISNUMBER(F20),ISNUMBER(G20)),ABS(G20-F20),"")</f>
        <v>0</v>
      </c>
      <c r="O20" s="4" t="str">
        <f aca="false">IF(AND(ISNUMBER(N20),ISNUMBER(J20)),IF(N20&lt;=J20,"PASS","FAIL"),"n/a")</f>
        <v>PASS</v>
      </c>
    </row>
    <row r="21" customFormat="false" ht="23.85" hidden="false" customHeight="false" outlineLevel="0" collapsed="false">
      <c r="A21" s="7" t="s">
        <v>66</v>
      </c>
      <c r="B21" s="7" t="s">
        <v>27</v>
      </c>
      <c r="C21" s="7" t="s">
        <v>67</v>
      </c>
      <c r="D21" s="7"/>
      <c r="E21" s="7"/>
      <c r="F21" s="8" t="n">
        <v>0</v>
      </c>
      <c r="G21" s="8" t="n">
        <v>0</v>
      </c>
      <c r="H21" s="7" t="n">
        <v>0</v>
      </c>
      <c r="I21" s="7"/>
      <c r="J21" s="7" t="n">
        <v>0</v>
      </c>
      <c r="K21" s="9" t="s">
        <v>4</v>
      </c>
      <c r="L21" s="7"/>
      <c r="M21" s="7"/>
      <c r="N21" s="10" t="n">
        <f aca="false">IF(AND(ISNUMBER(F21),ISNUMBER(G21)),ABS(G21-F21),"")</f>
        <v>0</v>
      </c>
      <c r="O21" s="4" t="str">
        <f aca="false">IF(AND(ISNUMBER(N21),ISNUMBER(J21)),IF(N21&lt;=J21,"PASS","FAIL"),"n/a")</f>
        <v>PASS</v>
      </c>
    </row>
    <row r="22" customFormat="false" ht="23.85" hidden="false" customHeight="false" outlineLevel="0" collapsed="false">
      <c r="A22" s="7" t="s">
        <v>68</v>
      </c>
      <c r="B22" s="7" t="s">
        <v>27</v>
      </c>
      <c r="C22" s="7" t="s">
        <v>69</v>
      </c>
      <c r="D22" s="7"/>
      <c r="E22" s="7"/>
      <c r="F22" s="8" t="n">
        <v>0</v>
      </c>
      <c r="G22" s="8" t="n">
        <v>0</v>
      </c>
      <c r="H22" s="7" t="n">
        <v>0</v>
      </c>
      <c r="I22" s="7"/>
      <c r="J22" s="7" t="n">
        <v>0</v>
      </c>
      <c r="K22" s="9" t="s">
        <v>4</v>
      </c>
      <c r="L22" s="7"/>
      <c r="M22" s="7"/>
      <c r="N22" s="10" t="n">
        <f aca="false">IF(AND(ISNUMBER(F22),ISNUMBER(G22)),ABS(G22-F22),"")</f>
        <v>0</v>
      </c>
      <c r="O22" s="4" t="str">
        <f aca="false">IF(AND(ISNUMBER(N22),ISNUMBER(J22)),IF(N22&lt;=J22,"PASS","FAIL"),"n/a")</f>
        <v>PASS</v>
      </c>
    </row>
    <row r="23" customFormat="false" ht="23.85" hidden="false" customHeight="false" outlineLevel="0" collapsed="false">
      <c r="A23" s="7" t="s">
        <v>70</v>
      </c>
      <c r="B23" s="7" t="s">
        <v>27</v>
      </c>
      <c r="C23" s="7" t="s">
        <v>71</v>
      </c>
      <c r="D23" s="7"/>
      <c r="E23" s="7"/>
      <c r="F23" s="8" t="n">
        <v>0</v>
      </c>
      <c r="G23" s="8" t="n">
        <v>0</v>
      </c>
      <c r="H23" s="7" t="n">
        <v>0</v>
      </c>
      <c r="I23" s="7"/>
      <c r="J23" s="7" t="n">
        <v>0</v>
      </c>
      <c r="K23" s="9" t="s">
        <v>4</v>
      </c>
      <c r="L23" s="7"/>
      <c r="M23" s="7"/>
      <c r="N23" s="10" t="n">
        <f aca="false">IF(AND(ISNUMBER(F23),ISNUMBER(G23)),ABS(G23-F23),"")</f>
        <v>0</v>
      </c>
      <c r="O23" s="4" t="str">
        <f aca="false">IF(AND(ISNUMBER(N23),ISNUMBER(J23)),IF(N23&lt;=J23,"PASS","FAIL"),"n/a")</f>
        <v>PASS</v>
      </c>
    </row>
    <row r="24" customFormat="false" ht="23.85" hidden="false" customHeight="false" outlineLevel="0" collapsed="false">
      <c r="A24" s="7" t="s">
        <v>72</v>
      </c>
      <c r="B24" s="7" t="s">
        <v>27</v>
      </c>
      <c r="C24" s="7" t="s">
        <v>73</v>
      </c>
      <c r="D24" s="7"/>
      <c r="E24" s="7"/>
      <c r="F24" s="8" t="n">
        <v>0</v>
      </c>
      <c r="G24" s="8" t="n">
        <v>0</v>
      </c>
      <c r="H24" s="7" t="n">
        <v>0</v>
      </c>
      <c r="I24" s="7"/>
      <c r="J24" s="7" t="n">
        <v>0</v>
      </c>
      <c r="K24" s="9" t="s">
        <v>4</v>
      </c>
      <c r="L24" s="7"/>
      <c r="M24" s="7"/>
      <c r="N24" s="10" t="n">
        <f aca="false">IF(AND(ISNUMBER(F24),ISNUMBER(G24)),ABS(G24-F24),"")</f>
        <v>0</v>
      </c>
      <c r="O24" s="4" t="str">
        <f aca="false">IF(AND(ISNUMBER(N24),ISNUMBER(J24)),IF(N24&lt;=J24,"PASS","FAIL"),"n/a")</f>
        <v>PASS</v>
      </c>
    </row>
    <row r="25" customFormat="false" ht="23.85" hidden="false" customHeight="false" outlineLevel="0" collapsed="false">
      <c r="A25" s="7" t="s">
        <v>74</v>
      </c>
      <c r="B25" s="7" t="s">
        <v>27</v>
      </c>
      <c r="C25" s="7" t="s">
        <v>75</v>
      </c>
      <c r="D25" s="7"/>
      <c r="E25" s="7"/>
      <c r="F25" s="8" t="n">
        <v>0</v>
      </c>
      <c r="G25" s="8" t="n">
        <v>0</v>
      </c>
      <c r="H25" s="7" t="n">
        <v>0</v>
      </c>
      <c r="I25" s="7"/>
      <c r="J25" s="7" t="n">
        <v>0</v>
      </c>
      <c r="K25" s="9" t="s">
        <v>4</v>
      </c>
      <c r="L25" s="7"/>
      <c r="M25" s="7"/>
      <c r="N25" s="10" t="n">
        <f aca="false">IF(AND(ISNUMBER(F25),ISNUMBER(G25)),ABS(G25-F25),"")</f>
        <v>0</v>
      </c>
      <c r="O25" s="4" t="str">
        <f aca="false">IF(AND(ISNUMBER(N25),ISNUMBER(J25)),IF(N25&lt;=J25,"PASS","FAIL"),"n/a")</f>
        <v>PASS</v>
      </c>
    </row>
    <row r="26" customFormat="false" ht="23.85" hidden="false" customHeight="false" outlineLevel="0" collapsed="false">
      <c r="A26" s="7" t="s">
        <v>76</v>
      </c>
      <c r="B26" s="7" t="s">
        <v>27</v>
      </c>
      <c r="C26" s="7" t="s">
        <v>77</v>
      </c>
      <c r="D26" s="7"/>
      <c r="E26" s="7"/>
      <c r="F26" s="8" t="n">
        <v>0</v>
      </c>
      <c r="G26" s="8" t="n">
        <v>0</v>
      </c>
      <c r="H26" s="7" t="n">
        <v>0</v>
      </c>
      <c r="I26" s="7"/>
      <c r="J26" s="7" t="n">
        <v>0</v>
      </c>
      <c r="K26" s="9" t="s">
        <v>4</v>
      </c>
      <c r="L26" s="7"/>
      <c r="M26" s="7"/>
      <c r="N26" s="10" t="n">
        <f aca="false">IF(AND(ISNUMBER(F26),ISNUMBER(G26)),ABS(G26-F26),"")</f>
        <v>0</v>
      </c>
      <c r="O26" s="4" t="str">
        <f aca="false">IF(AND(ISNUMBER(N26),ISNUMBER(J26)),IF(N26&lt;=J26,"PASS","FAIL"),"n/a")</f>
        <v>PASS</v>
      </c>
    </row>
    <row r="27" customFormat="false" ht="23.85" hidden="false" customHeight="false" outlineLevel="0" collapsed="false">
      <c r="A27" s="7" t="s">
        <v>78</v>
      </c>
      <c r="B27" s="7" t="s">
        <v>27</v>
      </c>
      <c r="C27" s="7" t="s">
        <v>79</v>
      </c>
      <c r="D27" s="7"/>
      <c r="E27" s="7"/>
      <c r="F27" s="8" t="n">
        <v>0</v>
      </c>
      <c r="G27" s="8" t="n">
        <v>0</v>
      </c>
      <c r="H27" s="7" t="n">
        <v>0</v>
      </c>
      <c r="I27" s="7"/>
      <c r="J27" s="7" t="n">
        <v>0</v>
      </c>
      <c r="K27" s="9" t="s">
        <v>4</v>
      </c>
      <c r="L27" s="7"/>
      <c r="M27" s="7"/>
      <c r="N27" s="10" t="n">
        <f aca="false">IF(AND(ISNUMBER(F27),ISNUMBER(G27)),ABS(G27-F27),"")</f>
        <v>0</v>
      </c>
      <c r="O27" s="4" t="str">
        <f aca="false">IF(AND(ISNUMBER(N27),ISNUMBER(J27)),IF(N27&lt;=J27,"PASS","FAIL"),"n/a")</f>
        <v>PASS</v>
      </c>
    </row>
    <row r="28" customFormat="false" ht="23.85" hidden="false" customHeight="false" outlineLevel="0" collapsed="false">
      <c r="A28" s="7" t="s">
        <v>80</v>
      </c>
      <c r="B28" s="7" t="s">
        <v>27</v>
      </c>
      <c r="C28" s="7" t="s">
        <v>81</v>
      </c>
      <c r="D28" s="7"/>
      <c r="E28" s="7"/>
      <c r="F28" s="8" t="n">
        <v>0</v>
      </c>
      <c r="G28" s="8" t="n">
        <v>0</v>
      </c>
      <c r="H28" s="7" t="n">
        <v>0</v>
      </c>
      <c r="I28" s="7"/>
      <c r="J28" s="7" t="n">
        <v>0</v>
      </c>
      <c r="K28" s="9" t="s">
        <v>4</v>
      </c>
      <c r="L28" s="7"/>
      <c r="M28" s="7"/>
      <c r="N28" s="10" t="n">
        <f aca="false">IF(AND(ISNUMBER(F28),ISNUMBER(G28)),ABS(G28-F28),"")</f>
        <v>0</v>
      </c>
      <c r="O28" s="4" t="str">
        <f aca="false">IF(AND(ISNUMBER(N28),ISNUMBER(J28)),IF(N28&lt;=J28,"PASS","FAIL"),"n/a")</f>
        <v>PASS</v>
      </c>
    </row>
    <row r="29" customFormat="false" ht="23.85" hidden="false" customHeight="false" outlineLevel="0" collapsed="false">
      <c r="A29" s="7" t="s">
        <v>82</v>
      </c>
      <c r="B29" s="7" t="s">
        <v>27</v>
      </c>
      <c r="C29" s="7" t="s">
        <v>83</v>
      </c>
      <c r="D29" s="7"/>
      <c r="E29" s="7"/>
      <c r="F29" s="8" t="n">
        <v>0</v>
      </c>
      <c r="G29" s="8" t="n">
        <v>0</v>
      </c>
      <c r="H29" s="7" t="n">
        <v>0</v>
      </c>
      <c r="I29" s="7"/>
      <c r="J29" s="7" t="n">
        <v>0</v>
      </c>
      <c r="K29" s="9" t="s">
        <v>4</v>
      </c>
      <c r="L29" s="7"/>
      <c r="M29" s="7"/>
      <c r="N29" s="10" t="n">
        <f aca="false">IF(AND(ISNUMBER(F29),ISNUMBER(G29)),ABS(G29-F29),"")</f>
        <v>0</v>
      </c>
      <c r="O29" s="4" t="str">
        <f aca="false">IF(AND(ISNUMBER(N29),ISNUMBER(J29)),IF(N29&lt;=J29,"PASS","FAIL"),"n/a")</f>
        <v>PASS</v>
      </c>
    </row>
    <row r="30" customFormat="false" ht="23.85" hidden="false" customHeight="false" outlineLevel="0" collapsed="false">
      <c r="A30" s="7" t="s">
        <v>84</v>
      </c>
      <c r="B30" s="7" t="s">
        <v>27</v>
      </c>
      <c r="C30" s="7" t="s">
        <v>85</v>
      </c>
      <c r="D30" s="7"/>
      <c r="E30" s="7"/>
      <c r="F30" s="8" t="n">
        <v>0</v>
      </c>
      <c r="G30" s="8" t="n">
        <v>0</v>
      </c>
      <c r="H30" s="7" t="n">
        <v>0</v>
      </c>
      <c r="I30" s="7"/>
      <c r="J30" s="7" t="n">
        <v>0</v>
      </c>
      <c r="K30" s="9" t="s">
        <v>4</v>
      </c>
      <c r="L30" s="7"/>
      <c r="M30" s="7"/>
      <c r="N30" s="10" t="n">
        <f aca="false">IF(AND(ISNUMBER(F30),ISNUMBER(G30)),ABS(G30-F30),"")</f>
        <v>0</v>
      </c>
      <c r="O30" s="4" t="str">
        <f aca="false">IF(AND(ISNUMBER(N30),ISNUMBER(J30)),IF(N30&lt;=J30,"PASS","FAIL"),"n/a")</f>
        <v>PASS</v>
      </c>
    </row>
    <row r="31" customFormat="false" ht="23.85" hidden="false" customHeight="false" outlineLevel="0" collapsed="false">
      <c r="A31" s="7" t="s">
        <v>86</v>
      </c>
      <c r="B31" s="7" t="s">
        <v>27</v>
      </c>
      <c r="C31" s="7" t="s">
        <v>87</v>
      </c>
      <c r="D31" s="7"/>
      <c r="E31" s="7"/>
      <c r="F31" s="8" t="n">
        <v>0</v>
      </c>
      <c r="G31" s="8" t="n">
        <v>0</v>
      </c>
      <c r="H31" s="7" t="n">
        <v>0</v>
      </c>
      <c r="I31" s="7"/>
      <c r="J31" s="7" t="n">
        <v>0</v>
      </c>
      <c r="K31" s="9" t="s">
        <v>4</v>
      </c>
      <c r="L31" s="7"/>
      <c r="M31" s="7"/>
      <c r="N31" s="10" t="n">
        <f aca="false">IF(AND(ISNUMBER(F31),ISNUMBER(G31)),ABS(G31-F31),"")</f>
        <v>0</v>
      </c>
      <c r="O31" s="4" t="str">
        <f aca="false">IF(AND(ISNUMBER(N31),ISNUMBER(J31)),IF(N31&lt;=J31,"PASS","FAIL"),"n/a")</f>
        <v>PASS</v>
      </c>
    </row>
    <row r="32" customFormat="false" ht="23.85" hidden="false" customHeight="false" outlineLevel="0" collapsed="false">
      <c r="A32" s="7" t="s">
        <v>88</v>
      </c>
      <c r="B32" s="7" t="s">
        <v>27</v>
      </c>
      <c r="C32" s="7" t="s">
        <v>89</v>
      </c>
      <c r="D32" s="7"/>
      <c r="E32" s="7"/>
      <c r="F32" s="8" t="n">
        <v>0</v>
      </c>
      <c r="G32" s="8" t="n">
        <v>0</v>
      </c>
      <c r="H32" s="7" t="n">
        <v>0</v>
      </c>
      <c r="I32" s="7"/>
      <c r="J32" s="7" t="n">
        <v>0</v>
      </c>
      <c r="K32" s="9" t="s">
        <v>4</v>
      </c>
      <c r="L32" s="7"/>
      <c r="M32" s="7"/>
      <c r="N32" s="10" t="n">
        <f aca="false">IF(AND(ISNUMBER(F32),ISNUMBER(G32)),ABS(G32-F32),"")</f>
        <v>0</v>
      </c>
      <c r="O32" s="4" t="str">
        <f aca="false">IF(AND(ISNUMBER(N32),ISNUMBER(J32)),IF(N32&lt;=J32,"PASS","FAIL"),"n/a")</f>
        <v>PASS</v>
      </c>
    </row>
    <row r="33" customFormat="false" ht="23.85" hidden="false" customHeight="false" outlineLevel="0" collapsed="false">
      <c r="A33" s="7" t="s">
        <v>90</v>
      </c>
      <c r="B33" s="7" t="s">
        <v>27</v>
      </c>
      <c r="C33" s="7" t="s">
        <v>91</v>
      </c>
      <c r="D33" s="7"/>
      <c r="E33" s="7"/>
      <c r="F33" s="8" t="n">
        <v>0</v>
      </c>
      <c r="G33" s="8" t="n">
        <v>0</v>
      </c>
      <c r="H33" s="7" t="n">
        <v>0</v>
      </c>
      <c r="I33" s="7"/>
      <c r="J33" s="7" t="n">
        <v>0</v>
      </c>
      <c r="K33" s="9" t="s">
        <v>4</v>
      </c>
      <c r="L33" s="7"/>
      <c r="M33" s="7"/>
      <c r="N33" s="10" t="n">
        <f aca="false">IF(AND(ISNUMBER(F33),ISNUMBER(G33)),ABS(G33-F33),"")</f>
        <v>0</v>
      </c>
      <c r="O33" s="4" t="str">
        <f aca="false">IF(AND(ISNUMBER(N33),ISNUMBER(J33)),IF(N33&lt;=J33,"PASS","FAIL"),"n/a")</f>
        <v>PASS</v>
      </c>
    </row>
    <row r="34" customFormat="false" ht="23.85" hidden="false" customHeight="false" outlineLevel="0" collapsed="false">
      <c r="A34" s="7" t="s">
        <v>92</v>
      </c>
      <c r="B34" s="7" t="s">
        <v>27</v>
      </c>
      <c r="C34" s="7" t="s">
        <v>93</v>
      </c>
      <c r="D34" s="7"/>
      <c r="E34" s="7"/>
      <c r="F34" s="8" t="n">
        <v>0</v>
      </c>
      <c r="G34" s="8" t="n">
        <v>0</v>
      </c>
      <c r="H34" s="7" t="n">
        <v>0</v>
      </c>
      <c r="I34" s="7"/>
      <c r="J34" s="7" t="n">
        <v>0</v>
      </c>
      <c r="K34" s="9" t="s">
        <v>4</v>
      </c>
      <c r="L34" s="7"/>
      <c r="M34" s="7"/>
      <c r="N34" s="10" t="n">
        <f aca="false">IF(AND(ISNUMBER(F34),ISNUMBER(G34)),ABS(G34-F34),"")</f>
        <v>0</v>
      </c>
      <c r="O34" s="4" t="str">
        <f aca="false">IF(AND(ISNUMBER(N34),ISNUMBER(J34)),IF(N34&lt;=J34,"PASS","FAIL"),"n/a")</f>
        <v>PASS</v>
      </c>
    </row>
    <row r="35" customFormat="false" ht="23.85" hidden="false" customHeight="false" outlineLevel="0" collapsed="false">
      <c r="A35" s="7" t="s">
        <v>94</v>
      </c>
      <c r="B35" s="7" t="s">
        <v>27</v>
      </c>
      <c r="C35" s="7" t="s">
        <v>95</v>
      </c>
      <c r="D35" s="7"/>
      <c r="E35" s="7"/>
      <c r="F35" s="8" t="n">
        <v>0</v>
      </c>
      <c r="G35" s="8" t="n">
        <v>0</v>
      </c>
      <c r="H35" s="7" t="n">
        <v>0</v>
      </c>
      <c r="I35" s="7"/>
      <c r="J35" s="7" t="n">
        <v>0</v>
      </c>
      <c r="K35" s="9" t="s">
        <v>4</v>
      </c>
      <c r="L35" s="7"/>
      <c r="M35" s="7"/>
      <c r="N35" s="10" t="n">
        <f aca="false">IF(AND(ISNUMBER(F35),ISNUMBER(G35)),ABS(G35-F35),"")</f>
        <v>0</v>
      </c>
      <c r="O35" s="4" t="str">
        <f aca="false">IF(AND(ISNUMBER(N35),ISNUMBER(J35)),IF(N35&lt;=J35,"PASS","FAIL"),"n/a")</f>
        <v>PASS</v>
      </c>
    </row>
    <row r="36" customFormat="false" ht="68.65" hidden="false" customHeight="false" outlineLevel="0" collapsed="false">
      <c r="A36" s="7" t="s">
        <v>96</v>
      </c>
      <c r="B36" s="7" t="s">
        <v>27</v>
      </c>
      <c r="C36" s="7" t="s">
        <v>97</v>
      </c>
      <c r="D36" s="7"/>
      <c r="E36" s="7"/>
      <c r="F36" s="7"/>
      <c r="G36" s="8" t="n">
        <v>428020</v>
      </c>
      <c r="H36" s="7"/>
      <c r="I36" s="7"/>
      <c r="J36" s="7"/>
      <c r="K36" s="11" t="s">
        <v>8</v>
      </c>
      <c r="L36" s="7" t="s">
        <v>98</v>
      </c>
      <c r="M36" s="7" t="s">
        <v>99</v>
      </c>
      <c r="N36" s="10" t="str">
        <f aca="false">IF(AND(ISNUMBER(F36),ISNUMBER(G36)),ABS(G36-F36),"")</f>
        <v/>
      </c>
      <c r="O36" s="4" t="str">
        <f aca="false">IF(AND(ISNUMBER(N36),ISNUMBER(J36)),IF(N36&lt;=J36,"PASS","FAIL"),"n/a")</f>
        <v>n/a</v>
      </c>
    </row>
    <row r="37" customFormat="false" ht="26.85" hidden="false" customHeight="false" outlineLevel="0" collapsed="false">
      <c r="A37" s="7" t="s">
        <v>100</v>
      </c>
      <c r="B37" s="7" t="s">
        <v>27</v>
      </c>
      <c r="C37" s="7" t="s">
        <v>101</v>
      </c>
      <c r="D37" s="7"/>
      <c r="E37" s="7" t="s">
        <v>102</v>
      </c>
      <c r="F37" s="8" t="n">
        <v>0</v>
      </c>
      <c r="G37" s="8" t="n">
        <v>0</v>
      </c>
      <c r="H37" s="7" t="n">
        <v>0</v>
      </c>
      <c r="I37" s="7"/>
      <c r="J37" s="7" t="n">
        <v>0</v>
      </c>
      <c r="K37" s="9" t="s">
        <v>4</v>
      </c>
      <c r="L37" s="7"/>
      <c r="M37" s="7"/>
      <c r="N37" s="10" t="n">
        <f aca="false">IF(AND(ISNUMBER(F37),ISNUMBER(G37)),ABS(G37-F37),"")</f>
        <v>0</v>
      </c>
      <c r="O37" s="4" t="str">
        <f aca="false">IF(AND(ISNUMBER(N37),ISNUMBER(J37)),IF(N37&lt;=J37,"PASS","FAIL"),"n/a")</f>
        <v>PASS</v>
      </c>
    </row>
    <row r="38" customFormat="false" ht="35.05" hidden="false" customHeight="false" outlineLevel="0" collapsed="false">
      <c r="A38" s="7" t="s">
        <v>103</v>
      </c>
      <c r="B38" s="7" t="s">
        <v>27</v>
      </c>
      <c r="C38" s="7" t="s">
        <v>104</v>
      </c>
      <c r="D38" s="7"/>
      <c r="E38" s="7" t="s">
        <v>105</v>
      </c>
      <c r="F38" s="8" t="n">
        <v>0</v>
      </c>
      <c r="G38" s="8" t="n">
        <v>0</v>
      </c>
      <c r="H38" s="7" t="n">
        <v>0</v>
      </c>
      <c r="I38" s="7"/>
      <c r="J38" s="7" t="n">
        <v>0</v>
      </c>
      <c r="K38" s="9" t="s">
        <v>4</v>
      </c>
      <c r="L38" s="7"/>
      <c r="M38" s="7"/>
      <c r="N38" s="10" t="n">
        <f aca="false">IF(AND(ISNUMBER(F38),ISNUMBER(G38)),ABS(G38-F38),"")</f>
        <v>0</v>
      </c>
      <c r="O38" s="4" t="str">
        <f aca="false">IF(AND(ISNUMBER(N38),ISNUMBER(J38)),IF(N38&lt;=J38,"PASS","FAIL"),"n/a")</f>
        <v>PASS</v>
      </c>
    </row>
    <row r="39" customFormat="false" ht="23.85" hidden="false" customHeight="false" outlineLevel="0" collapsed="false">
      <c r="A39" s="7" t="s">
        <v>106</v>
      </c>
      <c r="B39" s="7" t="s">
        <v>27</v>
      </c>
      <c r="C39" s="7" t="s">
        <v>107</v>
      </c>
      <c r="D39" s="7"/>
      <c r="E39" s="7"/>
      <c r="F39" s="7"/>
      <c r="G39" s="8" t="n">
        <v>9128</v>
      </c>
      <c r="H39" s="7"/>
      <c r="I39" s="7"/>
      <c r="J39" s="7"/>
      <c r="K39" s="11" t="s">
        <v>8</v>
      </c>
      <c r="L39" s="7" t="s">
        <v>108</v>
      </c>
      <c r="M39" s="7"/>
      <c r="N39" s="10" t="str">
        <f aca="false">IF(AND(ISNUMBER(F39),ISNUMBER(G39)),ABS(G39-F39),"")</f>
        <v/>
      </c>
      <c r="O39" s="4" t="str">
        <f aca="false">IF(AND(ISNUMBER(N39),ISNUMBER(J39)),IF(N39&lt;=J39,"PASS","FAIL"),"n/a")</f>
        <v>n/a</v>
      </c>
    </row>
    <row r="40" customFormat="false" ht="26.85" hidden="false" customHeight="false" outlineLevel="0" collapsed="false">
      <c r="A40" s="7" t="s">
        <v>109</v>
      </c>
      <c r="B40" s="7" t="s">
        <v>27</v>
      </c>
      <c r="C40" s="7" t="s">
        <v>110</v>
      </c>
      <c r="D40" s="7"/>
      <c r="E40" s="7" t="s">
        <v>102</v>
      </c>
      <c r="F40" s="8" t="n">
        <v>0</v>
      </c>
      <c r="G40" s="8" t="n">
        <v>0</v>
      </c>
      <c r="H40" s="7" t="n">
        <v>0</v>
      </c>
      <c r="I40" s="7"/>
      <c r="J40" s="7" t="n">
        <v>0</v>
      </c>
      <c r="K40" s="9" t="s">
        <v>4</v>
      </c>
      <c r="L40" s="7"/>
      <c r="M40" s="7"/>
      <c r="N40" s="10" t="n">
        <f aca="false">IF(AND(ISNUMBER(F40),ISNUMBER(G40)),ABS(G40-F40),"")</f>
        <v>0</v>
      </c>
      <c r="O40" s="4" t="str">
        <f aca="false">IF(AND(ISNUMBER(N40),ISNUMBER(J40)),IF(N40&lt;=J40,"PASS","FAIL"),"n/a")</f>
        <v>PASS</v>
      </c>
    </row>
    <row r="41" customFormat="false" ht="35.05" hidden="false" customHeight="false" outlineLevel="0" collapsed="false">
      <c r="A41" s="7" t="s">
        <v>111</v>
      </c>
      <c r="B41" s="7" t="s">
        <v>27</v>
      </c>
      <c r="C41" s="7" t="s">
        <v>112</v>
      </c>
      <c r="D41" s="7"/>
      <c r="E41" s="7" t="s">
        <v>105</v>
      </c>
      <c r="F41" s="8" t="n">
        <v>0</v>
      </c>
      <c r="G41" s="8" t="n">
        <v>0</v>
      </c>
      <c r="H41" s="7" t="n">
        <v>0</v>
      </c>
      <c r="I41" s="7"/>
      <c r="J41" s="7" t="n">
        <v>0</v>
      </c>
      <c r="K41" s="9" t="s">
        <v>4</v>
      </c>
      <c r="L41" s="7"/>
      <c r="M41" s="7"/>
      <c r="N41" s="10" t="n">
        <f aca="false">IF(AND(ISNUMBER(F41),ISNUMBER(G41)),ABS(G41-F41),"")</f>
        <v>0</v>
      </c>
      <c r="O41" s="4" t="str">
        <f aca="false">IF(AND(ISNUMBER(N41),ISNUMBER(J41)),IF(N41&lt;=J41,"PASS","FAIL"),"n/a")</f>
        <v>PASS</v>
      </c>
    </row>
    <row r="42" customFormat="false" ht="23.85" hidden="false" customHeight="false" outlineLevel="0" collapsed="false">
      <c r="A42" s="7" t="s">
        <v>113</v>
      </c>
      <c r="B42" s="7" t="s">
        <v>27</v>
      </c>
      <c r="C42" s="7" t="s">
        <v>114</v>
      </c>
      <c r="D42" s="7"/>
      <c r="E42" s="7"/>
      <c r="F42" s="7"/>
      <c r="G42" s="8" t="n">
        <v>9317</v>
      </c>
      <c r="H42" s="7"/>
      <c r="I42" s="7"/>
      <c r="J42" s="7"/>
      <c r="K42" s="11" t="s">
        <v>8</v>
      </c>
      <c r="L42" s="7" t="s">
        <v>108</v>
      </c>
      <c r="M42" s="7"/>
      <c r="N42" s="10" t="str">
        <f aca="false">IF(AND(ISNUMBER(F42),ISNUMBER(G42)),ABS(G42-F42),"")</f>
        <v/>
      </c>
      <c r="O42" s="4" t="str">
        <f aca="false">IF(AND(ISNUMBER(N42),ISNUMBER(J42)),IF(N42&lt;=J42,"PASS","FAIL"),"n/a")</f>
        <v>n/a</v>
      </c>
    </row>
    <row r="43" customFormat="false" ht="26.85" hidden="false" customHeight="false" outlineLevel="0" collapsed="false">
      <c r="A43" s="7" t="s">
        <v>115</v>
      </c>
      <c r="B43" s="7" t="s">
        <v>27</v>
      </c>
      <c r="C43" s="7" t="s">
        <v>116</v>
      </c>
      <c r="D43" s="7"/>
      <c r="E43" s="7" t="s">
        <v>102</v>
      </c>
      <c r="F43" s="8" t="n">
        <v>0</v>
      </c>
      <c r="G43" s="8" t="n">
        <v>0</v>
      </c>
      <c r="H43" s="7" t="n">
        <v>0</v>
      </c>
      <c r="I43" s="7"/>
      <c r="J43" s="7" t="n">
        <v>0</v>
      </c>
      <c r="K43" s="9" t="s">
        <v>4</v>
      </c>
      <c r="L43" s="7"/>
      <c r="M43" s="7"/>
      <c r="N43" s="10" t="n">
        <f aca="false">IF(AND(ISNUMBER(F43),ISNUMBER(G43)),ABS(G43-F43),"")</f>
        <v>0</v>
      </c>
      <c r="O43" s="4" t="str">
        <f aca="false">IF(AND(ISNUMBER(N43),ISNUMBER(J43)),IF(N43&lt;=J43,"PASS","FAIL"),"n/a")</f>
        <v>PASS</v>
      </c>
    </row>
    <row r="44" customFormat="false" ht="35.05" hidden="false" customHeight="false" outlineLevel="0" collapsed="false">
      <c r="A44" s="7" t="s">
        <v>117</v>
      </c>
      <c r="B44" s="7" t="s">
        <v>27</v>
      </c>
      <c r="C44" s="7" t="s">
        <v>118</v>
      </c>
      <c r="D44" s="7"/>
      <c r="E44" s="7" t="s">
        <v>105</v>
      </c>
      <c r="F44" s="8" t="n">
        <v>0</v>
      </c>
      <c r="G44" s="8" t="n">
        <v>0</v>
      </c>
      <c r="H44" s="7" t="n">
        <v>0</v>
      </c>
      <c r="I44" s="7"/>
      <c r="J44" s="7" t="n">
        <v>0</v>
      </c>
      <c r="K44" s="9" t="s">
        <v>4</v>
      </c>
      <c r="L44" s="7"/>
      <c r="M44" s="7"/>
      <c r="N44" s="10" t="n">
        <f aca="false">IF(AND(ISNUMBER(F44),ISNUMBER(G44)),ABS(G44-F44),"")</f>
        <v>0</v>
      </c>
      <c r="O44" s="4" t="str">
        <f aca="false">IF(AND(ISNUMBER(N44),ISNUMBER(J44)),IF(N44&lt;=J44,"PASS","FAIL"),"n/a")</f>
        <v>PASS</v>
      </c>
    </row>
    <row r="45" customFormat="false" ht="23.85" hidden="false" customHeight="false" outlineLevel="0" collapsed="false">
      <c r="A45" s="7" t="s">
        <v>119</v>
      </c>
      <c r="B45" s="7" t="s">
        <v>27</v>
      </c>
      <c r="C45" s="7" t="s">
        <v>120</v>
      </c>
      <c r="D45" s="7"/>
      <c r="E45" s="7"/>
      <c r="F45" s="7"/>
      <c r="G45" s="8" t="n">
        <v>9123</v>
      </c>
      <c r="H45" s="7"/>
      <c r="I45" s="7"/>
      <c r="J45" s="7"/>
      <c r="K45" s="11" t="s">
        <v>8</v>
      </c>
      <c r="L45" s="7" t="s">
        <v>108</v>
      </c>
      <c r="M45" s="7"/>
      <c r="N45" s="10" t="str">
        <f aca="false">IF(AND(ISNUMBER(F45),ISNUMBER(G45)),ABS(G45-F45),"")</f>
        <v/>
      </c>
      <c r="O45" s="4" t="str">
        <f aca="false">IF(AND(ISNUMBER(N45),ISNUMBER(J45)),IF(N45&lt;=J45,"PASS","FAIL"),"n/a")</f>
        <v>n/a</v>
      </c>
    </row>
    <row r="46" customFormat="false" ht="26.85" hidden="false" customHeight="false" outlineLevel="0" collapsed="false">
      <c r="A46" s="7" t="s">
        <v>121</v>
      </c>
      <c r="B46" s="7" t="s">
        <v>27</v>
      </c>
      <c r="C46" s="7" t="s">
        <v>122</v>
      </c>
      <c r="D46" s="7"/>
      <c r="E46" s="7" t="s">
        <v>102</v>
      </c>
      <c r="F46" s="8" t="n">
        <v>0</v>
      </c>
      <c r="G46" s="8" t="n">
        <v>0</v>
      </c>
      <c r="H46" s="7" t="n">
        <v>0</v>
      </c>
      <c r="I46" s="7"/>
      <c r="J46" s="7" t="n">
        <v>0</v>
      </c>
      <c r="K46" s="9" t="s">
        <v>4</v>
      </c>
      <c r="L46" s="7"/>
      <c r="M46" s="7"/>
      <c r="N46" s="10" t="n">
        <f aca="false">IF(AND(ISNUMBER(F46),ISNUMBER(G46)),ABS(G46-F46),"")</f>
        <v>0</v>
      </c>
      <c r="O46" s="4" t="str">
        <f aca="false">IF(AND(ISNUMBER(N46),ISNUMBER(J46)),IF(N46&lt;=J46,"PASS","FAIL"),"n/a")</f>
        <v>PASS</v>
      </c>
    </row>
    <row r="47" customFormat="false" ht="35.05" hidden="false" customHeight="false" outlineLevel="0" collapsed="false">
      <c r="A47" s="7" t="s">
        <v>123</v>
      </c>
      <c r="B47" s="7" t="s">
        <v>27</v>
      </c>
      <c r="C47" s="7" t="s">
        <v>124</v>
      </c>
      <c r="D47" s="7"/>
      <c r="E47" s="7" t="s">
        <v>105</v>
      </c>
      <c r="F47" s="8" t="n">
        <v>0</v>
      </c>
      <c r="G47" s="8" t="n">
        <v>0</v>
      </c>
      <c r="H47" s="7" t="n">
        <v>0</v>
      </c>
      <c r="I47" s="7"/>
      <c r="J47" s="7" t="n">
        <v>0</v>
      </c>
      <c r="K47" s="9" t="s">
        <v>4</v>
      </c>
      <c r="L47" s="7"/>
      <c r="M47" s="7"/>
      <c r="N47" s="10" t="n">
        <f aca="false">IF(AND(ISNUMBER(F47),ISNUMBER(G47)),ABS(G47-F47),"")</f>
        <v>0</v>
      </c>
      <c r="O47" s="4" t="str">
        <f aca="false">IF(AND(ISNUMBER(N47),ISNUMBER(J47)),IF(N47&lt;=J47,"PASS","FAIL"),"n/a")</f>
        <v>PASS</v>
      </c>
    </row>
    <row r="48" customFormat="false" ht="23.85" hidden="false" customHeight="false" outlineLevel="0" collapsed="false">
      <c r="A48" s="7" t="s">
        <v>125</v>
      </c>
      <c r="B48" s="7" t="s">
        <v>27</v>
      </c>
      <c r="C48" s="7" t="s">
        <v>126</v>
      </c>
      <c r="D48" s="7"/>
      <c r="E48" s="7"/>
      <c r="F48" s="7"/>
      <c r="G48" s="8" t="n">
        <v>9260</v>
      </c>
      <c r="H48" s="7"/>
      <c r="I48" s="7"/>
      <c r="J48" s="7"/>
      <c r="K48" s="11" t="s">
        <v>8</v>
      </c>
      <c r="L48" s="7" t="s">
        <v>108</v>
      </c>
      <c r="M48" s="7"/>
      <c r="N48" s="10" t="str">
        <f aca="false">IF(AND(ISNUMBER(F48),ISNUMBER(G48)),ABS(G48-F48),"")</f>
        <v/>
      </c>
      <c r="O48" s="4" t="str">
        <f aca="false">IF(AND(ISNUMBER(N48),ISNUMBER(J48)),IF(N48&lt;=J48,"PASS","FAIL"),"n/a")</f>
        <v>n/a</v>
      </c>
    </row>
    <row r="49" customFormat="false" ht="26.85" hidden="false" customHeight="false" outlineLevel="0" collapsed="false">
      <c r="A49" s="7" t="s">
        <v>127</v>
      </c>
      <c r="B49" s="7" t="s">
        <v>27</v>
      </c>
      <c r="C49" s="7" t="s">
        <v>128</v>
      </c>
      <c r="D49" s="7"/>
      <c r="E49" s="7" t="s">
        <v>102</v>
      </c>
      <c r="F49" s="8" t="n">
        <v>0</v>
      </c>
      <c r="G49" s="8" t="n">
        <v>0</v>
      </c>
      <c r="H49" s="7" t="n">
        <v>0</v>
      </c>
      <c r="I49" s="7"/>
      <c r="J49" s="7" t="n">
        <v>0</v>
      </c>
      <c r="K49" s="9" t="s">
        <v>4</v>
      </c>
      <c r="L49" s="7"/>
      <c r="M49" s="7"/>
      <c r="N49" s="10" t="n">
        <f aca="false">IF(AND(ISNUMBER(F49),ISNUMBER(G49)),ABS(G49-F49),"")</f>
        <v>0</v>
      </c>
      <c r="O49" s="4" t="str">
        <f aca="false">IF(AND(ISNUMBER(N49),ISNUMBER(J49)),IF(N49&lt;=J49,"PASS","FAIL"),"n/a")</f>
        <v>PASS</v>
      </c>
    </row>
    <row r="50" customFormat="false" ht="35.05" hidden="false" customHeight="false" outlineLevel="0" collapsed="false">
      <c r="A50" s="7" t="s">
        <v>129</v>
      </c>
      <c r="B50" s="7" t="s">
        <v>27</v>
      </c>
      <c r="C50" s="7" t="s">
        <v>130</v>
      </c>
      <c r="D50" s="7"/>
      <c r="E50" s="7" t="s">
        <v>105</v>
      </c>
      <c r="F50" s="8" t="n">
        <v>0</v>
      </c>
      <c r="G50" s="8" t="n">
        <v>0</v>
      </c>
      <c r="H50" s="7" t="n">
        <v>0</v>
      </c>
      <c r="I50" s="7"/>
      <c r="J50" s="7" t="n">
        <v>0</v>
      </c>
      <c r="K50" s="9" t="s">
        <v>4</v>
      </c>
      <c r="L50" s="7"/>
      <c r="M50" s="7"/>
      <c r="N50" s="10" t="n">
        <f aca="false">IF(AND(ISNUMBER(F50),ISNUMBER(G50)),ABS(G50-F50),"")</f>
        <v>0</v>
      </c>
      <c r="O50" s="4" t="str">
        <f aca="false">IF(AND(ISNUMBER(N50),ISNUMBER(J50)),IF(N50&lt;=J50,"PASS","FAIL"),"n/a")</f>
        <v>PASS</v>
      </c>
    </row>
    <row r="51" customFormat="false" ht="23.85" hidden="false" customHeight="false" outlineLevel="0" collapsed="false">
      <c r="A51" s="7" t="s">
        <v>131</v>
      </c>
      <c r="B51" s="7" t="s">
        <v>27</v>
      </c>
      <c r="C51" s="7" t="s">
        <v>132</v>
      </c>
      <c r="D51" s="7"/>
      <c r="E51" s="7"/>
      <c r="F51" s="7"/>
      <c r="G51" s="8" t="n">
        <v>9058</v>
      </c>
      <c r="H51" s="7"/>
      <c r="I51" s="7"/>
      <c r="J51" s="7"/>
      <c r="K51" s="11" t="s">
        <v>8</v>
      </c>
      <c r="L51" s="7" t="s">
        <v>108</v>
      </c>
      <c r="M51" s="7"/>
      <c r="N51" s="10" t="str">
        <f aca="false">IF(AND(ISNUMBER(F51),ISNUMBER(G51)),ABS(G51-F51),"")</f>
        <v/>
      </c>
      <c r="O51" s="4" t="str">
        <f aca="false">IF(AND(ISNUMBER(N51),ISNUMBER(J51)),IF(N51&lt;=J51,"PASS","FAIL"),"n/a")</f>
        <v>n/a</v>
      </c>
    </row>
    <row r="52" customFormat="false" ht="23.85" hidden="false" customHeight="false" outlineLevel="0" collapsed="false">
      <c r="A52" s="7" t="s">
        <v>133</v>
      </c>
      <c r="B52" s="7" t="s">
        <v>27</v>
      </c>
      <c r="C52" s="7" t="s">
        <v>134</v>
      </c>
      <c r="D52" s="7"/>
      <c r="E52" s="7"/>
      <c r="F52" s="8" t="n">
        <v>0</v>
      </c>
      <c r="G52" s="8" t="n">
        <v>0</v>
      </c>
      <c r="H52" s="7" t="n">
        <v>0</v>
      </c>
      <c r="I52" s="7"/>
      <c r="J52" s="7" t="n">
        <v>0</v>
      </c>
      <c r="K52" s="9" t="s">
        <v>4</v>
      </c>
      <c r="L52" s="7"/>
      <c r="M52" s="7"/>
      <c r="N52" s="10" t="n">
        <f aca="false">IF(AND(ISNUMBER(F52),ISNUMBER(G52)),ABS(G52-F52),"")</f>
        <v>0</v>
      </c>
      <c r="O52" s="4" t="str">
        <f aca="false">IF(AND(ISNUMBER(N52),ISNUMBER(J52)),IF(N52&lt;=J52,"PASS","FAIL"),"n/a")</f>
        <v>PASS</v>
      </c>
    </row>
    <row r="53" customFormat="false" ht="23.85" hidden="false" customHeight="false" outlineLevel="0" collapsed="false">
      <c r="A53" s="7" t="s">
        <v>135</v>
      </c>
      <c r="B53" s="7" t="s">
        <v>27</v>
      </c>
      <c r="C53" s="7" t="s">
        <v>136</v>
      </c>
      <c r="D53" s="7"/>
      <c r="E53" s="7" t="s">
        <v>137</v>
      </c>
      <c r="F53" s="8" t="n">
        <v>0</v>
      </c>
      <c r="G53" s="8" t="n">
        <v>0</v>
      </c>
      <c r="H53" s="7" t="n">
        <v>0</v>
      </c>
      <c r="I53" s="7"/>
      <c r="J53" s="7" t="n">
        <v>0</v>
      </c>
      <c r="K53" s="9" t="s">
        <v>4</v>
      </c>
      <c r="L53" s="7"/>
      <c r="M53" s="7"/>
      <c r="N53" s="10" t="n">
        <f aca="false">IF(AND(ISNUMBER(F53),ISNUMBER(G53)),ABS(G53-F53),"")</f>
        <v>0</v>
      </c>
      <c r="O53" s="4" t="str">
        <f aca="false">IF(AND(ISNUMBER(N53),ISNUMBER(J53)),IF(N53&lt;=J53,"PASS","FAIL"),"n/a")</f>
        <v>PASS</v>
      </c>
    </row>
    <row r="54" customFormat="false" ht="23.85" hidden="false" customHeight="false" outlineLevel="0" collapsed="false">
      <c r="A54" s="7" t="s">
        <v>138</v>
      </c>
      <c r="B54" s="7" t="s">
        <v>27</v>
      </c>
      <c r="C54" s="7" t="s">
        <v>139</v>
      </c>
      <c r="D54" s="7"/>
      <c r="E54" s="7" t="s">
        <v>137</v>
      </c>
      <c r="F54" s="8" t="n">
        <v>0</v>
      </c>
      <c r="G54" s="8" t="n">
        <v>0</v>
      </c>
      <c r="H54" s="7" t="n">
        <v>0</v>
      </c>
      <c r="I54" s="7"/>
      <c r="J54" s="7" t="n">
        <v>0</v>
      </c>
      <c r="K54" s="9" t="s">
        <v>4</v>
      </c>
      <c r="L54" s="7"/>
      <c r="M54" s="7"/>
      <c r="N54" s="10" t="n">
        <f aca="false">IF(AND(ISNUMBER(F54),ISNUMBER(G54)),ABS(G54-F54),"")</f>
        <v>0</v>
      </c>
      <c r="O54" s="4" t="str">
        <f aca="false">IF(AND(ISNUMBER(N54),ISNUMBER(J54)),IF(N54&lt;=J54,"PASS","FAIL"),"n/a")</f>
        <v>PASS</v>
      </c>
    </row>
    <row r="55" customFormat="false" ht="23.85" hidden="false" customHeight="false" outlineLevel="0" collapsed="false">
      <c r="A55" s="7" t="s">
        <v>140</v>
      </c>
      <c r="B55" s="7" t="s">
        <v>27</v>
      </c>
      <c r="C55" s="7" t="s">
        <v>141</v>
      </c>
      <c r="D55" s="7"/>
      <c r="E55" s="7" t="s">
        <v>137</v>
      </c>
      <c r="F55" s="8" t="n">
        <v>0</v>
      </c>
      <c r="G55" s="8" t="n">
        <v>0</v>
      </c>
      <c r="H55" s="7" t="n">
        <v>0</v>
      </c>
      <c r="I55" s="7"/>
      <c r="J55" s="7" t="n">
        <v>0</v>
      </c>
      <c r="K55" s="9" t="s">
        <v>4</v>
      </c>
      <c r="L55" s="7"/>
      <c r="M55" s="7"/>
      <c r="N55" s="10" t="n">
        <f aca="false">IF(AND(ISNUMBER(F55),ISNUMBER(G55)),ABS(G55-F55),"")</f>
        <v>0</v>
      </c>
      <c r="O55" s="4" t="str">
        <f aca="false">IF(AND(ISNUMBER(N55),ISNUMBER(J55)),IF(N55&lt;=J55,"PASS","FAIL"),"n/a")</f>
        <v>PASS</v>
      </c>
    </row>
    <row r="56" customFormat="false" ht="23.85" hidden="false" customHeight="false" outlineLevel="0" collapsed="false">
      <c r="A56" s="7" t="s">
        <v>142</v>
      </c>
      <c r="B56" s="7" t="s">
        <v>27</v>
      </c>
      <c r="C56" s="7" t="s">
        <v>143</v>
      </c>
      <c r="D56" s="7"/>
      <c r="E56" s="7" t="s">
        <v>137</v>
      </c>
      <c r="F56" s="8" t="n">
        <v>0</v>
      </c>
      <c r="G56" s="8" t="n">
        <v>0</v>
      </c>
      <c r="H56" s="7" t="n">
        <v>0</v>
      </c>
      <c r="I56" s="7"/>
      <c r="J56" s="7" t="n">
        <v>0</v>
      </c>
      <c r="K56" s="9" t="s">
        <v>4</v>
      </c>
      <c r="L56" s="7"/>
      <c r="M56" s="7"/>
      <c r="N56" s="10" t="n">
        <f aca="false">IF(AND(ISNUMBER(F56),ISNUMBER(G56)),ABS(G56-F56),"")</f>
        <v>0</v>
      </c>
      <c r="O56" s="4" t="str">
        <f aca="false">IF(AND(ISNUMBER(N56),ISNUMBER(J56)),IF(N56&lt;=J56,"PASS","FAIL"),"n/a")</f>
        <v>PASS</v>
      </c>
    </row>
    <row r="57" customFormat="false" ht="23.85" hidden="false" customHeight="false" outlineLevel="0" collapsed="false">
      <c r="A57" s="7" t="s">
        <v>144</v>
      </c>
      <c r="B57" s="7" t="s">
        <v>27</v>
      </c>
      <c r="C57" s="7" t="s">
        <v>145</v>
      </c>
      <c r="D57" s="7"/>
      <c r="E57" s="7" t="s">
        <v>137</v>
      </c>
      <c r="F57" s="8" t="n">
        <v>0</v>
      </c>
      <c r="G57" s="8" t="n">
        <v>0</v>
      </c>
      <c r="H57" s="7" t="n">
        <v>0</v>
      </c>
      <c r="I57" s="7"/>
      <c r="J57" s="7" t="n">
        <v>0</v>
      </c>
      <c r="K57" s="9" t="s">
        <v>4</v>
      </c>
      <c r="L57" s="7"/>
      <c r="M57" s="7"/>
      <c r="N57" s="10" t="n">
        <f aca="false">IF(AND(ISNUMBER(F57),ISNUMBER(G57)),ABS(G57-F57),"")</f>
        <v>0</v>
      </c>
      <c r="O57" s="4" t="str">
        <f aca="false">IF(AND(ISNUMBER(N57),ISNUMBER(J57)),IF(N57&lt;=J57,"PASS","FAIL"),"n/a")</f>
        <v>PASS</v>
      </c>
    </row>
    <row r="58" customFormat="false" ht="23.85" hidden="false" customHeight="false" outlineLevel="0" collapsed="false">
      <c r="A58" s="7" t="s">
        <v>146</v>
      </c>
      <c r="B58" s="7" t="s">
        <v>27</v>
      </c>
      <c r="C58" s="7" t="s">
        <v>147</v>
      </c>
      <c r="D58" s="7"/>
      <c r="E58" s="7"/>
      <c r="F58" s="8" t="n">
        <v>6265</v>
      </c>
      <c r="G58" s="8" t="n">
        <v>6265</v>
      </c>
      <c r="H58" s="7" t="n">
        <v>0</v>
      </c>
      <c r="I58" s="7" t="n">
        <v>0</v>
      </c>
      <c r="J58" s="7" t="n">
        <v>0</v>
      </c>
      <c r="K58" s="9" t="s">
        <v>4</v>
      </c>
      <c r="L58" s="7" t="s">
        <v>148</v>
      </c>
      <c r="M58" s="7"/>
      <c r="N58" s="10" t="n">
        <f aca="false">IF(AND(ISNUMBER(F58),ISNUMBER(G58)),ABS(G58-F58),"")</f>
        <v>0</v>
      </c>
      <c r="O58" s="4" t="str">
        <f aca="false">IF(AND(ISNUMBER(N58),ISNUMBER(J58)),IF(N58&lt;=J58,"PASS","FAIL"),"n/a")</f>
        <v>PASS</v>
      </c>
    </row>
    <row r="59" customFormat="false" ht="23.85" hidden="false" customHeight="false" outlineLevel="0" collapsed="false">
      <c r="A59" s="7" t="s">
        <v>149</v>
      </c>
      <c r="B59" s="7" t="s">
        <v>27</v>
      </c>
      <c r="C59" s="7" t="s">
        <v>150</v>
      </c>
      <c r="D59" s="7"/>
      <c r="E59" s="7"/>
      <c r="F59" s="8" t="n">
        <v>1814</v>
      </c>
      <c r="G59" s="8" t="n">
        <v>1814</v>
      </c>
      <c r="H59" s="7" t="n">
        <v>0</v>
      </c>
      <c r="I59" s="7" t="n">
        <v>0</v>
      </c>
      <c r="J59" s="7" t="n">
        <v>0</v>
      </c>
      <c r="K59" s="9" t="s">
        <v>4</v>
      </c>
      <c r="L59" s="7"/>
      <c r="M59" s="7"/>
      <c r="N59" s="10" t="n">
        <f aca="false">IF(AND(ISNUMBER(F59),ISNUMBER(G59)),ABS(G59-F59),"")</f>
        <v>0</v>
      </c>
      <c r="O59" s="4" t="str">
        <f aca="false">IF(AND(ISNUMBER(N59),ISNUMBER(J59)),IF(N59&lt;=J59,"PASS","FAIL"),"n/a")</f>
        <v>PASS</v>
      </c>
    </row>
    <row r="60" customFormat="false" ht="23.85" hidden="false" customHeight="false" outlineLevel="0" collapsed="false">
      <c r="A60" s="7" t="s">
        <v>151</v>
      </c>
      <c r="B60" s="7" t="s">
        <v>27</v>
      </c>
      <c r="C60" s="7" t="s">
        <v>152</v>
      </c>
      <c r="D60" s="7"/>
      <c r="E60" s="7"/>
      <c r="F60" s="8" t="n">
        <v>4451</v>
      </c>
      <c r="G60" s="8" t="n">
        <v>4451</v>
      </c>
      <c r="H60" s="7" t="n">
        <v>0</v>
      </c>
      <c r="I60" s="7" t="n">
        <v>0</v>
      </c>
      <c r="J60" s="7" t="n">
        <v>0</v>
      </c>
      <c r="K60" s="9" t="s">
        <v>4</v>
      </c>
      <c r="L60" s="7"/>
      <c r="M60" s="7"/>
      <c r="N60" s="10" t="n">
        <f aca="false">IF(AND(ISNUMBER(F60),ISNUMBER(G60)),ABS(G60-F60),"")</f>
        <v>0</v>
      </c>
      <c r="O60" s="4" t="str">
        <f aca="false">IF(AND(ISNUMBER(N60),ISNUMBER(J60)),IF(N60&lt;=J60,"PASS","FAIL"),"n/a")</f>
        <v>PASS</v>
      </c>
    </row>
    <row r="61" customFormat="false" ht="23.85" hidden="false" customHeight="false" outlineLevel="0" collapsed="false">
      <c r="A61" s="7" t="s">
        <v>153</v>
      </c>
      <c r="B61" s="7" t="s">
        <v>27</v>
      </c>
      <c r="C61" s="7" t="s">
        <v>154</v>
      </c>
      <c r="D61" s="7"/>
      <c r="E61" s="7"/>
      <c r="F61" s="8" t="n">
        <v>73</v>
      </c>
      <c r="G61" s="8" t="n">
        <v>73</v>
      </c>
      <c r="H61" s="7" t="n">
        <v>0</v>
      </c>
      <c r="I61" s="7" t="n">
        <v>0</v>
      </c>
      <c r="J61" s="7" t="n">
        <v>0</v>
      </c>
      <c r="K61" s="9" t="s">
        <v>4</v>
      </c>
      <c r="L61" s="7"/>
      <c r="M61" s="7"/>
      <c r="N61" s="10" t="n">
        <f aca="false">IF(AND(ISNUMBER(F61),ISNUMBER(G61)),ABS(G61-F61),"")</f>
        <v>0</v>
      </c>
      <c r="O61" s="4" t="str">
        <f aca="false">IF(AND(ISNUMBER(N61),ISNUMBER(J61)),IF(N61&lt;=J61,"PASS","FAIL"),"n/a")</f>
        <v>PASS</v>
      </c>
    </row>
    <row r="62" customFormat="false" ht="23.85" hidden="false" customHeight="false" outlineLevel="0" collapsed="false">
      <c r="A62" s="7" t="s">
        <v>155</v>
      </c>
      <c r="B62" s="7" t="s">
        <v>27</v>
      </c>
      <c r="C62" s="7" t="s">
        <v>156</v>
      </c>
      <c r="D62" s="7"/>
      <c r="E62" s="7"/>
      <c r="F62" s="7"/>
      <c r="G62" s="8" t="n">
        <v>6265</v>
      </c>
      <c r="H62" s="7"/>
      <c r="I62" s="7"/>
      <c r="J62" s="7"/>
      <c r="K62" s="11" t="s">
        <v>8</v>
      </c>
      <c r="L62" s="7" t="s">
        <v>157</v>
      </c>
      <c r="M62" s="7"/>
      <c r="N62" s="10" t="str">
        <f aca="false">IF(AND(ISNUMBER(F62),ISNUMBER(G62)),ABS(G62-F62),"")</f>
        <v/>
      </c>
      <c r="O62" s="4" t="str">
        <f aca="false">IF(AND(ISNUMBER(N62),ISNUMBER(J62)),IF(N62&lt;=J62,"PASS","FAIL"),"n/a")</f>
        <v>n/a</v>
      </c>
    </row>
    <row r="63" customFormat="false" ht="23.85" hidden="false" customHeight="false" outlineLevel="0" collapsed="false">
      <c r="A63" s="7" t="s">
        <v>158</v>
      </c>
      <c r="B63" s="7" t="s">
        <v>27</v>
      </c>
      <c r="C63" s="7" t="s">
        <v>159</v>
      </c>
      <c r="D63" s="7"/>
      <c r="E63" s="7"/>
      <c r="F63" s="8" t="n">
        <v>0</v>
      </c>
      <c r="G63" s="8" t="n">
        <v>0</v>
      </c>
      <c r="H63" s="7" t="n">
        <v>0</v>
      </c>
      <c r="I63" s="7"/>
      <c r="J63" s="7" t="n">
        <v>0</v>
      </c>
      <c r="K63" s="9" t="s">
        <v>4</v>
      </c>
      <c r="L63" s="7"/>
      <c r="M63" s="7"/>
      <c r="N63" s="10" t="n">
        <f aca="false">IF(AND(ISNUMBER(F63),ISNUMBER(G63)),ABS(G63-F63),"")</f>
        <v>0</v>
      </c>
      <c r="O63" s="4" t="str">
        <f aca="false">IF(AND(ISNUMBER(N63),ISNUMBER(J63)),IF(N63&lt;=J63,"PASS","FAIL"),"n/a")</f>
        <v>PASS</v>
      </c>
    </row>
    <row r="64" customFormat="false" ht="23.85" hidden="false" customHeight="false" outlineLevel="0" collapsed="false">
      <c r="A64" s="7" t="s">
        <v>160</v>
      </c>
      <c r="B64" s="7" t="s">
        <v>27</v>
      </c>
      <c r="C64" s="7" t="s">
        <v>161</v>
      </c>
      <c r="D64" s="7"/>
      <c r="E64" s="7"/>
      <c r="F64" s="8" t="n">
        <v>0</v>
      </c>
      <c r="G64" s="8" t="n">
        <v>0</v>
      </c>
      <c r="H64" s="7" t="n">
        <v>0</v>
      </c>
      <c r="I64" s="7"/>
      <c r="J64" s="7" t="n">
        <v>0</v>
      </c>
      <c r="K64" s="9" t="s">
        <v>4</v>
      </c>
      <c r="L64" s="7"/>
      <c r="M64" s="7"/>
      <c r="N64" s="10" t="n">
        <f aca="false">IF(AND(ISNUMBER(F64),ISNUMBER(G64)),ABS(G64-F64),"")</f>
        <v>0</v>
      </c>
      <c r="O64" s="4" t="str">
        <f aca="false">IF(AND(ISNUMBER(N64),ISNUMBER(J64)),IF(N64&lt;=J64,"PASS","FAIL"),"n/a")</f>
        <v>PASS</v>
      </c>
    </row>
    <row r="65" customFormat="false" ht="23.85" hidden="false" customHeight="false" outlineLevel="0" collapsed="false">
      <c r="A65" s="7" t="s">
        <v>162</v>
      </c>
      <c r="B65" s="7" t="s">
        <v>27</v>
      </c>
      <c r="C65" s="7" t="s">
        <v>163</v>
      </c>
      <c r="D65" s="7"/>
      <c r="E65" s="7"/>
      <c r="F65" s="8" t="n">
        <v>350</v>
      </c>
      <c r="G65" s="8" t="n">
        <v>350</v>
      </c>
      <c r="H65" s="7" t="n">
        <v>0</v>
      </c>
      <c r="I65" s="7" t="n">
        <v>0</v>
      </c>
      <c r="J65" s="7" t="n">
        <v>0</v>
      </c>
      <c r="K65" s="9" t="s">
        <v>4</v>
      </c>
      <c r="L65" s="7"/>
      <c r="M65" s="7"/>
      <c r="N65" s="10" t="n">
        <f aca="false">IF(AND(ISNUMBER(F65),ISNUMBER(G65)),ABS(G65-F65),"")</f>
        <v>0</v>
      </c>
      <c r="O65" s="4" t="str">
        <f aca="false">IF(AND(ISNUMBER(N65),ISNUMBER(J65)),IF(N65&lt;=J65,"PASS","FAIL"),"n/a")</f>
        <v>PASS</v>
      </c>
    </row>
    <row r="66" customFormat="false" ht="23.85" hidden="false" customHeight="false" outlineLevel="0" collapsed="false">
      <c r="A66" s="7" t="s">
        <v>164</v>
      </c>
      <c r="B66" s="7" t="s">
        <v>27</v>
      </c>
      <c r="C66" s="7" t="s">
        <v>165</v>
      </c>
      <c r="D66" s="7"/>
      <c r="E66" s="7"/>
      <c r="F66" s="8" t="n">
        <v>0</v>
      </c>
      <c r="G66" s="8" t="n">
        <v>0</v>
      </c>
      <c r="H66" s="7" t="n">
        <v>0</v>
      </c>
      <c r="I66" s="7"/>
      <c r="J66" s="7" t="n">
        <v>0</v>
      </c>
      <c r="K66" s="9" t="s">
        <v>4</v>
      </c>
      <c r="L66" s="7"/>
      <c r="M66" s="7"/>
      <c r="N66" s="10" t="n">
        <f aca="false">IF(AND(ISNUMBER(F66),ISNUMBER(G66)),ABS(G66-F66),"")</f>
        <v>0</v>
      </c>
      <c r="O66" s="4" t="str">
        <f aca="false">IF(AND(ISNUMBER(N66),ISNUMBER(J66)),IF(N66&lt;=J66,"PASS","FAIL"),"n/a")</f>
        <v>PASS</v>
      </c>
    </row>
    <row r="67" customFormat="false" ht="23.85" hidden="false" customHeight="false" outlineLevel="0" collapsed="false">
      <c r="A67" s="7" t="s">
        <v>166</v>
      </c>
      <c r="B67" s="7" t="s">
        <v>27</v>
      </c>
      <c r="C67" s="7" t="s">
        <v>167</v>
      </c>
      <c r="D67" s="7"/>
      <c r="E67" s="7"/>
      <c r="F67" s="7"/>
      <c r="G67" s="8" t="n">
        <v>76</v>
      </c>
      <c r="H67" s="7"/>
      <c r="I67" s="7"/>
      <c r="J67" s="7"/>
      <c r="K67" s="11" t="s">
        <v>8</v>
      </c>
      <c r="L67" s="7" t="s">
        <v>168</v>
      </c>
      <c r="M67" s="7"/>
      <c r="N67" s="10" t="str">
        <f aca="false">IF(AND(ISNUMBER(F67),ISNUMBER(G67)),ABS(G67-F67),"")</f>
        <v/>
      </c>
      <c r="O67" s="4" t="str">
        <f aca="false">IF(AND(ISNUMBER(N67),ISNUMBER(J67)),IF(N67&lt;=J67,"PASS","FAIL"),"n/a")</f>
        <v>n/a</v>
      </c>
    </row>
    <row r="68" customFormat="false" ht="23.85" hidden="false" customHeight="false" outlineLevel="0" collapsed="false">
      <c r="A68" s="7" t="s">
        <v>169</v>
      </c>
      <c r="B68" s="7" t="s">
        <v>27</v>
      </c>
      <c r="C68" s="7" t="s">
        <v>170</v>
      </c>
      <c r="D68" s="7"/>
      <c r="E68" s="7"/>
      <c r="F68" s="8" t="n">
        <v>204</v>
      </c>
      <c r="G68" s="8" t="n">
        <v>204</v>
      </c>
      <c r="H68" s="7" t="n">
        <v>0</v>
      </c>
      <c r="I68" s="7" t="n">
        <v>0</v>
      </c>
      <c r="J68" s="7" t="n">
        <v>0</v>
      </c>
      <c r="K68" s="9" t="s">
        <v>4</v>
      </c>
      <c r="L68" s="7"/>
      <c r="M68" s="7"/>
      <c r="N68" s="10" t="n">
        <f aca="false">IF(AND(ISNUMBER(F68),ISNUMBER(G68)),ABS(G68-F68),"")</f>
        <v>0</v>
      </c>
      <c r="O68" s="4" t="str">
        <f aca="false">IF(AND(ISNUMBER(N68),ISNUMBER(J68)),IF(N68&lt;=J68,"PASS","FAIL"),"n/a")</f>
        <v>PASS</v>
      </c>
    </row>
    <row r="69" customFormat="false" ht="23.85" hidden="false" customHeight="false" outlineLevel="0" collapsed="false">
      <c r="A69" s="7" t="s">
        <v>171</v>
      </c>
      <c r="B69" s="7" t="s">
        <v>27</v>
      </c>
      <c r="C69" s="7" t="s">
        <v>172</v>
      </c>
      <c r="D69" s="7"/>
      <c r="E69" s="7"/>
      <c r="F69" s="8" t="n">
        <v>0</v>
      </c>
      <c r="G69" s="8" t="n">
        <v>0</v>
      </c>
      <c r="H69" s="7" t="n">
        <v>0</v>
      </c>
      <c r="I69" s="7"/>
      <c r="J69" s="7" t="n">
        <v>0</v>
      </c>
      <c r="K69" s="9" t="s">
        <v>4</v>
      </c>
      <c r="L69" s="7"/>
      <c r="M69" s="7"/>
      <c r="N69" s="10" t="n">
        <f aca="false">IF(AND(ISNUMBER(F69),ISNUMBER(G69)),ABS(G69-F69),"")</f>
        <v>0</v>
      </c>
      <c r="O69" s="4" t="str">
        <f aca="false">IF(AND(ISNUMBER(N69),ISNUMBER(J69)),IF(N69&lt;=J69,"PASS","FAIL"),"n/a")</f>
        <v>PASS</v>
      </c>
    </row>
    <row r="70" customFormat="false" ht="23.85" hidden="false" customHeight="false" outlineLevel="0" collapsed="false">
      <c r="A70" s="7" t="s">
        <v>173</v>
      </c>
      <c r="B70" s="7" t="s">
        <v>27</v>
      </c>
      <c r="C70" s="7" t="s">
        <v>174</v>
      </c>
      <c r="D70" s="7"/>
      <c r="E70" s="7" t="s">
        <v>175</v>
      </c>
      <c r="F70" s="8" t="n">
        <v>0</v>
      </c>
      <c r="G70" s="8" t="n">
        <v>0</v>
      </c>
      <c r="H70" s="7" t="n">
        <v>0</v>
      </c>
      <c r="I70" s="7"/>
      <c r="J70" s="7" t="n">
        <v>0</v>
      </c>
      <c r="K70" s="9" t="s">
        <v>4</v>
      </c>
      <c r="L70" s="7"/>
      <c r="M70" s="7"/>
      <c r="N70" s="10" t="n">
        <f aca="false">IF(AND(ISNUMBER(F70),ISNUMBER(G70)),ABS(G70-F70),"")</f>
        <v>0</v>
      </c>
      <c r="O70" s="4" t="str">
        <f aca="false">IF(AND(ISNUMBER(N70),ISNUMBER(J70)),IF(N70&lt;=J70,"PASS","FAIL"),"n/a")</f>
        <v>PASS</v>
      </c>
    </row>
    <row r="71" customFormat="false" ht="23.85" hidden="false" customHeight="false" outlineLevel="0" collapsed="false">
      <c r="A71" s="7" t="s">
        <v>176</v>
      </c>
      <c r="B71" s="7" t="s">
        <v>27</v>
      </c>
      <c r="C71" s="7" t="s">
        <v>177</v>
      </c>
      <c r="D71" s="7"/>
      <c r="E71" s="7"/>
      <c r="F71" s="8" t="n">
        <v>152682</v>
      </c>
      <c r="G71" s="8" t="n">
        <v>152682</v>
      </c>
      <c r="H71" s="7" t="n">
        <v>0</v>
      </c>
      <c r="I71" s="7" t="n">
        <v>0</v>
      </c>
      <c r="J71" s="7" t="n">
        <v>0</v>
      </c>
      <c r="K71" s="9" t="s">
        <v>4</v>
      </c>
      <c r="L71" s="7"/>
      <c r="M71" s="7"/>
      <c r="N71" s="10" t="n">
        <f aca="false">IF(AND(ISNUMBER(F71),ISNUMBER(G71)),ABS(G71-F71),"")</f>
        <v>0</v>
      </c>
      <c r="O71" s="4" t="str">
        <f aca="false">IF(AND(ISNUMBER(N71),ISNUMBER(J71)),IF(N71&lt;=J71,"PASS","FAIL"),"n/a")</f>
        <v>PASS</v>
      </c>
    </row>
    <row r="72" customFormat="false" ht="23.85" hidden="false" customHeight="false" outlineLevel="0" collapsed="false">
      <c r="A72" s="7" t="s">
        <v>178</v>
      </c>
      <c r="B72" s="7" t="s">
        <v>27</v>
      </c>
      <c r="C72" s="7" t="s">
        <v>179</v>
      </c>
      <c r="D72" s="7"/>
      <c r="E72" s="7"/>
      <c r="F72" s="8" t="n">
        <v>0</v>
      </c>
      <c r="G72" s="8" t="n">
        <v>0</v>
      </c>
      <c r="H72" s="7" t="n">
        <v>0</v>
      </c>
      <c r="I72" s="7"/>
      <c r="J72" s="7" t="n">
        <v>0</v>
      </c>
      <c r="K72" s="9" t="s">
        <v>4</v>
      </c>
      <c r="L72" s="7"/>
      <c r="M72" s="7"/>
      <c r="N72" s="10" t="n">
        <f aca="false">IF(AND(ISNUMBER(F72),ISNUMBER(G72)),ABS(G72-F72),"")</f>
        <v>0</v>
      </c>
      <c r="O72" s="4" t="str">
        <f aca="false">IF(AND(ISNUMBER(N72),ISNUMBER(J72)),IF(N72&lt;=J72,"PASS","FAIL"),"n/a")</f>
        <v>PASS</v>
      </c>
    </row>
    <row r="73" customFormat="false" ht="23.85" hidden="false" customHeight="false" outlineLevel="0" collapsed="false">
      <c r="A73" s="7" t="s">
        <v>180</v>
      </c>
      <c r="B73" s="7" t="s">
        <v>27</v>
      </c>
      <c r="C73" s="7" t="s">
        <v>181</v>
      </c>
      <c r="D73" s="7"/>
      <c r="E73" s="7" t="s">
        <v>175</v>
      </c>
      <c r="F73" s="8" t="n">
        <v>0</v>
      </c>
      <c r="G73" s="8" t="n">
        <v>0</v>
      </c>
      <c r="H73" s="7" t="n">
        <v>0</v>
      </c>
      <c r="I73" s="7"/>
      <c r="J73" s="7" t="n">
        <v>0</v>
      </c>
      <c r="K73" s="9" t="s">
        <v>4</v>
      </c>
      <c r="L73" s="7"/>
      <c r="M73" s="7"/>
      <c r="N73" s="10" t="n">
        <f aca="false">IF(AND(ISNUMBER(F73),ISNUMBER(G73)),ABS(G73-F73),"")</f>
        <v>0</v>
      </c>
      <c r="O73" s="4" t="str">
        <f aca="false">IF(AND(ISNUMBER(N73),ISNUMBER(J73)),IF(N73&lt;=J73,"PASS","FAIL"),"n/a")</f>
        <v>PASS</v>
      </c>
    </row>
    <row r="74" customFormat="false" ht="23.85" hidden="false" customHeight="false" outlineLevel="0" collapsed="false">
      <c r="A74" s="7" t="s">
        <v>182</v>
      </c>
      <c r="B74" s="7" t="s">
        <v>27</v>
      </c>
      <c r="C74" s="7" t="s">
        <v>183</v>
      </c>
      <c r="D74" s="7"/>
      <c r="E74" s="7"/>
      <c r="F74" s="8" t="n">
        <v>152682</v>
      </c>
      <c r="G74" s="8" t="n">
        <v>152682</v>
      </c>
      <c r="H74" s="7" t="n">
        <v>0</v>
      </c>
      <c r="I74" s="7" t="n">
        <v>0</v>
      </c>
      <c r="J74" s="7" t="n">
        <v>0</v>
      </c>
      <c r="K74" s="9" t="s">
        <v>4</v>
      </c>
      <c r="L74" s="7"/>
      <c r="M74" s="7"/>
      <c r="N74" s="10" t="n">
        <f aca="false">IF(AND(ISNUMBER(F74),ISNUMBER(G74)),ABS(G74-F74),"")</f>
        <v>0</v>
      </c>
      <c r="O74" s="4" t="str">
        <f aca="false">IF(AND(ISNUMBER(N74),ISNUMBER(J74)),IF(N74&lt;=J74,"PASS","FAIL"),"n/a")</f>
        <v>PASS</v>
      </c>
    </row>
    <row r="75" customFormat="false" ht="23.85" hidden="false" customHeight="false" outlineLevel="0" collapsed="false">
      <c r="A75" s="7" t="s">
        <v>184</v>
      </c>
      <c r="B75" s="7" t="s">
        <v>27</v>
      </c>
      <c r="C75" s="7" t="s">
        <v>185</v>
      </c>
      <c r="D75" s="7"/>
      <c r="E75" s="7"/>
      <c r="F75" s="8" t="n">
        <v>0</v>
      </c>
      <c r="G75" s="8" t="n">
        <v>0</v>
      </c>
      <c r="H75" s="7" t="n">
        <v>0</v>
      </c>
      <c r="I75" s="7"/>
      <c r="J75" s="7" t="n">
        <v>0</v>
      </c>
      <c r="K75" s="9" t="s">
        <v>4</v>
      </c>
      <c r="L75" s="7"/>
      <c r="M75" s="7"/>
      <c r="N75" s="10" t="n">
        <f aca="false">IF(AND(ISNUMBER(F75),ISNUMBER(G75)),ABS(G75-F75),"")</f>
        <v>0</v>
      </c>
      <c r="O75" s="4" t="str">
        <f aca="false">IF(AND(ISNUMBER(N75),ISNUMBER(J75)),IF(N75&lt;=J75,"PASS","FAIL"),"n/a")</f>
        <v>PASS</v>
      </c>
    </row>
    <row r="76" customFormat="false" ht="23.85" hidden="false" customHeight="false" outlineLevel="0" collapsed="false">
      <c r="A76" s="7" t="s">
        <v>186</v>
      </c>
      <c r="B76" s="7" t="s">
        <v>27</v>
      </c>
      <c r="C76" s="7" t="s">
        <v>187</v>
      </c>
      <c r="D76" s="7"/>
      <c r="E76" s="7" t="s">
        <v>175</v>
      </c>
      <c r="F76" s="8" t="n">
        <v>0</v>
      </c>
      <c r="G76" s="8" t="n">
        <v>0</v>
      </c>
      <c r="H76" s="7" t="n">
        <v>0</v>
      </c>
      <c r="I76" s="7"/>
      <c r="J76" s="7" t="n">
        <v>0</v>
      </c>
      <c r="K76" s="9" t="s">
        <v>4</v>
      </c>
      <c r="L76" s="7"/>
      <c r="M76" s="7"/>
      <c r="N76" s="10" t="n">
        <f aca="false">IF(AND(ISNUMBER(F76),ISNUMBER(G76)),ABS(G76-F76),"")</f>
        <v>0</v>
      </c>
      <c r="O76" s="4" t="str">
        <f aca="false">IF(AND(ISNUMBER(N76),ISNUMBER(J76)),IF(N76&lt;=J76,"PASS","FAIL"),"n/a")</f>
        <v>PASS</v>
      </c>
    </row>
    <row r="77" customFormat="false" ht="23.85" hidden="false" customHeight="false" outlineLevel="0" collapsed="false">
      <c r="A77" s="7" t="s">
        <v>188</v>
      </c>
      <c r="B77" s="7" t="s">
        <v>27</v>
      </c>
      <c r="C77" s="7" t="s">
        <v>189</v>
      </c>
      <c r="D77" s="7"/>
      <c r="E77" s="7"/>
      <c r="F77" s="8" t="n">
        <v>152682</v>
      </c>
      <c r="G77" s="8" t="n">
        <v>152682</v>
      </c>
      <c r="H77" s="7" t="n">
        <v>0</v>
      </c>
      <c r="I77" s="7" t="n">
        <v>0</v>
      </c>
      <c r="J77" s="7" t="n">
        <v>0</v>
      </c>
      <c r="K77" s="9" t="s">
        <v>4</v>
      </c>
      <c r="L77" s="7"/>
      <c r="M77" s="7"/>
      <c r="N77" s="10" t="n">
        <f aca="false">IF(AND(ISNUMBER(F77),ISNUMBER(G77)),ABS(G77-F77),"")</f>
        <v>0</v>
      </c>
      <c r="O77" s="4" t="str">
        <f aca="false">IF(AND(ISNUMBER(N77),ISNUMBER(J77)),IF(N77&lt;=J77,"PASS","FAIL"),"n/a")</f>
        <v>PASS</v>
      </c>
    </row>
    <row r="78" customFormat="false" ht="23.85" hidden="false" customHeight="false" outlineLevel="0" collapsed="false">
      <c r="A78" s="7" t="s">
        <v>190</v>
      </c>
      <c r="B78" s="7" t="s">
        <v>27</v>
      </c>
      <c r="C78" s="7" t="s">
        <v>191</v>
      </c>
      <c r="D78" s="7"/>
      <c r="E78" s="7"/>
      <c r="F78" s="8" t="n">
        <v>0</v>
      </c>
      <c r="G78" s="8" t="n">
        <v>0</v>
      </c>
      <c r="H78" s="7" t="n">
        <v>0</v>
      </c>
      <c r="I78" s="7"/>
      <c r="J78" s="7" t="n">
        <v>0</v>
      </c>
      <c r="K78" s="9" t="s">
        <v>4</v>
      </c>
      <c r="L78" s="7"/>
      <c r="M78" s="7"/>
      <c r="N78" s="10" t="n">
        <f aca="false">IF(AND(ISNUMBER(F78),ISNUMBER(G78)),ABS(G78-F78),"")</f>
        <v>0</v>
      </c>
      <c r="O78" s="4" t="str">
        <f aca="false">IF(AND(ISNUMBER(N78),ISNUMBER(J78)),IF(N78&lt;=J78,"PASS","FAIL"),"n/a")</f>
        <v>PASS</v>
      </c>
    </row>
    <row r="79" customFormat="false" ht="23.85" hidden="false" customHeight="false" outlineLevel="0" collapsed="false">
      <c r="A79" s="7" t="s">
        <v>192</v>
      </c>
      <c r="B79" s="7" t="s">
        <v>27</v>
      </c>
      <c r="C79" s="7" t="s">
        <v>193</v>
      </c>
      <c r="D79" s="7"/>
      <c r="E79" s="7"/>
      <c r="F79" s="8" t="n">
        <v>58340</v>
      </c>
      <c r="G79" s="8" t="n">
        <v>58340</v>
      </c>
      <c r="H79" s="7" t="n">
        <v>0</v>
      </c>
      <c r="I79" s="7" t="n">
        <v>0</v>
      </c>
      <c r="J79" s="7" t="n">
        <v>0</v>
      </c>
      <c r="K79" s="9" t="s">
        <v>4</v>
      </c>
      <c r="L79" s="7"/>
      <c r="M79" s="7"/>
      <c r="N79" s="10" t="n">
        <f aca="false">IF(AND(ISNUMBER(F79),ISNUMBER(G79)),ABS(G79-F79),"")</f>
        <v>0</v>
      </c>
      <c r="O79" s="4" t="str">
        <f aca="false">IF(AND(ISNUMBER(N79),ISNUMBER(J79)),IF(N79&lt;=J79,"PASS","FAIL"),"n/a")</f>
        <v>PASS</v>
      </c>
    </row>
    <row r="80" customFormat="false" ht="23.85" hidden="false" customHeight="false" outlineLevel="0" collapsed="false">
      <c r="A80" s="7" t="s">
        <v>194</v>
      </c>
      <c r="B80" s="7" t="s">
        <v>27</v>
      </c>
      <c r="C80" s="7" t="s">
        <v>195</v>
      </c>
      <c r="D80" s="7"/>
      <c r="E80" s="7"/>
      <c r="F80" s="8" t="n">
        <v>77990</v>
      </c>
      <c r="G80" s="8" t="n">
        <v>77990</v>
      </c>
      <c r="H80" s="7" t="n">
        <v>0</v>
      </c>
      <c r="I80" s="7" t="n">
        <v>0</v>
      </c>
      <c r="J80" s="7" t="n">
        <v>0</v>
      </c>
      <c r="K80" s="9" t="s">
        <v>4</v>
      </c>
      <c r="L80" s="7"/>
      <c r="M80" s="7"/>
      <c r="N80" s="10" t="n">
        <f aca="false">IF(AND(ISNUMBER(F80),ISNUMBER(G80)),ABS(G80-F80),"")</f>
        <v>0</v>
      </c>
      <c r="O80" s="4" t="str">
        <f aca="false">IF(AND(ISNUMBER(N80),ISNUMBER(J80)),IF(N80&lt;=J80,"PASS","FAIL"),"n/a")</f>
        <v>PASS</v>
      </c>
    </row>
    <row r="81" customFormat="false" ht="23.85" hidden="false" customHeight="false" outlineLevel="0" collapsed="false">
      <c r="A81" s="7" t="s">
        <v>196</v>
      </c>
      <c r="B81" s="7" t="s">
        <v>27</v>
      </c>
      <c r="C81" s="7" t="s">
        <v>197</v>
      </c>
      <c r="D81" s="7"/>
      <c r="E81" s="7"/>
      <c r="F81" s="8" t="n">
        <v>136330</v>
      </c>
      <c r="G81" s="8" t="n">
        <v>136330</v>
      </c>
      <c r="H81" s="7" t="n">
        <v>0</v>
      </c>
      <c r="I81" s="7" t="n">
        <v>0</v>
      </c>
      <c r="J81" s="7" t="n">
        <v>0</v>
      </c>
      <c r="K81" s="9" t="s">
        <v>4</v>
      </c>
      <c r="L81" s="7"/>
      <c r="M81" s="7"/>
      <c r="N81" s="10" t="n">
        <f aca="false">IF(AND(ISNUMBER(F81),ISNUMBER(G81)),ABS(G81-F81),"")</f>
        <v>0</v>
      </c>
      <c r="O81" s="4" t="str">
        <f aca="false">IF(AND(ISNUMBER(N81),ISNUMBER(J81)),IF(N81&lt;=J81,"PASS","FAIL"),"n/a")</f>
        <v>PASS</v>
      </c>
    </row>
    <row r="82" customFormat="false" ht="23.85" hidden="false" customHeight="false" outlineLevel="0" collapsed="false">
      <c r="A82" s="7" t="s">
        <v>198</v>
      </c>
      <c r="B82" s="7" t="s">
        <v>27</v>
      </c>
      <c r="C82" s="7" t="s">
        <v>199</v>
      </c>
      <c r="D82" s="7"/>
      <c r="E82" s="7"/>
      <c r="F82" s="8" t="n">
        <v>16352</v>
      </c>
      <c r="G82" s="8" t="n">
        <v>16352</v>
      </c>
      <c r="H82" s="7" t="n">
        <v>0</v>
      </c>
      <c r="I82" s="7" t="n">
        <v>0</v>
      </c>
      <c r="J82" s="7" t="n">
        <v>0</v>
      </c>
      <c r="K82" s="9" t="s">
        <v>4</v>
      </c>
      <c r="L82" s="7"/>
      <c r="M82" s="7"/>
      <c r="N82" s="10" t="n">
        <f aca="false">IF(AND(ISNUMBER(F82),ISNUMBER(G82)),ABS(G82-F82),"")</f>
        <v>0</v>
      </c>
      <c r="O82" s="4" t="str">
        <f aca="false">IF(AND(ISNUMBER(N82),ISNUMBER(J82)),IF(N82&lt;=J82,"PASS","FAIL"),"n/a")</f>
        <v>PASS</v>
      </c>
    </row>
    <row r="83" customFormat="false" ht="23.85" hidden="false" customHeight="false" outlineLevel="0" collapsed="false">
      <c r="A83" s="7" t="s">
        <v>200</v>
      </c>
      <c r="B83" s="7" t="s">
        <v>27</v>
      </c>
      <c r="C83" s="7" t="s">
        <v>201</v>
      </c>
      <c r="D83" s="7"/>
      <c r="E83" s="7"/>
      <c r="F83" s="8" t="n">
        <v>0</v>
      </c>
      <c r="G83" s="8" t="n">
        <v>0</v>
      </c>
      <c r="H83" s="7" t="n">
        <v>0</v>
      </c>
      <c r="I83" s="7"/>
      <c r="J83" s="7" t="n">
        <v>0</v>
      </c>
      <c r="K83" s="9" t="s">
        <v>4</v>
      </c>
      <c r="L83" s="7"/>
      <c r="M83" s="7" t="s">
        <v>202</v>
      </c>
      <c r="N83" s="10" t="n">
        <f aca="false">IF(AND(ISNUMBER(F83),ISNUMBER(G83)),ABS(G83-F83),"")</f>
        <v>0</v>
      </c>
      <c r="O83" s="4" t="str">
        <f aca="false">IF(AND(ISNUMBER(N83),ISNUMBER(J83)),IF(N83&lt;=J83,"PASS","FAIL"),"n/a")</f>
        <v>PASS</v>
      </c>
    </row>
    <row r="84" customFormat="false" ht="147" hidden="false" customHeight="false" outlineLevel="0" collapsed="false">
      <c r="A84" s="7" t="s">
        <v>203</v>
      </c>
      <c r="B84" s="7" t="s">
        <v>27</v>
      </c>
      <c r="C84" s="7" t="s">
        <v>204</v>
      </c>
      <c r="D84" s="7"/>
      <c r="E84" s="7"/>
      <c r="F84" s="7"/>
      <c r="G84" s="8" t="n">
        <v>16352</v>
      </c>
      <c r="H84" s="7"/>
      <c r="I84" s="7"/>
      <c r="J84" s="7"/>
      <c r="K84" s="11" t="s">
        <v>8</v>
      </c>
      <c r="L84" s="7" t="s">
        <v>205</v>
      </c>
      <c r="M84" s="7"/>
      <c r="N84" s="10" t="str">
        <f aca="false">IF(AND(ISNUMBER(F84),ISNUMBER(G84)),ABS(G84-F84),"")</f>
        <v/>
      </c>
      <c r="O84" s="4" t="str">
        <f aca="false">IF(AND(ISNUMBER(N84),ISNUMBER(J84)),IF(N84&lt;=J84,"PASS","FAIL"),"n/a")</f>
        <v>n/a</v>
      </c>
    </row>
    <row r="85" customFormat="false" ht="23.85" hidden="false" customHeight="false" outlineLevel="0" collapsed="false">
      <c r="A85" s="7" t="s">
        <v>206</v>
      </c>
      <c r="B85" s="7" t="s">
        <v>27</v>
      </c>
      <c r="C85" s="7" t="s">
        <v>207</v>
      </c>
      <c r="D85" s="7"/>
      <c r="E85" s="7"/>
      <c r="F85" s="8" t="n">
        <v>2374</v>
      </c>
      <c r="G85" s="8" t="n">
        <v>2374</v>
      </c>
      <c r="H85" s="7" t="n">
        <v>0</v>
      </c>
      <c r="I85" s="7" t="n">
        <v>0</v>
      </c>
      <c r="J85" s="7" t="n">
        <v>0</v>
      </c>
      <c r="K85" s="9" t="s">
        <v>4</v>
      </c>
      <c r="L85" s="7"/>
      <c r="M85" s="7"/>
      <c r="N85" s="10" t="n">
        <f aca="false">IF(AND(ISNUMBER(F85),ISNUMBER(G85)),ABS(G85-F85),"")</f>
        <v>0</v>
      </c>
      <c r="O85" s="4" t="str">
        <f aca="false">IF(AND(ISNUMBER(N85),ISNUMBER(J85)),IF(N85&lt;=J85,"PASS","FAIL"),"n/a")</f>
        <v>PASS</v>
      </c>
    </row>
    <row r="86" customFormat="false" ht="23.85" hidden="false" customHeight="false" outlineLevel="0" collapsed="false">
      <c r="A86" s="7" t="s">
        <v>208</v>
      </c>
      <c r="B86" s="7" t="s">
        <v>27</v>
      </c>
      <c r="C86" s="7" t="s">
        <v>209</v>
      </c>
      <c r="D86" s="7"/>
      <c r="E86" s="7"/>
      <c r="F86" s="8" t="n">
        <v>3220</v>
      </c>
      <c r="G86" s="8" t="n">
        <v>3220</v>
      </c>
      <c r="H86" s="7" t="n">
        <v>0</v>
      </c>
      <c r="I86" s="7" t="n">
        <v>0</v>
      </c>
      <c r="J86" s="7" t="n">
        <v>0</v>
      </c>
      <c r="K86" s="9" t="s">
        <v>4</v>
      </c>
      <c r="L86" s="7"/>
      <c r="M86" s="7"/>
      <c r="N86" s="10" t="n">
        <f aca="false">IF(AND(ISNUMBER(F86),ISNUMBER(G86)),ABS(G86-F86),"")</f>
        <v>0</v>
      </c>
      <c r="O86" s="4" t="str">
        <f aca="false">IF(AND(ISNUMBER(N86),ISNUMBER(J86)),IF(N86&lt;=J86,"PASS","FAIL"),"n/a")</f>
        <v>PASS</v>
      </c>
    </row>
    <row r="87" customFormat="false" ht="23.85" hidden="false" customHeight="false" outlineLevel="0" collapsed="false">
      <c r="A87" s="7" t="s">
        <v>210</v>
      </c>
      <c r="B87" s="7" t="s">
        <v>27</v>
      </c>
      <c r="C87" s="7" t="s">
        <v>211</v>
      </c>
      <c r="D87" s="7"/>
      <c r="E87" s="7"/>
      <c r="F87" s="7"/>
      <c r="G87" s="8" t="n">
        <v>77990</v>
      </c>
      <c r="H87" s="7"/>
      <c r="I87" s="7"/>
      <c r="J87" s="7"/>
      <c r="K87" s="11" t="s">
        <v>8</v>
      </c>
      <c r="L87" s="7" t="s">
        <v>212</v>
      </c>
      <c r="M87" s="7"/>
      <c r="N87" s="10" t="str">
        <f aca="false">IF(AND(ISNUMBER(F87),ISNUMBER(G87)),ABS(G87-F87),"")</f>
        <v/>
      </c>
      <c r="O87" s="4" t="str">
        <f aca="false">IF(AND(ISNUMBER(N87),ISNUMBER(J87)),IF(N87&lt;=J87,"PASS","FAIL"),"n/a")</f>
        <v>n/a</v>
      </c>
    </row>
    <row r="88" customFormat="false" ht="23.85" hidden="false" customHeight="false" outlineLevel="0" collapsed="false">
      <c r="A88" s="7" t="s">
        <v>213</v>
      </c>
      <c r="B88" s="7" t="s">
        <v>27</v>
      </c>
      <c r="C88" s="7" t="s">
        <v>214</v>
      </c>
      <c r="D88" s="7"/>
      <c r="E88" s="7" t="s">
        <v>215</v>
      </c>
      <c r="F88" s="8" t="n">
        <v>0</v>
      </c>
      <c r="G88" s="8" t="n">
        <v>0</v>
      </c>
      <c r="H88" s="7" t="n">
        <v>0</v>
      </c>
      <c r="I88" s="7"/>
      <c r="J88" s="7" t="n">
        <v>0</v>
      </c>
      <c r="K88" s="9" t="s">
        <v>4</v>
      </c>
      <c r="L88" s="7"/>
      <c r="M88" s="7"/>
      <c r="N88" s="10" t="n">
        <f aca="false">IF(AND(ISNUMBER(F88),ISNUMBER(G88)),ABS(G88-F88),"")</f>
        <v>0</v>
      </c>
      <c r="O88" s="4" t="str">
        <f aca="false">IF(AND(ISNUMBER(N88),ISNUMBER(J88)),IF(N88&lt;=J88,"PASS","FAIL"),"n/a")</f>
        <v>PASS</v>
      </c>
    </row>
    <row r="89" customFormat="false" ht="23.85" hidden="false" customHeight="false" outlineLevel="0" collapsed="false">
      <c r="A89" s="7" t="s">
        <v>216</v>
      </c>
      <c r="B89" s="7" t="s">
        <v>27</v>
      </c>
      <c r="C89" s="7" t="s">
        <v>217</v>
      </c>
      <c r="D89" s="7"/>
      <c r="E89" s="7"/>
      <c r="F89" s="8" t="n">
        <v>0</v>
      </c>
      <c r="G89" s="8" t="n">
        <v>0</v>
      </c>
      <c r="H89" s="7" t="n">
        <v>0</v>
      </c>
      <c r="I89" s="7"/>
      <c r="J89" s="7" t="n">
        <v>0</v>
      </c>
      <c r="K89" s="9" t="s">
        <v>4</v>
      </c>
      <c r="L89" s="7"/>
      <c r="M89" s="7"/>
      <c r="N89" s="10" t="n">
        <f aca="false">IF(AND(ISNUMBER(F89),ISNUMBER(G89)),ABS(G89-F89),"")</f>
        <v>0</v>
      </c>
      <c r="O89" s="4" t="str">
        <f aca="false">IF(AND(ISNUMBER(N89),ISNUMBER(J89)),IF(N89&lt;=J89,"PASS","FAIL"),"n/a")</f>
        <v>PASS</v>
      </c>
    </row>
    <row r="90" customFormat="false" ht="23.85" hidden="false" customHeight="false" outlineLevel="0" collapsed="false">
      <c r="A90" s="7" t="s">
        <v>218</v>
      </c>
      <c r="B90" s="7" t="s">
        <v>27</v>
      </c>
      <c r="C90" s="7" t="s">
        <v>219</v>
      </c>
      <c r="D90" s="7"/>
      <c r="E90" s="7"/>
      <c r="F90" s="8" t="n">
        <v>0</v>
      </c>
      <c r="G90" s="8" t="n">
        <v>0</v>
      </c>
      <c r="H90" s="7" t="n">
        <v>0</v>
      </c>
      <c r="I90" s="7"/>
      <c r="J90" s="7" t="n">
        <v>0</v>
      </c>
      <c r="K90" s="9" t="s">
        <v>4</v>
      </c>
      <c r="L90" s="7"/>
      <c r="M90" s="7"/>
      <c r="N90" s="10" t="n">
        <f aca="false">IF(AND(ISNUMBER(F90),ISNUMBER(G90)),ABS(G90-F90),"")</f>
        <v>0</v>
      </c>
      <c r="O90" s="4" t="str">
        <f aca="false">IF(AND(ISNUMBER(N90),ISNUMBER(J90)),IF(N90&lt;=J90,"PASS","FAIL"),"n/a")</f>
        <v>PASS</v>
      </c>
    </row>
    <row r="91" customFormat="false" ht="23.85" hidden="false" customHeight="false" outlineLevel="0" collapsed="false">
      <c r="A91" s="7" t="s">
        <v>220</v>
      </c>
      <c r="B91" s="7" t="s">
        <v>27</v>
      </c>
      <c r="C91" s="7" t="s">
        <v>221</v>
      </c>
      <c r="D91" s="7"/>
      <c r="E91" s="7"/>
      <c r="F91" s="8" t="n">
        <v>0</v>
      </c>
      <c r="G91" s="8" t="n">
        <v>1.45519152283669E-011</v>
      </c>
      <c r="H91" s="7" t="n">
        <v>1.45519152283669E-011</v>
      </c>
      <c r="I91" s="7"/>
      <c r="J91" s="7" t="n">
        <v>1E-006</v>
      </c>
      <c r="K91" s="9" t="s">
        <v>4</v>
      </c>
      <c r="L91" s="7"/>
      <c r="M91" s="7"/>
      <c r="N91" s="10" t="n">
        <f aca="false">IF(AND(ISNUMBER(F91),ISNUMBER(G91)),ABS(G91-F91),"")</f>
        <v>1.45519152283669E-011</v>
      </c>
      <c r="O91" s="4" t="str">
        <f aca="false">IF(AND(ISNUMBER(N91),ISNUMBER(J91)),IF(N91&lt;=J91,"PASS","FAIL"),"n/a")</f>
        <v>PASS</v>
      </c>
    </row>
    <row r="92" customFormat="false" ht="23.85" hidden="false" customHeight="false" outlineLevel="0" collapsed="false">
      <c r="A92" s="7" t="s">
        <v>222</v>
      </c>
      <c r="B92" s="7" t="s">
        <v>27</v>
      </c>
      <c r="C92" s="7" t="s">
        <v>223</v>
      </c>
      <c r="D92" s="7"/>
      <c r="E92" s="7"/>
      <c r="F92" s="8" t="n">
        <v>0</v>
      </c>
      <c r="G92" s="8" t="n">
        <v>1.45519152283669E-011</v>
      </c>
      <c r="H92" s="7" t="n">
        <v>1.45519152283669E-011</v>
      </c>
      <c r="I92" s="7"/>
      <c r="J92" s="7" t="n">
        <v>1E-006</v>
      </c>
      <c r="K92" s="9" t="s">
        <v>4</v>
      </c>
      <c r="L92" s="7"/>
      <c r="M92" s="7"/>
      <c r="N92" s="10" t="n">
        <f aca="false">IF(AND(ISNUMBER(F92),ISNUMBER(G92)),ABS(G92-F92),"")</f>
        <v>1.45519152283669E-011</v>
      </c>
      <c r="O92" s="4" t="str">
        <f aca="false">IF(AND(ISNUMBER(N92),ISNUMBER(J92)),IF(N92&lt;=J92,"PASS","FAIL"),"n/a")</f>
        <v>PASS</v>
      </c>
    </row>
    <row r="93" customFormat="false" ht="23.85" hidden="false" customHeight="false" outlineLevel="0" collapsed="false">
      <c r="A93" s="7" t="s">
        <v>224</v>
      </c>
      <c r="B93" s="7" t="s">
        <v>27</v>
      </c>
      <c r="C93" s="7" t="s">
        <v>225</v>
      </c>
      <c r="D93" s="7"/>
      <c r="E93" s="7"/>
      <c r="F93" s="8" t="n">
        <v>0</v>
      </c>
      <c r="G93" s="8" t="n">
        <v>0</v>
      </c>
      <c r="H93" s="7" t="n">
        <v>0</v>
      </c>
      <c r="I93" s="7"/>
      <c r="J93" s="7" t="n">
        <v>0</v>
      </c>
      <c r="K93" s="9" t="s">
        <v>4</v>
      </c>
      <c r="L93" s="7" t="s">
        <v>226</v>
      </c>
      <c r="M93" s="7"/>
      <c r="N93" s="10" t="n">
        <f aca="false">IF(AND(ISNUMBER(F93),ISNUMBER(G93)),ABS(G93-F93),"")</f>
        <v>0</v>
      </c>
      <c r="O93" s="4" t="str">
        <f aca="false">IF(AND(ISNUMBER(N93),ISNUMBER(J93)),IF(N93&lt;=J93,"PASS","FAIL"),"n/a")</f>
        <v>PASS</v>
      </c>
    </row>
    <row r="94" customFormat="false" ht="23.85" hidden="false" customHeight="false" outlineLevel="0" collapsed="false">
      <c r="A94" s="7" t="s">
        <v>227</v>
      </c>
      <c r="B94" s="7" t="s">
        <v>27</v>
      </c>
      <c r="C94" s="7" t="s">
        <v>228</v>
      </c>
      <c r="D94" s="7"/>
      <c r="E94" s="7"/>
      <c r="F94" s="8" t="n">
        <v>0</v>
      </c>
      <c r="G94" s="8" t="n">
        <v>0</v>
      </c>
      <c r="H94" s="7" t="n">
        <v>0</v>
      </c>
      <c r="I94" s="7"/>
      <c r="J94" s="7" t="n">
        <v>0</v>
      </c>
      <c r="K94" s="9" t="s">
        <v>4</v>
      </c>
      <c r="L94" s="7" t="s">
        <v>229</v>
      </c>
      <c r="M94" s="7"/>
      <c r="N94" s="10" t="n">
        <f aca="false">IF(AND(ISNUMBER(F94),ISNUMBER(G94)),ABS(G94-F94),"")</f>
        <v>0</v>
      </c>
      <c r="O94" s="4" t="str">
        <f aca="false">IF(AND(ISNUMBER(N94),ISNUMBER(J94)),IF(N94&lt;=J94,"PASS","FAIL"),"n/a")</f>
        <v>PASS</v>
      </c>
    </row>
    <row r="95" customFormat="false" ht="23.85" hidden="false" customHeight="false" outlineLevel="0" collapsed="false">
      <c r="A95" s="7" t="s">
        <v>230</v>
      </c>
      <c r="B95" s="7" t="s">
        <v>27</v>
      </c>
      <c r="C95" s="7" t="s">
        <v>231</v>
      </c>
      <c r="D95" s="7"/>
      <c r="E95" s="7"/>
      <c r="F95" s="8" t="n">
        <v>0</v>
      </c>
      <c r="G95" s="8" t="n">
        <v>0</v>
      </c>
      <c r="H95" s="7" t="n">
        <v>0</v>
      </c>
      <c r="I95" s="7"/>
      <c r="J95" s="7" t="n">
        <v>0</v>
      </c>
      <c r="K95" s="9" t="s">
        <v>4</v>
      </c>
      <c r="L95" s="7" t="s">
        <v>229</v>
      </c>
      <c r="M95" s="7"/>
      <c r="N95" s="10" t="n">
        <f aca="false">IF(AND(ISNUMBER(F95),ISNUMBER(G95)),ABS(G95-F95),"")</f>
        <v>0</v>
      </c>
      <c r="O95" s="4" t="str">
        <f aca="false">IF(AND(ISNUMBER(N95),ISNUMBER(J95)),IF(N95&lt;=J95,"PASS","FAIL"),"n/a")</f>
        <v>PASS</v>
      </c>
    </row>
    <row r="96" customFormat="false" ht="23.85" hidden="false" customHeight="false" outlineLevel="0" collapsed="false">
      <c r="A96" s="7" t="s">
        <v>232</v>
      </c>
      <c r="B96" s="7" t="s">
        <v>27</v>
      </c>
      <c r="C96" s="7" t="s">
        <v>233</v>
      </c>
      <c r="D96" s="7"/>
      <c r="E96" s="7"/>
      <c r="F96" s="8" t="n">
        <v>0</v>
      </c>
      <c r="G96" s="8" t="n">
        <v>0</v>
      </c>
      <c r="H96" s="7" t="n">
        <v>0</v>
      </c>
      <c r="I96" s="7"/>
      <c r="J96" s="7" t="n">
        <v>0</v>
      </c>
      <c r="K96" s="9" t="s">
        <v>4</v>
      </c>
      <c r="L96" s="7"/>
      <c r="M96" s="7"/>
      <c r="N96" s="10" t="n">
        <f aca="false">IF(AND(ISNUMBER(F96),ISNUMBER(G96)),ABS(G96-F96),"")</f>
        <v>0</v>
      </c>
      <c r="O96" s="4" t="str">
        <f aca="false">IF(AND(ISNUMBER(N96),ISNUMBER(J96)),IF(N96&lt;=J96,"PASS","FAIL"),"n/a")</f>
        <v>PASS</v>
      </c>
    </row>
    <row r="97" customFormat="false" ht="23.85" hidden="false" customHeight="false" outlineLevel="0" collapsed="false">
      <c r="A97" s="7" t="s">
        <v>234</v>
      </c>
      <c r="B97" s="7" t="s">
        <v>27</v>
      </c>
      <c r="C97" s="7" t="s">
        <v>235</v>
      </c>
      <c r="D97" s="7"/>
      <c r="E97" s="7"/>
      <c r="F97" s="8" t="n">
        <v>2374</v>
      </c>
      <c r="G97" s="8" t="n">
        <v>2374</v>
      </c>
      <c r="H97" s="7" t="n">
        <v>0</v>
      </c>
      <c r="I97" s="7" t="n">
        <v>0</v>
      </c>
      <c r="J97" s="7" t="n">
        <v>0</v>
      </c>
      <c r="K97" s="9" t="s">
        <v>4</v>
      </c>
      <c r="L97" s="7"/>
      <c r="M97" s="7"/>
      <c r="N97" s="10" t="n">
        <f aca="false">IF(AND(ISNUMBER(F97),ISNUMBER(G97)),ABS(G97-F97),"")</f>
        <v>0</v>
      </c>
      <c r="O97" s="4" t="str">
        <f aca="false">IF(AND(ISNUMBER(N97),ISNUMBER(J97)),IF(N97&lt;=J97,"PASS","FAIL"),"n/a")</f>
        <v>PASS</v>
      </c>
    </row>
    <row r="98" customFormat="false" ht="147" hidden="false" customHeight="false" outlineLevel="0" collapsed="false">
      <c r="A98" s="7" t="s">
        <v>236</v>
      </c>
      <c r="B98" s="7" t="s">
        <v>27</v>
      </c>
      <c r="C98" s="7" t="s">
        <v>237</v>
      </c>
      <c r="D98" s="7"/>
      <c r="E98" s="7"/>
      <c r="F98" s="7"/>
      <c r="G98" s="7"/>
      <c r="H98" s="7"/>
      <c r="I98" s="7"/>
      <c r="J98" s="7"/>
      <c r="K98" s="11" t="s">
        <v>8</v>
      </c>
      <c r="L98" s="7" t="s">
        <v>238</v>
      </c>
      <c r="M98" s="7"/>
      <c r="N98" s="10" t="str">
        <f aca="false">IF(AND(ISNUMBER(F98),ISNUMBER(G98)),ABS(G98-F98),"")</f>
        <v/>
      </c>
      <c r="O98" s="4" t="str">
        <f aca="false">IF(AND(ISNUMBER(N98),ISNUMBER(J98)),IF(N98&lt;=J98,"PASS","FAIL"),"n/a")</f>
        <v>n/a</v>
      </c>
    </row>
    <row r="99" customFormat="false" ht="23.85" hidden="false" customHeight="false" outlineLevel="0" collapsed="false">
      <c r="A99" s="7" t="s">
        <v>239</v>
      </c>
      <c r="B99" s="7" t="s">
        <v>27</v>
      </c>
      <c r="C99" s="7" t="s">
        <v>240</v>
      </c>
      <c r="D99" s="7"/>
      <c r="E99" s="7"/>
      <c r="F99" s="8" t="n">
        <v>58340</v>
      </c>
      <c r="G99" s="8" t="n">
        <v>58340</v>
      </c>
      <c r="H99" s="7" t="n">
        <v>0</v>
      </c>
      <c r="I99" s="7" t="n">
        <v>0</v>
      </c>
      <c r="J99" s="7" t="n">
        <v>0</v>
      </c>
      <c r="K99" s="9" t="s">
        <v>4</v>
      </c>
      <c r="L99" s="7"/>
      <c r="M99" s="7"/>
      <c r="N99" s="10" t="n">
        <f aca="false">IF(AND(ISNUMBER(F99),ISNUMBER(G99)),ABS(G99-F99),"")</f>
        <v>0</v>
      </c>
      <c r="O99" s="4" t="str">
        <f aca="false">IF(AND(ISNUMBER(N99),ISNUMBER(J99)),IF(N99&lt;=J99,"PASS","FAIL"),"n/a")</f>
        <v>PASS</v>
      </c>
    </row>
    <row r="100" customFormat="false" ht="35.05" hidden="false" customHeight="false" outlineLevel="0" collapsed="false">
      <c r="A100" s="7" t="s">
        <v>241</v>
      </c>
      <c r="B100" s="7" t="s">
        <v>27</v>
      </c>
      <c r="C100" s="7" t="s">
        <v>242</v>
      </c>
      <c r="D100" s="7"/>
      <c r="E100" s="7"/>
      <c r="F100" s="8" t="n">
        <v>350</v>
      </c>
      <c r="G100" s="8" t="n">
        <v>350</v>
      </c>
      <c r="H100" s="7" t="n">
        <v>0</v>
      </c>
      <c r="I100" s="7" t="n">
        <v>0</v>
      </c>
      <c r="J100" s="7" t="n">
        <v>0</v>
      </c>
      <c r="K100" s="9" t="s">
        <v>4</v>
      </c>
      <c r="L100" s="7"/>
      <c r="M100" s="7"/>
      <c r="N100" s="10" t="n">
        <f aca="false">IF(AND(ISNUMBER(F100),ISNUMBER(G100)),ABS(G100-F100),"")</f>
        <v>0</v>
      </c>
      <c r="O100" s="4" t="str">
        <f aca="false">IF(AND(ISNUMBER(N100),ISNUMBER(J100)),IF(N100&lt;=J100,"PASS","FAIL"),"n/a")</f>
        <v>PASS</v>
      </c>
    </row>
    <row r="101" customFormat="false" ht="23.85" hidden="false" customHeight="false" outlineLevel="0" collapsed="false">
      <c r="A101" s="7" t="s">
        <v>243</v>
      </c>
      <c r="B101" s="7" t="s">
        <v>27</v>
      </c>
      <c r="C101" s="7" t="s">
        <v>244</v>
      </c>
      <c r="D101" s="7"/>
      <c r="E101" s="7"/>
      <c r="F101" s="8" t="n">
        <v>204</v>
      </c>
      <c r="G101" s="8" t="n">
        <v>204</v>
      </c>
      <c r="H101" s="7" t="n">
        <v>0</v>
      </c>
      <c r="I101" s="7" t="n">
        <v>0</v>
      </c>
      <c r="J101" s="7" t="n">
        <v>0</v>
      </c>
      <c r="K101" s="9" t="s">
        <v>4</v>
      </c>
      <c r="L101" s="7"/>
      <c r="M101" s="7"/>
      <c r="N101" s="10" t="n">
        <f aca="false">IF(AND(ISNUMBER(F101),ISNUMBER(G101)),ABS(G101-F101),"")</f>
        <v>0</v>
      </c>
      <c r="O101" s="4" t="str">
        <f aca="false">IF(AND(ISNUMBER(N101),ISNUMBER(J101)),IF(N101&lt;=J101,"PASS","FAIL"),"n/a")</f>
        <v>PASS</v>
      </c>
    </row>
    <row r="102" customFormat="false" ht="35.05" hidden="false" customHeight="false" outlineLevel="0" collapsed="false">
      <c r="A102" s="7" t="s">
        <v>245</v>
      </c>
      <c r="B102" s="7" t="s">
        <v>27</v>
      </c>
      <c r="C102" s="7" t="s">
        <v>246</v>
      </c>
      <c r="D102" s="7"/>
      <c r="E102" s="7"/>
      <c r="F102" s="8" t="n">
        <v>16</v>
      </c>
      <c r="G102" s="8" t="n">
        <v>16</v>
      </c>
      <c r="H102" s="7" t="n">
        <v>0</v>
      </c>
      <c r="I102" s="7" t="n">
        <v>0</v>
      </c>
      <c r="J102" s="7" t="n">
        <v>0</v>
      </c>
      <c r="K102" s="9" t="s">
        <v>4</v>
      </c>
      <c r="L102" s="7"/>
      <c r="M102" s="7"/>
      <c r="N102" s="10" t="n">
        <f aca="false">IF(AND(ISNUMBER(F102),ISNUMBER(G102)),ABS(G102-F102),"")</f>
        <v>0</v>
      </c>
      <c r="O102" s="4" t="str">
        <f aca="false">IF(AND(ISNUMBER(N102),ISNUMBER(J102)),IF(N102&lt;=J102,"PASS","FAIL"),"n/a")</f>
        <v>PASS</v>
      </c>
    </row>
    <row r="103" customFormat="false" ht="35.05" hidden="false" customHeight="false" outlineLevel="0" collapsed="false">
      <c r="A103" s="7" t="s">
        <v>247</v>
      </c>
      <c r="B103" s="7" t="s">
        <v>27</v>
      </c>
      <c r="C103" s="7" t="s">
        <v>248</v>
      </c>
      <c r="D103" s="7"/>
      <c r="E103" s="7"/>
      <c r="F103" s="8" t="n">
        <v>7125</v>
      </c>
      <c r="G103" s="8" t="n">
        <v>7125</v>
      </c>
      <c r="H103" s="7" t="n">
        <v>0</v>
      </c>
      <c r="I103" s="7" t="n">
        <v>0</v>
      </c>
      <c r="J103" s="7" t="n">
        <v>0</v>
      </c>
      <c r="K103" s="9" t="s">
        <v>4</v>
      </c>
      <c r="L103" s="7"/>
      <c r="M103" s="7"/>
      <c r="N103" s="10" t="n">
        <f aca="false">IF(AND(ISNUMBER(F103),ISNUMBER(G103)),ABS(G103-F103),"")</f>
        <v>0</v>
      </c>
      <c r="O103" s="4" t="str">
        <f aca="false">IF(AND(ISNUMBER(N103),ISNUMBER(J103)),IF(N103&lt;=J103,"PASS","FAIL"),"n/a")</f>
        <v>PASS</v>
      </c>
    </row>
    <row r="104" customFormat="false" ht="35.05" hidden="false" customHeight="false" outlineLevel="0" collapsed="false">
      <c r="A104" s="7" t="s">
        <v>249</v>
      </c>
      <c r="B104" s="7" t="s">
        <v>27</v>
      </c>
      <c r="C104" s="7" t="s">
        <v>250</v>
      </c>
      <c r="D104" s="7"/>
      <c r="E104" s="7"/>
      <c r="F104" s="8" t="n">
        <v>82986</v>
      </c>
      <c r="G104" s="8" t="n">
        <v>82986</v>
      </c>
      <c r="H104" s="7" t="n">
        <v>0</v>
      </c>
      <c r="I104" s="7" t="n">
        <v>0</v>
      </c>
      <c r="J104" s="7" t="n">
        <v>0</v>
      </c>
      <c r="K104" s="9" t="s">
        <v>4</v>
      </c>
      <c r="L104" s="7"/>
      <c r="M104" s="7"/>
      <c r="N104" s="10" t="n">
        <f aca="false">IF(AND(ISNUMBER(F104),ISNUMBER(G104)),ABS(G104-F104),"")</f>
        <v>0</v>
      </c>
      <c r="O104" s="4" t="str">
        <f aca="false">IF(AND(ISNUMBER(N104),ISNUMBER(J104)),IF(N104&lt;=J104,"PASS","FAIL"),"n/a")</f>
        <v>PASS</v>
      </c>
    </row>
    <row r="105" customFormat="false" ht="23.85" hidden="false" customHeight="false" outlineLevel="0" collapsed="false">
      <c r="A105" s="7" t="s">
        <v>251</v>
      </c>
      <c r="B105" s="7" t="s">
        <v>27</v>
      </c>
      <c r="C105" s="7" t="s">
        <v>252</v>
      </c>
      <c r="D105" s="7"/>
      <c r="E105" s="7"/>
      <c r="F105" s="8" t="n">
        <v>3637</v>
      </c>
      <c r="G105" s="8" t="n">
        <v>3637</v>
      </c>
      <c r="H105" s="7" t="n">
        <v>0</v>
      </c>
      <c r="I105" s="7" t="n">
        <v>0</v>
      </c>
      <c r="J105" s="7" t="n">
        <v>0</v>
      </c>
      <c r="K105" s="9" t="s">
        <v>4</v>
      </c>
      <c r="L105" s="7"/>
      <c r="M105" s="7"/>
      <c r="N105" s="10" t="n">
        <f aca="false">IF(AND(ISNUMBER(F105),ISNUMBER(G105)),ABS(G105-F105),"")</f>
        <v>0</v>
      </c>
      <c r="O105" s="4" t="str">
        <f aca="false">IF(AND(ISNUMBER(N105),ISNUMBER(J105)),IF(N105&lt;=J105,"PASS","FAIL"),"n/a")</f>
        <v>PASS</v>
      </c>
    </row>
    <row r="106" customFormat="false" ht="35.05" hidden="false" customHeight="false" outlineLevel="0" collapsed="false">
      <c r="A106" s="7" t="s">
        <v>253</v>
      </c>
      <c r="B106" s="7" t="s">
        <v>27</v>
      </c>
      <c r="C106" s="7" t="s">
        <v>254</v>
      </c>
      <c r="D106" s="7"/>
      <c r="E106" s="7"/>
      <c r="F106" s="8" t="n">
        <v>24</v>
      </c>
      <c r="G106" s="8" t="n">
        <v>24</v>
      </c>
      <c r="H106" s="7" t="n">
        <v>0</v>
      </c>
      <c r="I106" s="7" t="n">
        <v>0</v>
      </c>
      <c r="J106" s="7" t="n">
        <v>0</v>
      </c>
      <c r="K106" s="9" t="s">
        <v>4</v>
      </c>
      <c r="L106" s="7"/>
      <c r="M106" s="7"/>
      <c r="N106" s="10" t="n">
        <f aca="false">IF(AND(ISNUMBER(F106),ISNUMBER(G106)),ABS(G106-F106),"")</f>
        <v>0</v>
      </c>
      <c r="O106" s="4" t="str">
        <f aca="false">IF(AND(ISNUMBER(N106),ISNUMBER(J106)),IF(N106&lt;=J106,"PASS","FAIL"),"n/a")</f>
        <v>PASS</v>
      </c>
    </row>
    <row r="107" customFormat="false" ht="23.85" hidden="false" customHeight="false" outlineLevel="0" collapsed="false">
      <c r="A107" s="7" t="s">
        <v>255</v>
      </c>
      <c r="B107" s="7" t="s">
        <v>27</v>
      </c>
      <c r="C107" s="7" t="s">
        <v>256</v>
      </c>
      <c r="D107" s="7"/>
      <c r="E107" s="7"/>
      <c r="F107" s="8" t="n">
        <v>58340</v>
      </c>
      <c r="G107" s="8" t="n">
        <v>58340</v>
      </c>
      <c r="H107" s="7" t="n">
        <v>0</v>
      </c>
      <c r="I107" s="7" t="n">
        <v>0</v>
      </c>
      <c r="J107" s="7" t="n">
        <v>0</v>
      </c>
      <c r="K107" s="9" t="s">
        <v>4</v>
      </c>
      <c r="L107" s="7"/>
      <c r="M107" s="7"/>
      <c r="N107" s="10" t="n">
        <f aca="false">IF(AND(ISNUMBER(F107),ISNUMBER(G107)),ABS(G107-F107),"")</f>
        <v>0</v>
      </c>
      <c r="O107" s="4" t="str">
        <f aca="false">IF(AND(ISNUMBER(N107),ISNUMBER(J107)),IF(N107&lt;=J107,"PASS","FAIL"),"n/a")</f>
        <v>PASS</v>
      </c>
    </row>
    <row r="108" customFormat="false" ht="23.85" hidden="false" customHeight="false" outlineLevel="0" collapsed="false">
      <c r="A108" s="7" t="s">
        <v>257</v>
      </c>
      <c r="B108" s="7" t="s">
        <v>27</v>
      </c>
      <c r="C108" s="7" t="s">
        <v>258</v>
      </c>
      <c r="D108" s="7"/>
      <c r="E108" s="7"/>
      <c r="F108" s="8" t="n">
        <v>0</v>
      </c>
      <c r="G108" s="8" t="n">
        <v>0</v>
      </c>
      <c r="H108" s="7" t="n">
        <v>0</v>
      </c>
      <c r="I108" s="7"/>
      <c r="J108" s="7" t="n">
        <v>0</v>
      </c>
      <c r="K108" s="9" t="s">
        <v>4</v>
      </c>
      <c r="L108" s="7"/>
      <c r="M108" s="7"/>
      <c r="N108" s="10" t="n">
        <f aca="false">IF(AND(ISNUMBER(F108),ISNUMBER(G108)),ABS(G108-F108),"")</f>
        <v>0</v>
      </c>
      <c r="O108" s="4" t="str">
        <f aca="false">IF(AND(ISNUMBER(N108),ISNUMBER(J108)),IF(N108&lt;=J108,"PASS","FAIL"),"n/a")</f>
        <v>PASS</v>
      </c>
    </row>
    <row r="109" customFormat="false" ht="23.85" hidden="false" customHeight="false" outlineLevel="0" collapsed="false">
      <c r="A109" s="7" t="s">
        <v>259</v>
      </c>
      <c r="B109" s="7" t="s">
        <v>27</v>
      </c>
      <c r="C109" s="7" t="s">
        <v>260</v>
      </c>
      <c r="D109" s="7"/>
      <c r="E109" s="7"/>
      <c r="F109" s="8" t="n">
        <v>0</v>
      </c>
      <c r="G109" s="8" t="n">
        <v>0</v>
      </c>
      <c r="H109" s="7" t="n">
        <v>0</v>
      </c>
      <c r="I109" s="7"/>
      <c r="J109" s="7" t="n">
        <v>0</v>
      </c>
      <c r="K109" s="9" t="s">
        <v>4</v>
      </c>
      <c r="L109" s="7"/>
      <c r="M109" s="7"/>
      <c r="N109" s="10" t="n">
        <f aca="false">IF(AND(ISNUMBER(F109),ISNUMBER(G109)),ABS(G109-F109),"")</f>
        <v>0</v>
      </c>
      <c r="O109" s="4" t="str">
        <f aca="false">IF(AND(ISNUMBER(N109),ISNUMBER(J109)),IF(N109&lt;=J109,"PASS","FAIL"),"n/a")</f>
        <v>PASS</v>
      </c>
    </row>
    <row r="110" customFormat="false" ht="23.85" hidden="false" customHeight="false" outlineLevel="0" collapsed="false">
      <c r="A110" s="7" t="s">
        <v>261</v>
      </c>
      <c r="B110" s="7" t="s">
        <v>27</v>
      </c>
      <c r="C110" s="7" t="s">
        <v>262</v>
      </c>
      <c r="D110" s="7"/>
      <c r="E110" s="7"/>
      <c r="F110" s="8" t="n">
        <v>0</v>
      </c>
      <c r="G110" s="8" t="n">
        <v>0</v>
      </c>
      <c r="H110" s="7" t="n">
        <v>0</v>
      </c>
      <c r="I110" s="7"/>
      <c r="J110" s="7" t="n">
        <v>0</v>
      </c>
      <c r="K110" s="9" t="s">
        <v>4</v>
      </c>
      <c r="L110" s="7"/>
      <c r="M110" s="7"/>
      <c r="N110" s="10" t="n">
        <f aca="false">IF(AND(ISNUMBER(F110),ISNUMBER(G110)),ABS(G110-F110),"")</f>
        <v>0</v>
      </c>
      <c r="O110" s="4" t="str">
        <f aca="false">IF(AND(ISNUMBER(N110),ISNUMBER(J110)),IF(N110&lt;=J110,"PASS","FAIL"),"n/a")</f>
        <v>PASS</v>
      </c>
    </row>
    <row r="111" customFormat="false" ht="23.85" hidden="false" customHeight="false" outlineLevel="0" collapsed="false">
      <c r="A111" s="7" t="s">
        <v>263</v>
      </c>
      <c r="B111" s="7" t="s">
        <v>27</v>
      </c>
      <c r="C111" s="7" t="s">
        <v>264</v>
      </c>
      <c r="D111" s="7"/>
      <c r="E111" s="7"/>
      <c r="F111" s="7"/>
      <c r="G111" s="8" t="n">
        <v>2664</v>
      </c>
      <c r="H111" s="7"/>
      <c r="I111" s="7"/>
      <c r="J111" s="7"/>
      <c r="K111" s="11" t="s">
        <v>8</v>
      </c>
      <c r="L111" s="7"/>
      <c r="M111" s="7"/>
      <c r="N111" s="10" t="str">
        <f aca="false">IF(AND(ISNUMBER(F111),ISNUMBER(G111)),ABS(G111-F111),"")</f>
        <v/>
      </c>
      <c r="O111" s="4" t="str">
        <f aca="false">IF(AND(ISNUMBER(N111),ISNUMBER(J111)),IF(N111&lt;=J111,"PASS","FAIL"),"n/a")</f>
        <v>n/a</v>
      </c>
    </row>
    <row r="112" customFormat="false" ht="57.45" hidden="false" customHeight="false" outlineLevel="0" collapsed="false">
      <c r="A112" s="7" t="s">
        <v>265</v>
      </c>
      <c r="B112" s="7" t="s">
        <v>27</v>
      </c>
      <c r="C112" s="7" t="s">
        <v>266</v>
      </c>
      <c r="D112" s="7"/>
      <c r="E112" s="7"/>
      <c r="F112" s="7"/>
      <c r="G112" s="8" t="n">
        <v>598</v>
      </c>
      <c r="H112" s="7"/>
      <c r="I112" s="7"/>
      <c r="J112" s="7"/>
      <c r="K112" s="11" t="s">
        <v>8</v>
      </c>
      <c r="L112" s="7" t="s">
        <v>267</v>
      </c>
      <c r="M112" s="7"/>
      <c r="N112" s="10" t="str">
        <f aca="false">IF(AND(ISNUMBER(F112),ISNUMBER(G112)),ABS(G112-F112),"")</f>
        <v/>
      </c>
      <c r="O112" s="4" t="str">
        <f aca="false">IF(AND(ISNUMBER(N112),ISNUMBER(J112)),IF(N112&lt;=J112,"PASS","FAIL"),"n/a")</f>
        <v>n/a</v>
      </c>
    </row>
    <row r="113" customFormat="false" ht="23.85" hidden="false" customHeight="false" outlineLevel="0" collapsed="false">
      <c r="A113" s="7" t="s">
        <v>268</v>
      </c>
      <c r="B113" s="7" t="s">
        <v>27</v>
      </c>
      <c r="C113" s="7" t="s">
        <v>269</v>
      </c>
      <c r="D113" s="7"/>
      <c r="E113" s="7"/>
      <c r="F113" s="8" t="n">
        <v>1587</v>
      </c>
      <c r="G113" s="8" t="n">
        <v>1587</v>
      </c>
      <c r="H113" s="7" t="n">
        <v>0</v>
      </c>
      <c r="I113" s="7" t="n">
        <v>0</v>
      </c>
      <c r="J113" s="7" t="n">
        <v>0</v>
      </c>
      <c r="K113" s="9" t="s">
        <v>4</v>
      </c>
      <c r="L113" s="7"/>
      <c r="M113" s="7"/>
      <c r="N113" s="10" t="n">
        <f aca="false">IF(AND(ISNUMBER(F113),ISNUMBER(G113)),ABS(G113-F113),"")</f>
        <v>0</v>
      </c>
      <c r="O113" s="4" t="str">
        <f aca="false">IF(AND(ISNUMBER(N113),ISNUMBER(J113)),IF(N113&lt;=J113,"PASS","FAIL"),"n/a")</f>
        <v>PASS</v>
      </c>
    </row>
    <row r="114" customFormat="false" ht="23.85" hidden="false" customHeight="false" outlineLevel="0" collapsed="false">
      <c r="A114" s="7" t="s">
        <v>270</v>
      </c>
      <c r="B114" s="7" t="s">
        <v>27</v>
      </c>
      <c r="C114" s="7" t="s">
        <v>271</v>
      </c>
      <c r="D114" s="7"/>
      <c r="E114" s="7"/>
      <c r="F114" s="8" t="n">
        <v>0</v>
      </c>
      <c r="G114" s="8" t="n">
        <v>0</v>
      </c>
      <c r="H114" s="7" t="n">
        <v>0</v>
      </c>
      <c r="I114" s="7"/>
      <c r="J114" s="7" t="n">
        <v>0</v>
      </c>
      <c r="K114" s="9" t="s">
        <v>4</v>
      </c>
      <c r="L114" s="7" t="s">
        <v>272</v>
      </c>
      <c r="M114" s="7"/>
      <c r="N114" s="10" t="n">
        <f aca="false">IF(AND(ISNUMBER(F114),ISNUMBER(G114)),ABS(G114-F114),"")</f>
        <v>0</v>
      </c>
      <c r="O114" s="4" t="str">
        <f aca="false">IF(AND(ISNUMBER(N114),ISNUMBER(J114)),IF(N114&lt;=J114,"PASS","FAIL"),"n/a")</f>
        <v>PASS</v>
      </c>
    </row>
    <row r="115" customFormat="false" ht="23.85" hidden="false" customHeight="false" outlineLevel="0" collapsed="false">
      <c r="A115" s="7" t="s">
        <v>273</v>
      </c>
      <c r="B115" s="7" t="s">
        <v>27</v>
      </c>
      <c r="C115" s="7" t="s">
        <v>274</v>
      </c>
      <c r="D115" s="7"/>
      <c r="E115" s="7"/>
      <c r="F115" s="8" t="n">
        <v>2517</v>
      </c>
      <c r="G115" s="8" t="n">
        <v>2517</v>
      </c>
      <c r="H115" s="7" t="n">
        <v>0</v>
      </c>
      <c r="I115" s="7" t="n">
        <v>0</v>
      </c>
      <c r="J115" s="7" t="n">
        <v>0</v>
      </c>
      <c r="K115" s="9" t="s">
        <v>4</v>
      </c>
      <c r="L115" s="7"/>
      <c r="M115" s="7"/>
      <c r="N115" s="10" t="n">
        <f aca="false">IF(AND(ISNUMBER(F115),ISNUMBER(G115)),ABS(G115-F115),"")</f>
        <v>0</v>
      </c>
      <c r="O115" s="4" t="str">
        <f aca="false">IF(AND(ISNUMBER(N115),ISNUMBER(J115)),IF(N115&lt;=J115,"PASS","FAIL"),"n/a")</f>
        <v>PASS</v>
      </c>
    </row>
    <row r="116" customFormat="false" ht="23.85" hidden="false" customHeight="false" outlineLevel="0" collapsed="false">
      <c r="A116" s="7" t="s">
        <v>275</v>
      </c>
      <c r="B116" s="7" t="s">
        <v>27</v>
      </c>
      <c r="C116" s="7" t="s">
        <v>276</v>
      </c>
      <c r="D116" s="7"/>
      <c r="E116" s="7"/>
      <c r="F116" s="8" t="n">
        <v>2510</v>
      </c>
      <c r="G116" s="8" t="n">
        <v>2510</v>
      </c>
      <c r="H116" s="7" t="n">
        <v>0</v>
      </c>
      <c r="I116" s="7" t="n">
        <v>0</v>
      </c>
      <c r="J116" s="7" t="n">
        <v>0</v>
      </c>
      <c r="K116" s="9" t="s">
        <v>4</v>
      </c>
      <c r="L116" s="7" t="s">
        <v>277</v>
      </c>
      <c r="M116" s="7"/>
      <c r="N116" s="10" t="n">
        <f aca="false">IF(AND(ISNUMBER(F116),ISNUMBER(G116)),ABS(G116-F116),"")</f>
        <v>0</v>
      </c>
      <c r="O116" s="4" t="str">
        <f aca="false">IF(AND(ISNUMBER(N116),ISNUMBER(J116)),IF(N116&lt;=J116,"PASS","FAIL"),"n/a")</f>
        <v>PASS</v>
      </c>
    </row>
    <row r="117" customFormat="false" ht="23.85" hidden="false" customHeight="false" outlineLevel="0" collapsed="false">
      <c r="A117" s="7" t="s">
        <v>278</v>
      </c>
      <c r="B117" s="7" t="s">
        <v>27</v>
      </c>
      <c r="C117" s="7" t="s">
        <v>279</v>
      </c>
      <c r="D117" s="7"/>
      <c r="E117" s="7"/>
      <c r="F117" s="8" t="n">
        <v>0</v>
      </c>
      <c r="G117" s="8" t="n">
        <v>0</v>
      </c>
      <c r="H117" s="7" t="n">
        <v>0</v>
      </c>
      <c r="I117" s="7"/>
      <c r="J117" s="7" t="n">
        <v>0</v>
      </c>
      <c r="K117" s="9" t="s">
        <v>4</v>
      </c>
      <c r="L117" s="7" t="s">
        <v>280</v>
      </c>
      <c r="M117" s="7"/>
      <c r="N117" s="10" t="n">
        <f aca="false">IF(AND(ISNUMBER(F117),ISNUMBER(G117)),ABS(G117-F117),"")</f>
        <v>0</v>
      </c>
      <c r="O117" s="4" t="str">
        <f aca="false">IF(AND(ISNUMBER(N117),ISNUMBER(J117)),IF(N117&lt;=J117,"PASS","FAIL"),"n/a")</f>
        <v>PASS</v>
      </c>
    </row>
    <row r="118" customFormat="false" ht="23.85" hidden="false" customHeight="false" outlineLevel="0" collapsed="false">
      <c r="A118" s="7" t="s">
        <v>281</v>
      </c>
      <c r="B118" s="7" t="s">
        <v>27</v>
      </c>
      <c r="C118" s="7" t="s">
        <v>282</v>
      </c>
      <c r="D118" s="7"/>
      <c r="E118" s="7"/>
      <c r="F118" s="8" t="n">
        <v>0</v>
      </c>
      <c r="G118" s="8" t="n">
        <v>0</v>
      </c>
      <c r="H118" s="7" t="n">
        <v>0</v>
      </c>
      <c r="I118" s="7"/>
      <c r="J118" s="7" t="n">
        <v>0</v>
      </c>
      <c r="K118" s="9" t="s">
        <v>4</v>
      </c>
      <c r="L118" s="7"/>
      <c r="M118" s="7"/>
      <c r="N118" s="10" t="n">
        <f aca="false">IF(AND(ISNUMBER(F118),ISNUMBER(G118)),ABS(G118-F118),"")</f>
        <v>0</v>
      </c>
      <c r="O118" s="4" t="str">
        <f aca="false">IF(AND(ISNUMBER(N118),ISNUMBER(J118)),IF(N118&lt;=J118,"PASS","FAIL"),"n/a")</f>
        <v>PASS</v>
      </c>
    </row>
  </sheetData>
  <autoFilter ref="A3:M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3" customFormat="false" ht="15" hidden="false" customHeight="false" outlineLevel="0" collapsed="false">
      <c r="A3" s="6" t="s">
        <v>285</v>
      </c>
      <c r="B3" s="6" t="s">
        <v>286</v>
      </c>
      <c r="C3" s="6" t="s">
        <v>287</v>
      </c>
      <c r="D3" s="6" t="s">
        <v>288</v>
      </c>
      <c r="E3" s="6" t="s">
        <v>289</v>
      </c>
    </row>
    <row r="4" customFormat="false" ht="15" hidden="false" customHeight="false" outlineLevel="0" collapsed="false">
      <c r="A4" s="7" t="s">
        <v>290</v>
      </c>
      <c r="B4" s="7" t="s">
        <v>291</v>
      </c>
      <c r="C4" s="12" t="n">
        <v>152682</v>
      </c>
      <c r="D4" s="7" t="s">
        <v>292</v>
      </c>
      <c r="E4" s="7" t="s">
        <v>293</v>
      </c>
    </row>
    <row r="5" customFormat="false" ht="15" hidden="false" customHeight="false" outlineLevel="0" collapsed="false">
      <c r="A5" s="7" t="s">
        <v>294</v>
      </c>
      <c r="B5" s="7" t="s">
        <v>295</v>
      </c>
      <c r="C5" s="12" t="n">
        <v>152682</v>
      </c>
      <c r="D5" s="7" t="s">
        <v>296</v>
      </c>
      <c r="E5" s="7" t="s">
        <v>297</v>
      </c>
    </row>
    <row r="6" customFormat="false" ht="23.85" hidden="false" customHeight="false" outlineLevel="0" collapsed="false">
      <c r="A6" s="7" t="s">
        <v>298</v>
      </c>
      <c r="B6" s="7" t="s">
        <v>299</v>
      </c>
      <c r="C6" s="12" t="n">
        <v>-350</v>
      </c>
      <c r="D6" s="7" t="s">
        <v>300</v>
      </c>
      <c r="E6" s="7" t="s">
        <v>301</v>
      </c>
    </row>
    <row r="7" customFormat="false" ht="15" hidden="false" customHeight="false" outlineLevel="0" collapsed="false">
      <c r="A7" s="7" t="s">
        <v>302</v>
      </c>
      <c r="B7" s="7" t="s">
        <v>303</v>
      </c>
      <c r="C7" s="12" t="n">
        <v>-204</v>
      </c>
      <c r="D7" s="7" t="s">
        <v>304</v>
      </c>
      <c r="E7" s="7" t="s">
        <v>305</v>
      </c>
    </row>
    <row r="8" customFormat="false" ht="23.85" hidden="false" customHeight="false" outlineLevel="0" collapsed="false">
      <c r="A8" s="7" t="s">
        <v>306</v>
      </c>
      <c r="B8" s="7" t="s">
        <v>307</v>
      </c>
      <c r="C8" s="12" t="n">
        <v>-16</v>
      </c>
      <c r="D8" s="7" t="s">
        <v>308</v>
      </c>
      <c r="E8" s="7" t="s">
        <v>309</v>
      </c>
    </row>
    <row r="9" customFormat="false" ht="23.85" hidden="false" customHeight="false" outlineLevel="0" collapsed="false">
      <c r="A9" s="7" t="s">
        <v>310</v>
      </c>
      <c r="B9" s="7" t="s">
        <v>311</v>
      </c>
      <c r="C9" s="12" t="n">
        <v>-7125</v>
      </c>
      <c r="D9" s="7" t="s">
        <v>312</v>
      </c>
      <c r="E9" s="7" t="s">
        <v>313</v>
      </c>
    </row>
    <row r="10" customFormat="false" ht="23.85" hidden="false" customHeight="false" outlineLevel="0" collapsed="false">
      <c r="A10" s="7" t="s">
        <v>314</v>
      </c>
      <c r="B10" s="7" t="s">
        <v>315</v>
      </c>
      <c r="C10" s="12" t="n">
        <v>-82986</v>
      </c>
      <c r="D10" s="7" t="s">
        <v>316</v>
      </c>
      <c r="E10" s="7" t="s">
        <v>317</v>
      </c>
    </row>
    <row r="11" customFormat="false" ht="23.85" hidden="false" customHeight="false" outlineLevel="0" collapsed="false">
      <c r="A11" s="7" t="s">
        <v>318</v>
      </c>
      <c r="B11" s="7" t="s">
        <v>319</v>
      </c>
      <c r="C11" s="12" t="n">
        <v>0</v>
      </c>
      <c r="D11" s="7" t="s">
        <v>316</v>
      </c>
      <c r="E11" s="7" t="s">
        <v>320</v>
      </c>
    </row>
    <row r="12" customFormat="false" ht="23.85" hidden="false" customHeight="false" outlineLevel="0" collapsed="false">
      <c r="A12" s="7" t="s">
        <v>321</v>
      </c>
      <c r="B12" s="7" t="s">
        <v>322</v>
      </c>
      <c r="C12" s="12" t="n">
        <v>-3637</v>
      </c>
      <c r="D12" s="7" t="s">
        <v>323</v>
      </c>
      <c r="E12" s="7" t="s">
        <v>324</v>
      </c>
    </row>
    <row r="13" customFormat="false" ht="23.85" hidden="false" customHeight="false" outlineLevel="0" collapsed="false">
      <c r="A13" s="7" t="s">
        <v>325</v>
      </c>
      <c r="B13" s="7" t="s">
        <v>326</v>
      </c>
      <c r="C13" s="12" t="n">
        <v>-24</v>
      </c>
      <c r="D13" s="7" t="s">
        <v>327</v>
      </c>
      <c r="E13" s="7" t="s">
        <v>328</v>
      </c>
    </row>
    <row r="14" customFormat="false" ht="15" hidden="false" customHeight="false" outlineLevel="0" collapsed="false">
      <c r="A14" s="7" t="s">
        <v>329</v>
      </c>
      <c r="B14" s="7" t="s">
        <v>330</v>
      </c>
      <c r="C14" s="12" t="n">
        <v>58340</v>
      </c>
      <c r="D14" s="7"/>
      <c r="E14" s="7" t="s">
        <v>331</v>
      </c>
    </row>
    <row r="15" customFormat="false" ht="15" hidden="false" customHeight="false" outlineLevel="0" collapsed="false">
      <c r="A15" s="7" t="s">
        <v>332</v>
      </c>
      <c r="B15" s="7" t="s">
        <v>333</v>
      </c>
      <c r="C15" s="12" t="n">
        <v>82986</v>
      </c>
      <c r="D15" s="7"/>
      <c r="E15" s="7" t="s">
        <v>334</v>
      </c>
    </row>
    <row r="16" customFormat="false" ht="15" hidden="false" customHeight="false" outlineLevel="0" collapsed="false">
      <c r="A16" s="7" t="s">
        <v>335</v>
      </c>
      <c r="B16" s="7" t="s">
        <v>336</v>
      </c>
      <c r="C16" s="12" t="n">
        <v>77990</v>
      </c>
      <c r="D16" s="7"/>
      <c r="E16" s="7" t="s">
        <v>337</v>
      </c>
    </row>
    <row r="17" customFormat="false" ht="15" hidden="false" customHeight="false" outlineLevel="0" collapsed="false">
      <c r="A17" s="7" t="s">
        <v>338</v>
      </c>
      <c r="B17" s="7" t="s">
        <v>339</v>
      </c>
      <c r="C17" s="12" t="n">
        <v>4958</v>
      </c>
      <c r="D17" s="7"/>
      <c r="E17" s="7" t="s">
        <v>340</v>
      </c>
    </row>
    <row r="18" customFormat="false" ht="15" hidden="false" customHeight="false" outlineLevel="0" collapsed="false">
      <c r="A18" s="7" t="s">
        <v>341</v>
      </c>
      <c r="B18" s="7" t="s">
        <v>342</v>
      </c>
      <c r="C18" s="12" t="n">
        <v>38</v>
      </c>
      <c r="D18" s="7"/>
      <c r="E18" s="7"/>
    </row>
    <row r="19" customFormat="false" ht="15" hidden="false" customHeight="false" outlineLevel="0" collapsed="false">
      <c r="A19" s="7" t="s">
        <v>343</v>
      </c>
      <c r="B19" s="7" t="s">
        <v>344</v>
      </c>
      <c r="C19" s="12" t="n">
        <v>136330</v>
      </c>
      <c r="D19" s="7"/>
      <c r="E19" s="7" t="s">
        <v>196</v>
      </c>
    </row>
    <row r="20" customFormat="false" ht="15" hidden="false" customHeight="false" outlineLevel="0" collapsed="false">
      <c r="A20" s="7" t="s">
        <v>345</v>
      </c>
      <c r="B20" s="7" t="s">
        <v>346</v>
      </c>
      <c r="C20" s="12" t="n">
        <v>16352</v>
      </c>
      <c r="D20" s="7"/>
      <c r="E20" s="7" t="s">
        <v>347</v>
      </c>
    </row>
    <row r="21" customFormat="false" ht="15" hidden="false" customHeight="false" outlineLevel="0" collapsed="false">
      <c r="A21" s="7" t="s">
        <v>348</v>
      </c>
      <c r="B21" s="7" t="s">
        <v>349</v>
      </c>
      <c r="C21" s="12" t="n">
        <v>55043</v>
      </c>
      <c r="D21" s="7"/>
      <c r="E21" s="7" t="s">
        <v>350</v>
      </c>
    </row>
    <row r="22" customFormat="false" ht="15" hidden="false" customHeight="false" outlineLevel="0" collapsed="false">
      <c r="A22" s="7" t="s">
        <v>351</v>
      </c>
      <c r="B22" s="7" t="s">
        <v>352</v>
      </c>
      <c r="C22" s="12" t="n">
        <v>2953</v>
      </c>
      <c r="D22" s="7"/>
      <c r="E22" s="7" t="s">
        <v>353</v>
      </c>
    </row>
    <row r="23" customFormat="false" ht="15" hidden="false" customHeight="false" outlineLevel="0" collapsed="false">
      <c r="A23" s="7" t="s">
        <v>354</v>
      </c>
      <c r="B23" s="7" t="s">
        <v>355</v>
      </c>
      <c r="C23" s="12" t="n">
        <v>54851</v>
      </c>
      <c r="D23" s="7"/>
      <c r="E23" s="7" t="s">
        <v>356</v>
      </c>
    </row>
    <row r="24" customFormat="false" ht="15" hidden="false" customHeight="false" outlineLevel="0" collapsed="false">
      <c r="A24" s="7" t="s">
        <v>357</v>
      </c>
      <c r="B24" s="7" t="s">
        <v>358</v>
      </c>
      <c r="C24" s="12" t="n">
        <v>54923</v>
      </c>
      <c r="D24" s="7"/>
      <c r="E24" s="7" t="s">
        <v>359</v>
      </c>
    </row>
  </sheetData>
  <autoFilter ref="A3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2"/>
  </cols>
  <sheetData>
    <row r="1" customFormat="false" ht="16.1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3" customFormat="false" ht="26.85" hidden="false" customHeight="false" outlineLevel="0" collapsed="false">
      <c r="A3" s="6" t="s">
        <v>362</v>
      </c>
      <c r="B3" s="6" t="s">
        <v>363</v>
      </c>
      <c r="C3" s="6" t="s">
        <v>364</v>
      </c>
      <c r="D3" s="6" t="s">
        <v>365</v>
      </c>
    </row>
    <row r="4" customFormat="false" ht="15" hidden="false" customHeight="false" outlineLevel="0" collapsed="false">
      <c r="A4" s="7" t="s">
        <v>366</v>
      </c>
      <c r="B4" s="12" t="n">
        <v>147</v>
      </c>
      <c r="C4" s="12" t="n">
        <v>203</v>
      </c>
      <c r="D4" s="12" t="n">
        <v>350</v>
      </c>
    </row>
    <row r="5" customFormat="false" ht="15" hidden="false" customHeight="false" outlineLevel="0" collapsed="false">
      <c r="A5" s="7" t="s">
        <v>367</v>
      </c>
      <c r="B5" s="12" t="n">
        <v>90</v>
      </c>
      <c r="C5" s="12" t="n">
        <v>114</v>
      </c>
      <c r="D5" s="12" t="n">
        <v>204</v>
      </c>
    </row>
    <row r="6" customFormat="false" ht="15" hidden="false" customHeight="false" outlineLevel="0" collapsed="false">
      <c r="A6" s="7" t="s">
        <v>368</v>
      </c>
      <c r="B6" s="12" t="n">
        <v>7</v>
      </c>
      <c r="C6" s="12" t="n">
        <v>9</v>
      </c>
      <c r="D6" s="12" t="n">
        <v>16</v>
      </c>
    </row>
    <row r="7" customFormat="false" ht="15" hidden="false" customHeight="false" outlineLevel="0" collapsed="false">
      <c r="A7" s="7" t="s">
        <v>369</v>
      </c>
      <c r="B7" s="12" t="n">
        <v>3136</v>
      </c>
      <c r="C7" s="12" t="n">
        <v>3989</v>
      </c>
      <c r="D7" s="12" t="n">
        <v>7125</v>
      </c>
    </row>
    <row r="8" customFormat="false" ht="15" hidden="false" customHeight="false" outlineLevel="0" collapsed="false">
      <c r="A8" s="7" t="s">
        <v>370</v>
      </c>
      <c r="B8" s="12" t="n">
        <v>3637</v>
      </c>
      <c r="C8" s="12" t="n">
        <v>4958</v>
      </c>
      <c r="D8" s="12" t="n">
        <v>8595</v>
      </c>
    </row>
    <row r="9" customFormat="false" ht="15" hidden="false" customHeight="false" outlineLevel="0" collapsed="false">
      <c r="A9" s="7" t="s">
        <v>371</v>
      </c>
      <c r="B9" s="12" t="n">
        <v>24</v>
      </c>
      <c r="C9" s="12" t="n">
        <v>38</v>
      </c>
      <c r="D9" s="12" t="n">
        <v>62</v>
      </c>
    </row>
    <row r="10" customFormat="false" ht="15" hidden="false" customHeight="false" outlineLevel="0" collapsed="false">
      <c r="A10" s="7" t="s">
        <v>365</v>
      </c>
      <c r="B10" s="12" t="n">
        <v>7041</v>
      </c>
      <c r="C10" s="12" t="n">
        <v>9311</v>
      </c>
      <c r="D10" s="12" t="n">
        <v>16352</v>
      </c>
    </row>
  </sheetData>
  <autoFilter ref="A3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372</v>
      </c>
    </row>
    <row r="3" customFormat="false" ht="15" hidden="false" customHeight="false" outlineLevel="0" collapsed="false">
      <c r="A3" s="6" t="s">
        <v>373</v>
      </c>
      <c r="B3" s="6" t="s">
        <v>374</v>
      </c>
    </row>
    <row r="4" customFormat="false" ht="15" hidden="false" customHeight="false" outlineLevel="0" collapsed="false">
      <c r="A4" s="7" t="s">
        <v>366</v>
      </c>
      <c r="B4" s="12" t="n">
        <v>350</v>
      </c>
    </row>
    <row r="5" customFormat="false" ht="15" hidden="false" customHeight="false" outlineLevel="0" collapsed="false">
      <c r="A5" s="7" t="s">
        <v>367</v>
      </c>
      <c r="B5" s="12" t="n">
        <v>204</v>
      </c>
    </row>
    <row r="6" customFormat="false" ht="15" hidden="false" customHeight="false" outlineLevel="0" collapsed="false">
      <c r="A6" s="7" t="s">
        <v>368</v>
      </c>
      <c r="B6" s="12" t="n">
        <v>16</v>
      </c>
    </row>
    <row r="7" customFormat="false" ht="15" hidden="false" customHeight="false" outlineLevel="0" collapsed="false">
      <c r="A7" s="7" t="s">
        <v>375</v>
      </c>
      <c r="B7" s="12" t="n">
        <v>7125</v>
      </c>
    </row>
    <row r="8" customFormat="false" ht="15" hidden="false" customHeight="false" outlineLevel="0" collapsed="false">
      <c r="A8" s="7" t="s">
        <v>376</v>
      </c>
      <c r="B8" s="12" t="n">
        <v>82986</v>
      </c>
    </row>
    <row r="9" customFormat="false" ht="15" hidden="false" customHeight="false" outlineLevel="0" collapsed="false">
      <c r="A9" s="7" t="s">
        <v>377</v>
      </c>
      <c r="B9" s="12" t="n">
        <v>3637</v>
      </c>
    </row>
    <row r="10" customFormat="false" ht="15" hidden="false" customHeight="false" outlineLevel="0" collapsed="false">
      <c r="A10" s="7" t="s">
        <v>371</v>
      </c>
      <c r="B10" s="12" t="n">
        <v>24</v>
      </c>
    </row>
    <row r="11" customFormat="false" ht="15" hidden="false" customHeight="false" outlineLevel="0" collapsed="false">
      <c r="A11" s="7" t="s">
        <v>378</v>
      </c>
      <c r="B11" s="12" t="n">
        <v>58340</v>
      </c>
    </row>
    <row r="12" customFormat="false" ht="15" hidden="false" customHeight="false" outlineLevel="0" collapsed="false">
      <c r="A12" s="5" t="s">
        <v>379</v>
      </c>
      <c r="B12" s="5" t="n">
        <f aca="false">SUM(B4:B11)</f>
        <v>152682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380</v>
      </c>
    </row>
    <row r="3" customFormat="false" ht="15" hidden="false" customHeight="false" outlineLevel="0" collapsed="false">
      <c r="A3" s="6" t="s">
        <v>373</v>
      </c>
      <c r="B3" s="6" t="s">
        <v>374</v>
      </c>
    </row>
    <row r="4" customFormat="false" ht="15" hidden="false" customHeight="false" outlineLevel="0" collapsed="false">
      <c r="A4" s="7" t="s">
        <v>366</v>
      </c>
      <c r="B4" s="12" t="n">
        <v>350</v>
      </c>
    </row>
    <row r="5" customFormat="false" ht="15" hidden="false" customHeight="false" outlineLevel="0" collapsed="false">
      <c r="A5" s="7" t="s">
        <v>367</v>
      </c>
      <c r="B5" s="12" t="n">
        <v>204</v>
      </c>
    </row>
    <row r="6" customFormat="false" ht="15" hidden="false" customHeight="false" outlineLevel="0" collapsed="false">
      <c r="A6" s="7" t="s">
        <v>368</v>
      </c>
      <c r="B6" s="12" t="n">
        <v>16</v>
      </c>
    </row>
    <row r="7" customFormat="false" ht="15" hidden="false" customHeight="false" outlineLevel="0" collapsed="false">
      <c r="A7" s="7" t="s">
        <v>375</v>
      </c>
      <c r="B7" s="12" t="n">
        <v>7125</v>
      </c>
    </row>
    <row r="8" customFormat="false" ht="15" hidden="false" customHeight="false" outlineLevel="0" collapsed="false">
      <c r="A8" s="7" t="s">
        <v>376</v>
      </c>
      <c r="B8" s="12" t="n">
        <v>82986</v>
      </c>
    </row>
    <row r="9" customFormat="false" ht="15" hidden="false" customHeight="false" outlineLevel="0" collapsed="false">
      <c r="A9" s="7" t="s">
        <v>377</v>
      </c>
      <c r="B9" s="12" t="n">
        <v>6937</v>
      </c>
    </row>
    <row r="10" customFormat="false" ht="15" hidden="false" customHeight="false" outlineLevel="0" collapsed="false">
      <c r="A10" s="7" t="s">
        <v>371</v>
      </c>
      <c r="B10" s="12" t="n">
        <v>21</v>
      </c>
    </row>
    <row r="11" customFormat="false" ht="15" hidden="false" customHeight="false" outlineLevel="0" collapsed="false">
      <c r="A11" s="7" t="s">
        <v>378</v>
      </c>
      <c r="B11" s="12" t="n">
        <v>55043</v>
      </c>
    </row>
    <row r="12" customFormat="false" ht="15" hidden="false" customHeight="false" outlineLevel="0" collapsed="false">
      <c r="A12" s="5" t="s">
        <v>379</v>
      </c>
      <c r="B12" s="5" t="n">
        <f aca="false">SUM(B4:B11)</f>
        <v>152682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381</v>
      </c>
    </row>
    <row r="3" customFormat="false" ht="15" hidden="false" customHeight="false" outlineLevel="0" collapsed="false">
      <c r="A3" s="6" t="s">
        <v>373</v>
      </c>
      <c r="B3" s="6" t="s">
        <v>374</v>
      </c>
    </row>
    <row r="4" customFormat="false" ht="15" hidden="false" customHeight="false" outlineLevel="0" collapsed="false">
      <c r="A4" s="7" t="s">
        <v>366</v>
      </c>
      <c r="B4" s="12" t="n">
        <v>350</v>
      </c>
    </row>
    <row r="5" customFormat="false" ht="15" hidden="false" customHeight="false" outlineLevel="0" collapsed="false">
      <c r="A5" s="7" t="s">
        <v>367</v>
      </c>
      <c r="B5" s="12" t="n">
        <v>204</v>
      </c>
    </row>
    <row r="6" customFormat="false" ht="15" hidden="false" customHeight="false" outlineLevel="0" collapsed="false">
      <c r="A6" s="7" t="s">
        <v>368</v>
      </c>
      <c r="B6" s="12" t="n">
        <v>16</v>
      </c>
    </row>
    <row r="7" customFormat="false" ht="15" hidden="false" customHeight="false" outlineLevel="0" collapsed="false">
      <c r="A7" s="7" t="s">
        <v>375</v>
      </c>
      <c r="B7" s="12" t="n">
        <v>144987</v>
      </c>
    </row>
    <row r="8" customFormat="false" ht="15" hidden="false" customHeight="false" outlineLevel="0" collapsed="false">
      <c r="A8" s="7" t="s">
        <v>376</v>
      </c>
      <c r="B8" s="12" t="n">
        <v>3989</v>
      </c>
    </row>
    <row r="9" customFormat="false" ht="15" hidden="false" customHeight="false" outlineLevel="0" collapsed="false">
      <c r="A9" s="7" t="s">
        <v>377</v>
      </c>
      <c r="B9" s="12" t="n">
        <v>182</v>
      </c>
    </row>
    <row r="10" customFormat="false" ht="15" hidden="false" customHeight="false" outlineLevel="0" collapsed="false">
      <c r="A10" s="7" t="s">
        <v>371</v>
      </c>
      <c r="B10" s="12" t="n">
        <v>1</v>
      </c>
    </row>
    <row r="11" customFormat="false" ht="15" hidden="false" customHeight="false" outlineLevel="0" collapsed="false">
      <c r="A11" s="7" t="s">
        <v>378</v>
      </c>
      <c r="B11" s="12" t="n">
        <v>2953</v>
      </c>
    </row>
    <row r="12" customFormat="false" ht="15" hidden="false" customHeight="false" outlineLevel="0" collapsed="false">
      <c r="A12" s="5" t="s">
        <v>379</v>
      </c>
      <c r="B12" s="5" t="n">
        <f aca="false">SUM(B4:B11)</f>
        <v>152682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382</v>
      </c>
    </row>
    <row r="3" customFormat="false" ht="26.85" hidden="false" customHeight="false" outlineLevel="0" collapsed="false">
      <c r="A3" s="6" t="s">
        <v>383</v>
      </c>
      <c r="B3" s="6" t="s">
        <v>384</v>
      </c>
      <c r="C3" s="6" t="s">
        <v>385</v>
      </c>
      <c r="D3" s="6" t="s">
        <v>288</v>
      </c>
    </row>
    <row r="4" customFormat="false" ht="15" hidden="false" customHeight="false" outlineLevel="0" collapsed="false">
      <c r="A4" s="7" t="s">
        <v>386</v>
      </c>
      <c r="B4" s="7" t="s">
        <v>386</v>
      </c>
      <c r="C4" s="12" t="n">
        <v>0</v>
      </c>
      <c r="D4" s="7"/>
    </row>
    <row r="5" customFormat="false" ht="23.85" hidden="false" customHeight="false" outlineLevel="0" collapsed="false">
      <c r="A5" s="7" t="s">
        <v>387</v>
      </c>
      <c r="B5" s="7" t="s">
        <v>387</v>
      </c>
      <c r="C5" s="12" t="n">
        <v>2038</v>
      </c>
      <c r="D5" s="7"/>
    </row>
    <row r="6" customFormat="false" ht="15" hidden="false" customHeight="false" outlineLevel="0" collapsed="false">
      <c r="A6" s="7" t="s">
        <v>388</v>
      </c>
      <c r="B6" s="7" t="s">
        <v>389</v>
      </c>
      <c r="C6" s="12" t="n">
        <v>0</v>
      </c>
      <c r="D6" s="7"/>
    </row>
    <row r="7" customFormat="false" ht="15" hidden="false" customHeight="false" outlineLevel="0" collapsed="false">
      <c r="A7" s="7" t="s">
        <v>390</v>
      </c>
      <c r="B7" s="7" t="s">
        <v>391</v>
      </c>
      <c r="C7" s="12" t="n">
        <v>0</v>
      </c>
      <c r="D7" s="7"/>
    </row>
    <row r="8" customFormat="false" ht="15" hidden="false" customHeight="false" outlineLevel="0" collapsed="false">
      <c r="A8" s="7" t="s">
        <v>392</v>
      </c>
      <c r="B8" s="7" t="s">
        <v>393</v>
      </c>
      <c r="C8" s="12" t="n">
        <v>0</v>
      </c>
      <c r="D8" s="7"/>
    </row>
    <row r="9" customFormat="false" ht="15" hidden="false" customHeight="false" outlineLevel="0" collapsed="false">
      <c r="A9" s="7" t="s">
        <v>394</v>
      </c>
      <c r="B9" s="7" t="s">
        <v>395</v>
      </c>
      <c r="C9" s="12" t="n">
        <v>0</v>
      </c>
      <c r="D9" s="7"/>
    </row>
    <row r="10" customFormat="false" ht="15" hidden="false" customHeight="false" outlineLevel="0" collapsed="false">
      <c r="A10" s="7" t="s">
        <v>396</v>
      </c>
      <c r="B10" s="7" t="s">
        <v>397</v>
      </c>
      <c r="C10" s="12" t="n">
        <v>0</v>
      </c>
      <c r="D10" s="7"/>
    </row>
    <row r="11" customFormat="false" ht="15" hidden="false" customHeight="false" outlineLevel="0" collapsed="false">
      <c r="A11" s="7" t="s">
        <v>398</v>
      </c>
      <c r="B11" s="7" t="s">
        <v>398</v>
      </c>
      <c r="C11" s="12" t="n">
        <v>49554</v>
      </c>
      <c r="D11" s="7"/>
    </row>
    <row r="12" customFormat="false" ht="15" hidden="false" customHeight="false" outlineLevel="0" collapsed="false">
      <c r="A12" s="7" t="s">
        <v>399</v>
      </c>
      <c r="B12" s="7" t="s">
        <v>399</v>
      </c>
      <c r="C12" s="12" t="n">
        <v>0</v>
      </c>
      <c r="D12" s="7"/>
    </row>
    <row r="13" customFormat="false" ht="15" hidden="false" customHeight="false" outlineLevel="0" collapsed="false">
      <c r="A13" s="7" t="s">
        <v>400</v>
      </c>
      <c r="B13" s="7" t="s">
        <v>400</v>
      </c>
      <c r="C13" s="12" t="n">
        <v>6180</v>
      </c>
      <c r="D13" s="7"/>
    </row>
    <row r="14" customFormat="false" ht="23.85" hidden="false" customHeight="false" outlineLevel="0" collapsed="false">
      <c r="A14" s="7" t="s">
        <v>401</v>
      </c>
      <c r="B14" s="7" t="s">
        <v>401</v>
      </c>
      <c r="C14" s="12" t="n">
        <v>7405</v>
      </c>
      <c r="D14" s="7"/>
    </row>
    <row r="15" customFormat="false" ht="23.85" hidden="false" customHeight="false" outlineLevel="0" collapsed="false">
      <c r="A15" s="7" t="s">
        <v>402</v>
      </c>
      <c r="B15" s="7" t="s">
        <v>402</v>
      </c>
      <c r="C15" s="12" t="n">
        <v>7307</v>
      </c>
      <c r="D15" s="7"/>
    </row>
    <row r="16" customFormat="false" ht="23.85" hidden="false" customHeight="false" outlineLevel="0" collapsed="false">
      <c r="A16" s="7" t="s">
        <v>403</v>
      </c>
      <c r="B16" s="7" t="s">
        <v>403</v>
      </c>
      <c r="C16" s="12" t="n">
        <v>0</v>
      </c>
      <c r="D16" s="7"/>
    </row>
    <row r="17" customFormat="false" ht="15" hidden="false" customHeight="false" outlineLevel="0" collapsed="false">
      <c r="A17" s="7" t="s">
        <v>404</v>
      </c>
      <c r="B17" s="7" t="s">
        <v>405</v>
      </c>
      <c r="C17" s="12" t="n">
        <v>0</v>
      </c>
      <c r="D17" s="7"/>
    </row>
    <row r="18" customFormat="false" ht="23.85" hidden="false" customHeight="false" outlineLevel="0" collapsed="false">
      <c r="A18" s="7" t="s">
        <v>406</v>
      </c>
      <c r="B18" s="7" t="s">
        <v>406</v>
      </c>
      <c r="C18" s="12" t="n">
        <v>9004</v>
      </c>
      <c r="D18" s="7"/>
    </row>
    <row r="19" customFormat="false" ht="23.85" hidden="false" customHeight="false" outlineLevel="0" collapsed="false">
      <c r="A19" s="7" t="s">
        <v>407</v>
      </c>
      <c r="B19" s="7" t="s">
        <v>407</v>
      </c>
      <c r="C19" s="12" t="n">
        <v>3681</v>
      </c>
      <c r="D19" s="7"/>
    </row>
    <row r="20" customFormat="false" ht="15" hidden="false" customHeight="false" outlineLevel="0" collapsed="false">
      <c r="A20" s="7" t="s">
        <v>408</v>
      </c>
      <c r="B20" s="7" t="s">
        <v>408</v>
      </c>
      <c r="C20" s="12" t="n">
        <v>3747</v>
      </c>
      <c r="D20" s="7"/>
    </row>
    <row r="21" customFormat="false" ht="15" hidden="false" customHeight="false" outlineLevel="0" collapsed="false">
      <c r="A21" s="7" t="s">
        <v>409</v>
      </c>
      <c r="B21" s="7" t="s">
        <v>409</v>
      </c>
      <c r="C21" s="12" t="n">
        <v>121962</v>
      </c>
      <c r="D21" s="7"/>
    </row>
    <row r="22" customFormat="false" ht="15" hidden="false" customHeight="false" outlineLevel="0" collapsed="false">
      <c r="A22" s="7" t="s">
        <v>410</v>
      </c>
      <c r="B22" s="7" t="s">
        <v>410</v>
      </c>
      <c r="C22" s="12" t="n">
        <v>4510</v>
      </c>
      <c r="D22" s="7"/>
    </row>
    <row r="23" customFormat="false" ht="23.85" hidden="false" customHeight="false" outlineLevel="0" collapsed="false">
      <c r="A23" s="7" t="s">
        <v>411</v>
      </c>
      <c r="B23" s="7" t="s">
        <v>411</v>
      </c>
      <c r="C23" s="12" t="n">
        <v>0</v>
      </c>
      <c r="D23" s="7"/>
    </row>
    <row r="24" customFormat="false" ht="23.85" hidden="false" customHeight="false" outlineLevel="0" collapsed="false">
      <c r="A24" s="7" t="s">
        <v>412</v>
      </c>
      <c r="B24" s="7" t="s">
        <v>412</v>
      </c>
      <c r="C24" s="12" t="n">
        <v>0</v>
      </c>
      <c r="D24" s="7"/>
    </row>
    <row r="25" customFormat="false" ht="15" hidden="false" customHeight="false" outlineLevel="0" collapsed="false">
      <c r="A25" s="7" t="s">
        <v>413</v>
      </c>
      <c r="B25" s="7" t="s">
        <v>413</v>
      </c>
      <c r="C25" s="12" t="n">
        <v>5733</v>
      </c>
      <c r="D25" s="7"/>
    </row>
    <row r="26" customFormat="false" ht="15" hidden="false" customHeight="false" outlineLevel="0" collapsed="false">
      <c r="A26" s="7" t="s">
        <v>414</v>
      </c>
      <c r="B26" s="7" t="s">
        <v>415</v>
      </c>
      <c r="C26" s="12" t="n">
        <v>0</v>
      </c>
      <c r="D26" s="7"/>
    </row>
    <row r="27" customFormat="false" ht="23.85" hidden="false" customHeight="false" outlineLevel="0" collapsed="false">
      <c r="A27" s="7" t="s">
        <v>416</v>
      </c>
      <c r="B27" s="7" t="s">
        <v>416</v>
      </c>
      <c r="C27" s="12" t="n">
        <v>0</v>
      </c>
      <c r="D27" s="7"/>
    </row>
    <row r="28" customFormat="false" ht="15" hidden="false" customHeight="false" outlineLevel="0" collapsed="false">
      <c r="A28" s="7" t="s">
        <v>417</v>
      </c>
      <c r="B28" s="7" t="s">
        <v>417</v>
      </c>
      <c r="C28" s="12" t="n">
        <v>0</v>
      </c>
      <c r="D28" s="7"/>
    </row>
    <row r="29" customFormat="false" ht="23.85" hidden="false" customHeight="false" outlineLevel="0" collapsed="false">
      <c r="A29" s="7" t="s">
        <v>418</v>
      </c>
      <c r="B29" s="7" t="s">
        <v>418</v>
      </c>
      <c r="C29" s="12" t="n">
        <v>0</v>
      </c>
      <c r="D29" s="7"/>
    </row>
    <row r="30" customFormat="false" ht="23.85" hidden="false" customHeight="false" outlineLevel="0" collapsed="false">
      <c r="A30" s="7" t="s">
        <v>419</v>
      </c>
      <c r="B30" s="7" t="s">
        <v>419</v>
      </c>
      <c r="C30" s="12" t="n">
        <v>0</v>
      </c>
      <c r="D30" s="7"/>
    </row>
    <row r="31" customFormat="false" ht="23.85" hidden="false" customHeight="false" outlineLevel="0" collapsed="false">
      <c r="A31" s="7" t="s">
        <v>420</v>
      </c>
      <c r="B31" s="7" t="s">
        <v>420</v>
      </c>
      <c r="C31" s="12" t="n">
        <v>0</v>
      </c>
      <c r="D31" s="7"/>
    </row>
    <row r="32" customFormat="false" ht="23.85" hidden="false" customHeight="false" outlineLevel="0" collapsed="false">
      <c r="A32" s="7" t="s">
        <v>421</v>
      </c>
      <c r="B32" s="7" t="s">
        <v>421</v>
      </c>
      <c r="C32" s="12" t="n">
        <v>0</v>
      </c>
      <c r="D32" s="7"/>
    </row>
    <row r="33" customFormat="false" ht="15" hidden="false" customHeight="false" outlineLevel="0" collapsed="false">
      <c r="A33" s="7" t="s">
        <v>422</v>
      </c>
      <c r="B33" s="7" t="s">
        <v>422</v>
      </c>
      <c r="C33" s="12" t="n">
        <v>0</v>
      </c>
      <c r="D33" s="7"/>
    </row>
    <row r="34" customFormat="false" ht="15" hidden="false" customHeight="false" outlineLevel="0" collapsed="false">
      <c r="A34" s="7" t="s">
        <v>423</v>
      </c>
      <c r="B34" s="7" t="s">
        <v>423</v>
      </c>
      <c r="C34" s="12" t="n">
        <v>3689</v>
      </c>
      <c r="D34" s="7"/>
    </row>
    <row r="35" customFormat="false" ht="23.85" hidden="false" customHeight="false" outlineLevel="0" collapsed="false">
      <c r="A35" s="7" t="s">
        <v>424</v>
      </c>
      <c r="B35" s="7" t="s">
        <v>424</v>
      </c>
      <c r="C35" s="12" t="n">
        <v>0</v>
      </c>
      <c r="D35" s="7"/>
    </row>
    <row r="36" customFormat="false" ht="15" hidden="false" customHeight="false" outlineLevel="0" collapsed="false">
      <c r="A36" s="7" t="s">
        <v>425</v>
      </c>
      <c r="B36" s="7" t="s">
        <v>425</v>
      </c>
      <c r="C36" s="12" t="n">
        <v>0</v>
      </c>
      <c r="D36" s="7"/>
    </row>
    <row r="37" customFormat="false" ht="15" hidden="false" customHeight="false" outlineLevel="0" collapsed="false">
      <c r="A37" s="7" t="s">
        <v>426</v>
      </c>
      <c r="B37" s="7" t="s">
        <v>427</v>
      </c>
      <c r="C37" s="12" t="n">
        <v>0</v>
      </c>
      <c r="D37" s="7"/>
    </row>
    <row r="38" customFormat="false" ht="15" hidden="false" customHeight="false" outlineLevel="0" collapsed="false">
      <c r="A38" s="7" t="s">
        <v>428</v>
      </c>
      <c r="B38" s="7" t="s">
        <v>428</v>
      </c>
      <c r="C38" s="12" t="n">
        <v>18689</v>
      </c>
      <c r="D38" s="7"/>
    </row>
    <row r="39" customFormat="false" ht="15" hidden="false" customHeight="false" outlineLevel="0" collapsed="false">
      <c r="A39" s="7" t="s">
        <v>429</v>
      </c>
      <c r="B39" s="7" t="s">
        <v>429</v>
      </c>
      <c r="C39" s="12" t="n">
        <v>21902</v>
      </c>
      <c r="D39" s="7"/>
    </row>
    <row r="40" customFormat="false" ht="15" hidden="false" customHeight="false" outlineLevel="0" collapsed="false">
      <c r="A40" s="7" t="s">
        <v>430</v>
      </c>
      <c r="B40" s="7" t="s">
        <v>430</v>
      </c>
      <c r="C40" s="12" t="n">
        <v>102625</v>
      </c>
      <c r="D40" s="7"/>
    </row>
    <row r="41" customFormat="false" ht="15" hidden="false" customHeight="false" outlineLevel="0" collapsed="false">
      <c r="A41" s="7" t="s">
        <v>431</v>
      </c>
      <c r="B41" s="7" t="s">
        <v>431</v>
      </c>
      <c r="C41" s="12" t="n">
        <v>7922</v>
      </c>
      <c r="D41" s="7"/>
    </row>
    <row r="42" customFormat="false" ht="23.85" hidden="false" customHeight="false" outlineLevel="0" collapsed="false">
      <c r="A42" s="7" t="s">
        <v>432</v>
      </c>
      <c r="B42" s="7" t="s">
        <v>432</v>
      </c>
      <c r="C42" s="12" t="n">
        <v>30000</v>
      </c>
      <c r="D42" s="7"/>
    </row>
    <row r="43" customFormat="false" ht="15" hidden="false" customHeight="false" outlineLevel="0" collapsed="false">
      <c r="A43" s="7" t="s">
        <v>433</v>
      </c>
      <c r="B43" s="7" t="s">
        <v>434</v>
      </c>
      <c r="C43" s="12" t="n">
        <v>0</v>
      </c>
      <c r="D43" s="7"/>
    </row>
    <row r="44" customFormat="false" ht="15" hidden="false" customHeight="false" outlineLevel="0" collapsed="false">
      <c r="A44" s="7" t="s">
        <v>435</v>
      </c>
      <c r="B44" s="7" t="s">
        <v>435</v>
      </c>
      <c r="C44" s="12" t="n">
        <v>0</v>
      </c>
      <c r="D44" s="7"/>
    </row>
    <row r="45" customFormat="false" ht="23.85" hidden="false" customHeight="false" outlineLevel="0" collapsed="false">
      <c r="A45" s="7" t="s">
        <v>436</v>
      </c>
      <c r="B45" s="7" t="s">
        <v>436</v>
      </c>
      <c r="C45" s="12" t="n">
        <v>22072</v>
      </c>
      <c r="D45" s="7"/>
    </row>
    <row r="46" customFormat="false" ht="15" hidden="false" customHeight="false" outlineLevel="0" collapsed="false">
      <c r="A46" s="7" t="s">
        <v>437</v>
      </c>
      <c r="B46" s="7" t="s">
        <v>437</v>
      </c>
      <c r="C46" s="12" t="n">
        <v>0</v>
      </c>
      <c r="D46" s="7"/>
    </row>
  </sheetData>
  <autoFilter ref="A3:D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438</v>
      </c>
    </row>
    <row r="3" customFormat="false" ht="26.85" hidden="false" customHeight="false" outlineLevel="0" collapsed="false">
      <c r="A3" s="6" t="s">
        <v>439</v>
      </c>
      <c r="B3" s="6" t="s">
        <v>440</v>
      </c>
      <c r="C3" s="6" t="s">
        <v>441</v>
      </c>
      <c r="D3" s="6" t="s">
        <v>442</v>
      </c>
      <c r="E3" s="6" t="s">
        <v>443</v>
      </c>
      <c r="F3" s="6" t="s">
        <v>444</v>
      </c>
    </row>
    <row r="4" customFormat="false" ht="15" hidden="false" customHeight="false" outlineLevel="0" collapsed="false">
      <c r="A4" s="7" t="s">
        <v>445</v>
      </c>
      <c r="B4" s="12" t="n">
        <v>9172</v>
      </c>
      <c r="C4" s="12" t="n">
        <v>9259</v>
      </c>
      <c r="D4" s="12" t="n">
        <v>8915</v>
      </c>
      <c r="E4" s="12" t="n">
        <v>9200</v>
      </c>
      <c r="F4" s="12" t="n">
        <v>9069</v>
      </c>
    </row>
    <row r="5" customFormat="false" ht="15" hidden="false" customHeight="false" outlineLevel="0" collapsed="false">
      <c r="A5" s="7" t="s">
        <v>446</v>
      </c>
      <c r="B5" s="12" t="n">
        <v>19436</v>
      </c>
      <c r="C5" s="12" t="n">
        <v>18451</v>
      </c>
      <c r="D5" s="12" t="n">
        <v>18704</v>
      </c>
      <c r="E5" s="12" t="n">
        <v>18611</v>
      </c>
      <c r="F5" s="12" t="n">
        <v>18262</v>
      </c>
    </row>
    <row r="6" customFormat="false" ht="15" hidden="false" customHeight="false" outlineLevel="0" collapsed="false">
      <c r="A6" s="7" t="s">
        <v>447</v>
      </c>
      <c r="B6" s="12" t="n">
        <v>105724</v>
      </c>
      <c r="C6" s="12" t="n">
        <v>106776</v>
      </c>
      <c r="D6" s="12" t="n">
        <v>107134</v>
      </c>
      <c r="E6" s="12" t="n">
        <v>106963</v>
      </c>
      <c r="F6" s="12" t="n">
        <v>107474</v>
      </c>
    </row>
    <row r="7" customFormat="false" ht="15" hidden="false" customHeight="false" outlineLevel="0" collapsed="false">
      <c r="A7" s="7" t="s">
        <v>448</v>
      </c>
      <c r="B7" s="12" t="n">
        <v>1389</v>
      </c>
      <c r="C7" s="12" t="n">
        <v>1919</v>
      </c>
      <c r="D7" s="12" t="n">
        <v>1832</v>
      </c>
      <c r="E7" s="12" t="n">
        <v>1817</v>
      </c>
      <c r="F7" s="12" t="n">
        <v>1974</v>
      </c>
    </row>
    <row r="8" customFormat="false" ht="15" hidden="false" customHeight="false" outlineLevel="0" collapsed="false">
      <c r="A8" s="7" t="s">
        <v>449</v>
      </c>
      <c r="B8" s="12" t="n">
        <v>9128</v>
      </c>
      <c r="C8" s="12" t="n">
        <v>9317</v>
      </c>
      <c r="D8" s="12" t="n">
        <v>9123</v>
      </c>
      <c r="E8" s="12" t="n">
        <v>9260</v>
      </c>
      <c r="F8" s="12" t="n">
        <v>9058</v>
      </c>
    </row>
    <row r="9" customFormat="false" ht="15" hidden="false" customHeight="false" outlineLevel="0" collapsed="false">
      <c r="A9" s="7" t="s">
        <v>450</v>
      </c>
      <c r="B9" s="12" t="n">
        <v>7238</v>
      </c>
      <c r="C9" s="12" t="n">
        <v>6936</v>
      </c>
      <c r="D9" s="12" t="n">
        <v>6948</v>
      </c>
      <c r="E9" s="12" t="n">
        <v>6801</v>
      </c>
      <c r="F9" s="12" t="n">
        <v>6826</v>
      </c>
    </row>
    <row r="10" customFormat="false" ht="15" hidden="false" customHeight="false" outlineLevel="0" collapsed="false">
      <c r="A10" s="7" t="s">
        <v>451</v>
      </c>
      <c r="B10" s="12" t="n">
        <v>595</v>
      </c>
      <c r="C10" s="12" t="n">
        <v>24</v>
      </c>
      <c r="D10" s="12" t="n">
        <v>26</v>
      </c>
      <c r="E10" s="12" t="n">
        <v>30</v>
      </c>
      <c r="F10" s="12" t="n">
        <v>19</v>
      </c>
    </row>
  </sheetData>
  <autoFilter ref="A3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2026-10-30T11:58:35Z</dcterms:created>
  <dc:creator>openpyxl</dc:creator>
  <dc:description/>
  <dc:language>en-US</dc:language>
  <cp:lastModifiedBy/>
  <dcterms:modified xsi:type="dcterms:W3CDTF">2026-10-30T11:58:35Z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