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hecks" sheetId="2" state="visible" r:id="rId4"/>
    <sheet name="Reference_headline" sheetId="3" state="visible" r:id="rId5"/>
    <sheet name="Reference_GP" sheetId="4" state="visible" r:id="rId6"/>
    <sheet name="Reference_CostCentre" sheetId="5" state="visible" r:id="rId7"/>
    <sheet name="Reference_Status" sheetId="6" state="visible" r:id="rId8"/>
  </sheets>
  <definedNames>
    <definedName function="false" hidden="true" localSheetId="1" name="_xlnm._FilterDatabase" vbProcedure="false">Checks!$A$3:$M$634</definedName>
    <definedName function="false" hidden="true" localSheetId="4" name="_xlnm._FilterDatabase" vbProcedure="false">Reference_CostCentre!$A$3:$D$11</definedName>
    <definedName function="false" hidden="true" localSheetId="3" name="_xlnm._FilterDatabase" vbProcedure="false">Reference_GP!$A$3:$H$27</definedName>
    <definedName function="false" hidden="true" localSheetId="2" name="_xlnm._FilterDatabase" vbProcedure="false">Reference_headline!$A$3:$B$7</definedName>
    <definedName function="false" hidden="true" localSheetId="5" name="_xlnm._FilterDatabase" vbProcedure="false">Reference_Status!$A$3:$C$8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<sst xmlns="http://schemas.openxmlformats.org/spreadsheetml/2006/main" count="3566" uniqueCount="1572">
  <si>
    <t xml:space="preserve">Financial reconciliation - independent pandas reference vs SQL, Excel and dashboard</t>
  </si>
  <si>
    <t xml:space="preserve">Counts are live formulas over the 'Checks' sheet (COUNTIF on the status column). INFO rows are observations, not tests.</t>
  </si>
  <si>
    <t xml:space="preserve">Status</t>
  </si>
  <si>
    <t xml:space="preserve">Checks</t>
  </si>
  <si>
    <t xml:space="preserve">PASS</t>
  </si>
  <si>
    <t xml:space="preserve">FAIL</t>
  </si>
  <si>
    <t xml:space="preserve">BLOCKED</t>
  </si>
  <si>
    <t xml:space="preserve">NOT TESTED</t>
  </si>
  <si>
    <t xml:space="preserve">INFO</t>
  </si>
  <si>
    <t xml:space="preserve">Total</t>
  </si>
  <si>
    <t xml:space="preserve">All financial comparisons (same population, same documented definition on both sides)</t>
  </si>
  <si>
    <t xml:space="preserve">Tolerance: money 0.01 USD (one cent); ratios 1e-9; counts exact; dashboard display values at display precision. Table comparisons count the rows outside tolerance (expected 0).</t>
  </si>
  <si>
    <t xml:space="preserve">id</t>
  </si>
  <si>
    <t xml:space="preserve">area</t>
  </si>
  <si>
    <t xml:space="preserve">check</t>
  </si>
  <si>
    <t xml:space="preserve">population</t>
  </si>
  <si>
    <t xml:space="preserve">definition</t>
  </si>
  <si>
    <t xml:space="preserve">expected</t>
  </si>
  <si>
    <t xml:space="preserve">actual</t>
  </si>
  <si>
    <t xml:space="preserve">abs_diff</t>
  </si>
  <si>
    <t xml:space="preserve">rel_diff</t>
  </si>
  <si>
    <t xml:space="preserve">tolerance</t>
  </si>
  <si>
    <t xml:space="preserve">status</t>
  </si>
  <si>
    <t xml:space="preserve">explanation / evidence note</t>
  </si>
  <si>
    <t xml:space="preserve">evidence</t>
  </si>
  <si>
    <t xml:space="preserve">Recheck |diff| (formula)</t>
  </si>
  <si>
    <t xml:space="preserve">Recheck status (formula)</t>
  </si>
  <si>
    <t xml:space="preserve">F_A1.keys</t>
  </si>
  <si>
    <t xml:space="preserve">Independent financial recomputation vs SQL</t>
  </si>
  <si>
    <t xml:space="preserve">P&amp;L by period x section (a1): same key set (rows only in one side)</t>
  </si>
  <si>
    <t xml:space="preserve">Posted eligible P&amp;L (58,340)</t>
  </si>
  <si>
    <t xml:space="preserve">outer join on period_ym,section</t>
  </si>
  <si>
    <t xml:space="preserve">F_A1.rows_eligible</t>
  </si>
  <si>
    <t xml:space="preserve">P&amp;L by period x section (a1): rows_eligible (all 252 rows)</t>
  </si>
  <si>
    <t xml:space="preserve">sum of scale-adjusted actual; abs = sum |line|</t>
  </si>
  <si>
    <t xml:space="preserve">max |SQL - reference| = 0; null-pattern mismatches 0</t>
  </si>
  <si>
    <t xml:space="preserve">F_A1.actual_usd</t>
  </si>
  <si>
    <t xml:space="preserve">P&amp;L by period x section (a1): actual_usd (all 252 rows)</t>
  </si>
  <si>
    <t xml:space="preserve">max |SQL - reference| = 9.31e-09; null-pattern mismatches 0</t>
  </si>
  <si>
    <t xml:space="preserve">F_A1.abs_actual_usd</t>
  </si>
  <si>
    <t xml:space="preserve">P&amp;L by period x section (a1): abs_actual_usd (all 252 rows)</t>
  </si>
  <si>
    <t xml:space="preserve">max |SQL - reference| = 1.68e-08; null-pattern mismatches 0</t>
  </si>
  <si>
    <t xml:space="preserve">F_A1.actual_usd_as_reported_parsed</t>
  </si>
  <si>
    <t xml:space="preserve">P&amp;L by period x section (a1): actual_usd_as_reported_parsed (all 252 rows)</t>
  </si>
  <si>
    <t xml:space="preserve">max |SQL - reference| = 8.38e-09; null-pattern mismatches 0</t>
  </si>
  <si>
    <t xml:space="preserve">F_A2.keys</t>
  </si>
  <si>
    <t xml:space="preserve">P&amp;L by entity x section (a2): same key set (rows only in one side)</t>
  </si>
  <si>
    <t xml:space="preserve">Posted eligible</t>
  </si>
  <si>
    <t xml:space="preserve">outer join on entity_code,section</t>
  </si>
  <si>
    <t xml:space="preserve">F_A2.rows_eligible</t>
  </si>
  <si>
    <t xml:space="preserve">P&amp;L by entity x section (a2): rows_eligible (all 42 rows)</t>
  </si>
  <si>
    <t xml:space="preserve">F_A2.actual_usd</t>
  </si>
  <si>
    <t xml:space="preserve">P&amp;L by entity x section (a2): actual_usd (all 42 rows)</t>
  </si>
  <si>
    <t xml:space="preserve">max |SQL - reference| = 1.27e-07; null-pattern mismatches 0</t>
  </si>
  <si>
    <t xml:space="preserve">F_A2.abs_actual_usd</t>
  </si>
  <si>
    <t xml:space="preserve">P&amp;L by entity x section (a2): abs_actual_usd (all 42 rows)</t>
  </si>
  <si>
    <t xml:space="preserve">max |SQL - reference| = 9.69e-08; null-pattern mismatches 0</t>
  </si>
  <si>
    <t xml:space="preserve">F_A2.share_of_section_abs</t>
  </si>
  <si>
    <t xml:space="preserve">P&amp;L by entity x section (a2): share_of_section_abs (all 42 rows)</t>
  </si>
  <si>
    <t xml:space="preserve">max |SQL - reference| = 3.89e-16; null-pattern mismatches 0</t>
  </si>
  <si>
    <t xml:space="preserve">F_A3.keys</t>
  </si>
  <si>
    <t xml:space="preserve">P&amp;L by division x section (a3): same key set (rows only in one side)</t>
  </si>
  <si>
    <t xml:space="preserve">outer join on division,section</t>
  </si>
  <si>
    <t xml:space="preserve">F_A3.rows_eligible</t>
  </si>
  <si>
    <t xml:space="preserve">P&amp;L by division x section (a3): rows_eligible (all 35 rows)</t>
  </si>
  <si>
    <t xml:space="preserve">F_A3.actual_usd</t>
  </si>
  <si>
    <t xml:space="preserve">P&amp;L by division x section (a3): actual_usd (all 35 rows)</t>
  </si>
  <si>
    <t xml:space="preserve">max |SQL - reference| = 2.24e-07; null-pattern mismatches 0</t>
  </si>
  <si>
    <t xml:space="preserve">F_A3.abs_actual_usd</t>
  </si>
  <si>
    <t xml:space="preserve">P&amp;L by division x section (a3): abs_actual_usd (all 35 rows)</t>
  </si>
  <si>
    <t xml:space="preserve">max |SQL - reference| = 2.01e-07; null-pattern mismatches 0</t>
  </si>
  <si>
    <t xml:space="preserve">F_A3.share_of_section_abs</t>
  </si>
  <si>
    <t xml:space="preserve">P&amp;L by division x section (a3): share_of_section_abs (all 35 rows)</t>
  </si>
  <si>
    <t xml:space="preserve">max |SQL - reference| = 8.33e-16; null-pattern mismatches 0</t>
  </si>
  <si>
    <t xml:space="preserve">F_A4.keys</t>
  </si>
  <si>
    <t xml:space="preserve">P&amp;L by GL account (a4): same key set (rows only in one side)</t>
  </si>
  <si>
    <t xml:space="preserve">outer join on gl_account</t>
  </si>
  <si>
    <t xml:space="preserve">F_A4.rows_eligible</t>
  </si>
  <si>
    <t xml:space="preserve">P&amp;L by GL account (a4): rows_eligible (all 24 rows)</t>
  </si>
  <si>
    <t xml:space="preserve">F_A4.actual_usd</t>
  </si>
  <si>
    <t xml:space="preserve">P&amp;L by GL account (a4): actual_usd (all 24 rows)</t>
  </si>
  <si>
    <t xml:space="preserve">max |SQL - reference| = 1.07e-06; null-pattern mismatches 0</t>
  </si>
  <si>
    <t xml:space="preserve">F_A4.abs_actual_usd</t>
  </si>
  <si>
    <t xml:space="preserve">P&amp;L by GL account (a4): abs_actual_usd (all 24 rows)</t>
  </si>
  <si>
    <t xml:space="preserve">max |SQL - reference| = 5.96e-07; null-pattern mismatches 0</t>
  </si>
  <si>
    <t xml:space="preserve">F_A4.share_of_total_abs</t>
  </si>
  <si>
    <t xml:space="preserve">P&amp;L by GL account (a4): share_of_total_abs (all 24 rows)</t>
  </si>
  <si>
    <t xml:space="preserve">max |SQL - reference| = 9.99e-16; null-pattern mismatches 0</t>
  </si>
  <si>
    <t xml:space="preserve">F_A4.share_rows_negative</t>
  </si>
  <si>
    <t xml:space="preserve">P&amp;L by GL account (a4): share_rows_negative (all 24 rows)</t>
  </si>
  <si>
    <t xml:space="preserve">max |SQL - reference| = 9.71e-17; null-pattern mismatches 0</t>
  </si>
  <si>
    <t xml:space="preserve">F_B0</t>
  </si>
  <si>
    <t xml:space="preserve">Variance population rows (Posted eligible with budget)</t>
  </si>
  <si>
    <t xml:space="preserve">F_B1.keys</t>
  </si>
  <si>
    <t xml:space="preserve">Budget variance by section, 4 sign scenarios (b1): same key set (rows only in one side)</t>
  </si>
  <si>
    <t xml:space="preserve">Posted eligible with budget (55,043)</t>
  </si>
  <si>
    <t xml:space="preserve">outer join on scenario,section</t>
  </si>
  <si>
    <t xml:space="preserve">F_B1.rows_in_scope</t>
  </si>
  <si>
    <t xml:space="preserve">Budget variance by section, 4 sign scenarios (b1): rows_in_scope (all 26 rows)</t>
  </si>
  <si>
    <t xml:space="preserve">variance = actual - budget; pct guarded: |net budget| &gt;= 50% of sum |cell budget|</t>
  </si>
  <si>
    <t xml:space="preserve">F_B1.actual_usd</t>
  </si>
  <si>
    <t xml:space="preserve">Budget variance by section, 4 sign scenarios (b1): actual_usd (all 26 rows)</t>
  </si>
  <si>
    <t xml:space="preserve">max |SQL - reference| = 3.87e-07; null-pattern mismatches 0</t>
  </si>
  <si>
    <t xml:space="preserve">F_B1.budget_usd</t>
  </si>
  <si>
    <t xml:space="preserve">Budget variance by section, 4 sign scenarios (b1): budget_usd (all 26 rows)</t>
  </si>
  <si>
    <t xml:space="preserve">max |SQL - reference| = 2.09e-07; null-pattern mismatches 0</t>
  </si>
  <si>
    <t xml:space="preserve">F_B1.net_variance_usd</t>
  </si>
  <si>
    <t xml:space="preserve">Budget variance by section, 4 sign scenarios (b1): net_variance_usd (all 26 rows)</t>
  </si>
  <si>
    <t xml:space="preserve">max |SQL - reference| = 8.85e-09; null-pattern mismatches 0</t>
  </si>
  <si>
    <t xml:space="preserve">F_B1.gross_cell_variance_usd</t>
  </si>
  <si>
    <t xml:space="preserve">Budget variance by section, 4 sign scenarios (b1): gross_cell_variance_usd (all 26 rows)</t>
  </si>
  <si>
    <t xml:space="preserve">max |SQL - reference| = 2.98e-08; null-pattern mismatches 0</t>
  </si>
  <si>
    <t xml:space="preserve">F_B1.variance_pct_of_abs_budget</t>
  </si>
  <si>
    <t xml:space="preserve">Budget variance by section, 4 sign scenarios (b1): variance_pct_of_abs_budget (all 26 rows)</t>
  </si>
  <si>
    <t xml:space="preserve">max |SQL - reference| = 3.05e-16; null-pattern mismatches 0</t>
  </si>
  <si>
    <t xml:space="preserve">F_B1.budget_netting_ratio</t>
  </si>
  <si>
    <t xml:space="preserve">Budget variance by section, 4 sign scenarios (b1): budget_netting_ratio (all 26 rows)</t>
  </si>
  <si>
    <t xml:space="preserve">max |SQL - reference| = 1.89e-15; null-pattern mismatches 0</t>
  </si>
  <si>
    <t xml:space="preserve">F_B1.gross_variance_pct_of_abs_cell_budget</t>
  </si>
  <si>
    <t xml:space="preserve">Budget variance by section, 4 sign scenarios (b1): gross_variance_pct_of_abs_cell_budget (all 26 rows)</t>
  </si>
  <si>
    <t xml:space="preserve">max |SQL - reference| = 2.22e-15; null-pattern mismatches 0</t>
  </si>
  <si>
    <t xml:space="preserve">F_B3.keys</t>
  </si>
  <si>
    <t xml:space="preserve">Budget variance by division x section (b3, amounts): same key set (rows only in one side)</t>
  </si>
  <si>
    <t xml:space="preserve">Posted eligible with budget</t>
  </si>
  <si>
    <t xml:space="preserve">outer join on scenario,division,section</t>
  </si>
  <si>
    <t xml:space="preserve">F_B3.rows_in_scope</t>
  </si>
  <si>
    <t xml:space="preserve">Budget variance by division x section (b3, amounts): rows_in_scope (all 70 rows)</t>
  </si>
  <si>
    <t xml:space="preserve">F_B3.actual_usd</t>
  </si>
  <si>
    <t xml:space="preserve">Budget variance by division x section (b3, amounts): actual_usd (all 70 rows)</t>
  </si>
  <si>
    <t xml:space="preserve">max |SQL - reference| = 1.94e-07; null-pattern mismatches 0</t>
  </si>
  <si>
    <t xml:space="preserve">F_B3.budget_usd</t>
  </si>
  <si>
    <t xml:space="preserve">Budget variance by division x section (b3, amounts): budget_usd (all 70 rows)</t>
  </si>
  <si>
    <t xml:space="preserve">F_B3.variance_usd</t>
  </si>
  <si>
    <t xml:space="preserve">Budget variance by division x section (b3, amounts): variance_usd (all 70 rows)</t>
  </si>
  <si>
    <t xml:space="preserve">max |SQL - reference| = 5.59e-09; null-pattern mismatches 0</t>
  </si>
  <si>
    <t xml:space="preserve">F_C1.keys</t>
  </si>
  <si>
    <t xml:space="preserve">Forecast error by section (c1): same key set (rows only in one side)</t>
  </si>
  <si>
    <t xml:space="preserve">Posted eligible with forecast (54,851)</t>
  </si>
  <si>
    <t xml:space="preserve">F_C1.rows_in_scope</t>
  </si>
  <si>
    <t xml:space="preserve">Forecast error by section (c1): rows_in_scope (all 26 rows)</t>
  </si>
  <si>
    <t xml:space="preserve">error = forecast - actual (line); WAPE = sum|error| / sum|actual|; bias = sum error / sum|actual|</t>
  </si>
  <si>
    <t xml:space="preserve">F_C1.actual_usd</t>
  </si>
  <si>
    <t xml:space="preserve">Forecast error by section (c1): actual_usd (all 26 rows)</t>
  </si>
  <si>
    <t xml:space="preserve">max |SQL - reference| = 1.04e-06; null-pattern mismatches 0</t>
  </si>
  <si>
    <t xml:space="preserve">F_C1.forecast_usd</t>
  </si>
  <si>
    <t xml:space="preserve">Forecast error by section (c1): forecast_usd (all 26 rows)</t>
  </si>
  <si>
    <t xml:space="preserve">max |SQL - reference| = 1.01e-06; null-pattern mismatches 0</t>
  </si>
  <si>
    <t xml:space="preserve">F_C1.net_error_usd</t>
  </si>
  <si>
    <t xml:space="preserve">Forecast error by section (c1): net_error_usd (all 26 rows)</t>
  </si>
  <si>
    <t xml:space="preserve">max |SQL - reference| = 2.19e-08; null-pattern mismatches 0</t>
  </si>
  <si>
    <t xml:space="preserve">F_C1.abs_error_usd</t>
  </si>
  <si>
    <t xml:space="preserve">Forecast error by section (c1): abs_error_usd (all 26 rows)</t>
  </si>
  <si>
    <t xml:space="preserve">F_C1.abs_actual_usd</t>
  </si>
  <si>
    <t xml:space="preserve">Forecast error by section (c1): abs_actual_usd (all 26 rows)</t>
  </si>
  <si>
    <t xml:space="preserve">max |SQL - reference| = 1.7e-06; null-pattern mismatches 0</t>
  </si>
  <si>
    <t xml:space="preserve">F_C1.bias</t>
  </si>
  <si>
    <t xml:space="preserve">Forecast error by section (c1): bias (all 26 rows)</t>
  </si>
  <si>
    <t xml:space="preserve">max |SQL - reference| = 1.67e-16; null-pattern mismatches 0</t>
  </si>
  <si>
    <t xml:space="preserve">F_C1.wape</t>
  </si>
  <si>
    <t xml:space="preserve">Forecast error by section (c1): wape (all 26 rows)</t>
  </si>
  <si>
    <t xml:space="preserve">max |SQL - reference| = 3.77e-15; null-pattern mismatches 0</t>
  </si>
  <si>
    <t xml:space="preserve">F_D1.keys</t>
  </si>
  <si>
    <t xml:space="preserve">Actual vs prior-year column by year x section (d1): same key set (rows only in one side)</t>
  </si>
  <si>
    <t xml:space="preserve">Posted eligible with PY (54,923)</t>
  </si>
  <si>
    <t xml:space="preserve">outer join on scenario,period_year,section</t>
  </si>
  <si>
    <t xml:space="preserve">F_D1.rows_in_scope</t>
  </si>
  <si>
    <t xml:space="preserve">Actual vs prior-year column by year x section (d1): rows_in_scope (all 42 rows)</t>
  </si>
  <si>
    <t xml:space="preserve">change = actual - prior_year column (the file's PY column, not a true YoY)</t>
  </si>
  <si>
    <t xml:space="preserve">F_D1.actual_usd</t>
  </si>
  <si>
    <t xml:space="preserve">Actual vs prior-year column by year x section (d1): actual_usd (all 42 rows)</t>
  </si>
  <si>
    <t xml:space="preserve">max |SQL - reference| = 3.2e-07; null-pattern mismatches 0</t>
  </si>
  <si>
    <t xml:space="preserve">F_D1.prior_year_usd</t>
  </si>
  <si>
    <t xml:space="preserve">Actual vs prior-year column by year x section (d1): prior_year_usd (all 42 rows)</t>
  </si>
  <si>
    <t xml:space="preserve">max |SQL - reference| = 3.8e-07; null-pattern mismatches 0</t>
  </si>
  <si>
    <t xml:space="preserve">F_D1.change_usd</t>
  </si>
  <si>
    <t xml:space="preserve">Actual vs prior-year column by year x section (d1): change_usd (all 42 rows)</t>
  </si>
  <si>
    <t xml:space="preserve">max |SQL - reference| = 2.61e-08; null-pattern mismatches 0</t>
  </si>
  <si>
    <t xml:space="preserve">F_D1.change_pct_of_abs_py</t>
  </si>
  <si>
    <t xml:space="preserve">Actual vs prior-year column by year x section (d1): change_pct_of_abs_py (all 42 rows)</t>
  </si>
  <si>
    <t xml:space="preserve">max |SQL - reference| = 9.58e-16; null-pattern mismatches 0</t>
  </si>
  <si>
    <t xml:space="preserve">F_E1.keys</t>
  </si>
  <si>
    <t xml:space="preserve">Gross profit S1/S2/S3 x rowset x year (e1): same key set (rows only in one side)</t>
  </si>
  <si>
    <t xml:space="preserve">Posted eligible REVENUE + COGS</t>
  </si>
  <si>
    <t xml:space="preserve">outer join on rowset,treatment,period</t>
  </si>
  <si>
    <t xml:space="preserve">F_E1.rows_in_scope</t>
  </si>
  <si>
    <t xml:space="preserve">Gross profit S1/S2/S3 x rowset x year (e1): rows_in_scope (all 24 rows)</t>
  </si>
  <si>
    <t xml:space="preserve">S1 signed as recorded; S2 GL 4190 discount forced negative (-|x|); S3 GL 4190 excluded (0)</t>
  </si>
  <si>
    <t xml:space="preserve">F_E1.revenue_usd</t>
  </si>
  <si>
    <t xml:space="preserve">Gross profit S1/S2/S3 x rowset x year (e1): revenue_usd (all 24 rows)</t>
  </si>
  <si>
    <t xml:space="preserve">max |SQL - reference| = 4.17e-07; null-pattern mismatches 0</t>
  </si>
  <si>
    <t xml:space="preserve">F_E1.cogs_usd</t>
  </si>
  <si>
    <t xml:space="preserve">Gross profit S1/S2/S3 x rowset x year (e1): cogs_usd (all 24 rows)</t>
  </si>
  <si>
    <t xml:space="preserve">max |SQL - reference| = 1.79e-07; null-pattern mismatches 0</t>
  </si>
  <si>
    <t xml:space="preserve">F_E1.gross_profit_usd</t>
  </si>
  <si>
    <t xml:space="preserve">Gross profit S1/S2/S3 x rowset x year (e1): gross_profit_usd (all 24 rows)</t>
  </si>
  <si>
    <t xml:space="preserve">max |SQL - reference| = 5.66e-07; null-pattern mismatches 0</t>
  </si>
  <si>
    <t xml:space="preserve">F_E1.gross_margin_pct</t>
  </si>
  <si>
    <t xml:space="preserve">Gross profit S1/S2/S3 x rowset x year (e1): gross_margin_pct (all 24 rows)</t>
  </si>
  <si>
    <t xml:space="preserve">max |SQL - reference| = 2.66e-15; null-pattern mismatches 0</t>
  </si>
  <si>
    <t xml:space="preserve">F_E2</t>
  </si>
  <si>
    <t xml:space="preserve">S1, S2, S3 gross profit are distinct values (not silently merged)</t>
  </si>
  <si>
    <t xml:space="preserve">{"GP_S1_SIGNED_AS_RECORDED": 109840984.25, "GP_S2_DISCOUNT_ABS": 96992614.53, "GP_S3_EXCL_DISCOUNT": 112374467.17}</t>
  </si>
  <si>
    <t xml:space="preserve">F_E3</t>
  </si>
  <si>
    <t xml:space="preserve">Discount GL 4190 sign profile (why S1/S2/S3 differ)</t>
  </si>
  <si>
    <t xml:space="preserve">positive 4568, negative 6239, zero 13</t>
  </si>
  <si>
    <t xml:space="preserve">F_F1.keys</t>
  </si>
  <si>
    <t xml:space="preserve">Cost by GL with Pareto share and rank (f1): same key set (rows only in one side)</t>
  </si>
  <si>
    <t xml:space="preserve">Posted eligible COGS+PEOPLE+OPEX+D&amp;A</t>
  </si>
  <si>
    <t xml:space="preserve">outer join on gl_account,section</t>
  </si>
  <si>
    <t xml:space="preserve">F_F1.rows_eligible</t>
  </si>
  <si>
    <t xml:space="preserve">Cost by GL with Pareto share and rank (f1): rows_eligible (all 17 rows)</t>
  </si>
  <si>
    <t xml:space="preserve">abs-activity basis</t>
  </si>
  <si>
    <t xml:space="preserve">F_F1.actual_signed_usd</t>
  </si>
  <si>
    <t xml:space="preserve">Cost by GL with Pareto share and rank (f1): actual_signed_usd (all 17 rows)</t>
  </si>
  <si>
    <t xml:space="preserve">max |SQL - reference| = 1.64e-07; null-pattern mismatches 0</t>
  </si>
  <si>
    <t xml:space="preserve">F_F1.actual_abs_usd</t>
  </si>
  <si>
    <t xml:space="preserve">Cost by GL with Pareto share and rank (f1): actual_abs_usd (all 17 rows)</t>
  </si>
  <si>
    <t xml:space="preserve">max |SQL - reference| = 2.53e-07; null-pattern mismatches 0</t>
  </si>
  <si>
    <t xml:space="preserve">F_F1.share_of_cost_abs</t>
  </si>
  <si>
    <t xml:space="preserve">Cost by GL with Pareto share and rank (f1): share_of_cost_abs (all 17 rows)</t>
  </si>
  <si>
    <t xml:space="preserve">max |SQL - reference| = 6.66e-16; null-pattern mismatches 0</t>
  </si>
  <si>
    <t xml:space="preserve">F_F1.cumulative_share</t>
  </si>
  <si>
    <t xml:space="preserve">Cost by GL with Pareto share and rank (f1): cumulative_share (all 17 rows)</t>
  </si>
  <si>
    <t xml:space="preserve">F_F1.rank_by_abs</t>
  </si>
  <si>
    <t xml:space="preserve">Cost by GL with Pareto share and rank (f1): rank_by_abs (all 17 rows)</t>
  </si>
  <si>
    <t xml:space="preserve">F_F2.keys</t>
  </si>
  <si>
    <t xml:space="preserve">Cost concentration: top1/top3 share, HHI (f2): same key set (rows only in one side)</t>
  </si>
  <si>
    <t xml:space="preserve">Posted eligible cost sections</t>
  </si>
  <si>
    <t xml:space="preserve">outer join on dimension</t>
  </si>
  <si>
    <t xml:space="preserve">F_F2.members</t>
  </si>
  <si>
    <t xml:space="preserve">Cost concentration: top1/top3 share, HHI (f2): members (all 4 rows)</t>
  </si>
  <si>
    <t xml:space="preserve">HHI = sum(share^2)</t>
  </si>
  <si>
    <t xml:space="preserve">F_F2.top1_share</t>
  </si>
  <si>
    <t xml:space="preserve">Cost concentration: top1/top3 share, HHI (f2): top1_share (all 4 rows)</t>
  </si>
  <si>
    <t xml:space="preserve">max |SQL - reference| = 7.77e-16; null-pattern mismatches 0</t>
  </si>
  <si>
    <t xml:space="preserve">F_F2.top3_share</t>
  </si>
  <si>
    <t xml:space="preserve">Cost concentration: top1/top3 share, HHI (f2): top3_share (all 4 rows)</t>
  </si>
  <si>
    <t xml:space="preserve">max |SQL - reference| = 4.44e-16; null-pattern mismatches 0</t>
  </si>
  <si>
    <t xml:space="preserve">F_F2.hhi</t>
  </si>
  <si>
    <t xml:space="preserve">Cost concentration: top1/top3 share, HHI (f2): hhi (all 4 rows)</t>
  </si>
  <si>
    <t xml:space="preserve">F_F2.equal_share_benchmark</t>
  </si>
  <si>
    <t xml:space="preserve">Cost concentration: top1/top3 share, HHI (f2): equal_share_benchmark (all 4 rows)</t>
  </si>
  <si>
    <t xml:space="preserve">max |SQL - reference| = 5.55e-17; null-pattern mismatches 0</t>
  </si>
  <si>
    <t xml:space="preserve">F_F2m</t>
  </si>
  <si>
    <t xml:space="preserve">Concentration top-1 member identical in every dimension</t>
  </si>
  <si>
    <t xml:space="preserve">{"legal_entity": "US01", "division": "Consumer Durables", "gl_account": "5100", "cost_center (opex+people)": "CC410"}</t>
  </si>
  <si>
    <t xml:space="preserve">F_I1.keys</t>
  </si>
  <si>
    <t xml:space="preserve">Status / scale / duplicate / sign scenarios (i1): same key set (rows only in one side)</t>
  </si>
  <si>
    <t xml:space="preserve">any-status P&amp;L population (136,330) or its Posted part</t>
  </si>
  <si>
    <t xml:space="preserve">outer join on factor,scenario</t>
  </si>
  <si>
    <t xml:space="preserve">F_I1.rows_in_scope</t>
  </si>
  <si>
    <t xml:space="preserve">Status / scale / duplicate / sign scenarios (i1): rows_in_scope (all 18 rows)</t>
  </si>
  <si>
    <t xml:space="preserve">revenue = REVENUE; cost = COGS+PEOPLE+OPEX; proxy = revenue - cost</t>
  </si>
  <si>
    <t xml:space="preserve">F_I1.revenue_usd</t>
  </si>
  <si>
    <t xml:space="preserve">Status / scale / duplicate / sign scenarios (i1): revenue_usd (all 18 rows)</t>
  </si>
  <si>
    <t xml:space="preserve">max |SQL - reference| = 4.23e-06; null-pattern mismatches 0</t>
  </si>
  <si>
    <t xml:space="preserve">F_I1.cost_usd</t>
  </si>
  <si>
    <t xml:space="preserve">Status / scale / duplicate / sign scenarios (i1): cost_usd (all 18 rows)</t>
  </si>
  <si>
    <t xml:space="preserve">max |SQL - reference| = 1.61e-06; null-pattern mismatches 0</t>
  </si>
  <si>
    <t xml:space="preserve">F_I1.result_proxy_usd</t>
  </si>
  <si>
    <t xml:space="preserve">Status / scale / duplicate / sign scenarios (i1): result_proxy_usd (all 18 rows)</t>
  </si>
  <si>
    <t xml:space="preserve">max |SQL - reference| = 3.52e-06; null-pattern mismatches 0</t>
  </si>
  <si>
    <t xml:space="preserve">F_I2</t>
  </si>
  <si>
    <t xml:space="preserve">Five journal statuses partition the any-status population exactly</t>
  </si>
  <si>
    <t xml:space="preserve">F_I3</t>
  </si>
  <si>
    <t xml:space="preserve">Non-Posted rows inside the Posted P&amp;L population (must be 0)</t>
  </si>
  <si>
    <t xml:space="preserve">F_I5.keys</t>
  </si>
  <si>
    <t xml:space="preserve">Scale-restored exposure (i5): same key set (rows only in one side)</t>
  </si>
  <si>
    <t xml:space="preserve">Posted eligible restored rows (2,374)</t>
  </si>
  <si>
    <t xml:space="preserve">outer join on section,scale_confidence,scale_decision</t>
  </si>
  <si>
    <t xml:space="preserve">F_I5.rows_n</t>
  </si>
  <si>
    <t xml:space="preserve">Scale-restored exposure (i5): rows_n (all 18 rows)</t>
  </si>
  <si>
    <t xml:space="preserve">F_I5.abs_adjusted_usd</t>
  </si>
  <si>
    <t xml:space="preserve">Scale-restored exposure (i5): abs_adjusted_usd (all 18 rows)</t>
  </si>
  <si>
    <t xml:space="preserve">max |SQL - reference| = 1.86e-09; null-pattern mismatches 0</t>
  </si>
  <si>
    <t xml:space="preserve">F_I5.abs_as_reported_usd</t>
  </si>
  <si>
    <t xml:space="preserve">Scale-restored exposure (i5): abs_as_reported_usd (all 18 rows)</t>
  </si>
  <si>
    <t xml:space="preserve">max |SQL - reference| = 1.36e-12; null-pattern mismatches 0</t>
  </si>
  <si>
    <t xml:space="preserve">F_I5.share_of_section_abs_activity</t>
  </si>
  <si>
    <t xml:space="preserve">Scale-restored exposure (i5): share_of_section_abs_activity (all 18 rows)</t>
  </si>
  <si>
    <t xml:space="preserve">max |SQL - reference| = 1.6e-16; null-pattern mismatches 0</t>
  </si>
  <si>
    <t xml:space="preserve">F_I6</t>
  </si>
  <si>
    <t xml:space="preserve">Headline (Posted, adjusted): revenue / cost / result proxy</t>
  </si>
  <si>
    <t xml:space="preserve">{"revenue": 202649002.15, "cost_cogs_people_opex": 176329755.99, "result_proxy": 26319246.16, "rows": 58340}</t>
  </si>
  <si>
    <t xml:space="preserve">F_I7</t>
  </si>
  <si>
    <t xml:space="preserve">Result proxy depends on scale rule: AS_REPORTED vs ADJUSTED difference (USD)</t>
  </si>
  <si>
    <t xml:space="preserve">adjusted 26,319,246.16 vs as-reported 25,505,981.78: disclosed sensitivity, not an error</t>
  </si>
  <si>
    <t xml:space="preserve">S00</t>
  </si>
  <si>
    <t xml:space="preserve">SQL layer (canonical DuckDB, read-only)</t>
  </si>
  <si>
    <t xml:space="preserve">Canonical DuckDB SHA-256 equals the hash recorded in Phase 6 payload</t>
  </si>
  <si>
    <t xml:space="preserve">S01</t>
  </si>
  <si>
    <t xml:space="preserve">fact_close rows</t>
  </si>
  <si>
    <t xml:space="preserve">S02</t>
  </si>
  <si>
    <t xml:space="preserve">fact_close columns</t>
  </si>
  <si>
    <t xml:space="preserve">S03</t>
  </si>
  <si>
    <t xml:space="preserve">fact_close row_id unique (grain = one source row)</t>
  </si>
  <si>
    <t xml:space="preserve">S04</t>
  </si>
  <si>
    <t xml:space="preserve">v_close row count = fact_close (LEFT JOIN to dim_account does not multiply rows)</t>
  </si>
  <si>
    <t xml:space="preserve">S05</t>
  </si>
  <si>
    <t xml:space="preserve">dim_account has one row per GL account</t>
  </si>
  <si>
    <t xml:space="preserve">S06</t>
  </si>
  <si>
    <t xml:space="preserve">Posting rows with a GL but no section (unmapped account_group -&gt; NULL section)</t>
  </si>
  <si>
    <t xml:space="preserve">S07</t>
  </si>
  <si>
    <t xml:space="preserve">v_pl_actual rows</t>
  </si>
  <si>
    <t xml:space="preserve">S08</t>
  </si>
  <si>
    <t xml:space="preserve">v_pl_actual_any_status rows</t>
  </si>
  <si>
    <t xml:space="preserve">S09</t>
  </si>
  <si>
    <t xml:space="preserve">v_pl_actual contains only Posted status</t>
  </si>
  <si>
    <t xml:space="preserve">S10</t>
  </si>
  <si>
    <t xml:space="preserve">v_pl_actual contains no Balance Sheet rows</t>
  </si>
  <si>
    <t xml:space="preserve">S11</t>
  </si>
  <si>
    <t xml:space="preserve">v_pl_actual rows with NULL actual_usd_adj</t>
  </si>
  <si>
    <t xml:space="preserve">S12</t>
  </si>
  <si>
    <t xml:space="preserve">v_pl_actual_any_status rows with undetermined scale (gate 8 must hold without the status gate)</t>
  </si>
  <si>
    <t xml:space="preserve">the view has no explicit scale condition; undetermined rows have NULL actual_usd_adj, so 'actual_usd_adj IS NOT NULL' enforces gate 8</t>
  </si>
  <si>
    <t xml:space="preserve">S13</t>
  </si>
  <si>
    <t xml:space="preserve">status_group values in any-status view</t>
  </si>
  <si>
    <t xml:space="preserve">{"(blank)": 19444, "Parked": 19302, "Pending": 19777, "Posted": 58340, "Rejected": 19467}</t>
  </si>
  <si>
    <t xml:space="preserve">S14</t>
  </si>
  <si>
    <t xml:space="preserve">Set of row_ids in v_pl_actual == independent Posted eligible set</t>
  </si>
  <si>
    <t xml:space="preserve">S15.BELOW_EBITDA</t>
  </si>
  <si>
    <t xml:space="preserve">SQL sum(actual_usd_adj) section BELOW_EBITDA == pandas reference</t>
  </si>
  <si>
    <t xml:space="preserve">S15.COGS</t>
  </si>
  <si>
    <t xml:space="preserve">SQL sum(actual_usd_adj) section COGS == pandas reference</t>
  </si>
  <si>
    <t xml:space="preserve">S15.D&amp;A</t>
  </si>
  <si>
    <t xml:space="preserve">SQL sum(actual_usd_adj) section D&amp;A == pandas reference</t>
  </si>
  <si>
    <t xml:space="preserve">S15.OPEX</t>
  </si>
  <si>
    <t xml:space="preserve">SQL sum(actual_usd_adj) section OPEX == pandas reference</t>
  </si>
  <si>
    <t xml:space="preserve">S15.PEOPLE</t>
  </si>
  <si>
    <t xml:space="preserve">SQL sum(actual_usd_adj) section PEOPLE == pandas reference</t>
  </si>
  <si>
    <t xml:space="preserve">S15.REVENUE</t>
  </si>
  <si>
    <t xml:space="preserve">SQL sum(actual_usd_adj) section REVENUE == pandas reference</t>
  </si>
  <si>
    <t xml:space="preserve">S15.TAX</t>
  </si>
  <si>
    <t xml:space="preserve">SQL sum(actual_usd_adj) section TAX == pandas reference</t>
  </si>
  <si>
    <t xml:space="preserve">S16</t>
  </si>
  <si>
    <t xml:space="preserve">SQL entity x section actual == pandas reference (all cells)</t>
  </si>
  <si>
    <t xml:space="preserve">S17</t>
  </si>
  <si>
    <t xml:space="preserve">SQL cost-centre absolute activity (people + opex) == pandas reference</t>
  </si>
  <si>
    <t xml:space="preserve">{"CC210": 20018761.55, "CC410": 20287904.96, "CC240": 9841493.3, "CC610": 19921936.04, "CC510": 20117761.05, "CC110": 10327568.22, "CC310": 9334274.21, "(blank)": 5761461.06}</t>
  </si>
  <si>
    <t xml:space="preserve">S18</t>
  </si>
  <si>
    <t xml:space="preserve">SQL months with eligible lines</t>
  </si>
  <si>
    <t xml:space="preserve">S19</t>
  </si>
  <si>
    <t xml:space="preserve">SQL budget population (v_pl_budget)</t>
  </si>
  <si>
    <t xml:space="preserve">S20</t>
  </si>
  <si>
    <t xml:space="preserve">v_pl_budget rows with NULL budget (NULL handling)</t>
  </si>
  <si>
    <t xml:space="preserve">S21</t>
  </si>
  <si>
    <t xml:space="preserve">Balance Sheet view never mixed into P&amp;L: overlap of v_bs_actual and v_pl_actual</t>
  </si>
  <si>
    <t xml:space="preserve">S22</t>
  </si>
  <si>
    <t xml:space="preserve">safe_pct returns NULL when |net| &lt; 50% of gross (macro behaviour)</t>
  </si>
  <si>
    <t xml:space="preserve">S23</t>
  </si>
  <si>
    <t xml:space="preserve">Canonical DuckDB unchanged after read-only queries</t>
  </si>
  <si>
    <t xml:space="preserve">S30</t>
  </si>
  <si>
    <t xml:space="preserve">Isolated pipeline re-run: Phase 4 output CSV hashes identical to the delivered MANIFEST</t>
  </si>
  <si>
    <t xml:space="preserve">[]</t>
  </si>
  <si>
    <t xml:space="preserve">S31</t>
  </si>
  <si>
    <t xml:space="preserve">Isolated re-run: every outputs/phase4/*.csv byte-identical to delivered</t>
  </si>
  <si>
    <t xml:space="preserve">S32.PHASE4_ANALYSIS_REPORT.md</t>
  </si>
  <si>
    <t xml:space="preserve">Isolated re-run: docs/PHASE4_ANALYSIS_REPORT.md regenerated identically</t>
  </si>
  <si>
    <t xml:space="preserve">S32.PHASE4_INSIGHT_REGISTER.md</t>
  </si>
  <si>
    <t xml:space="preserve">Isolated re-run: docs/PHASE4_INSIGHT_REGISTER.md regenerated identically</t>
  </si>
  <si>
    <t xml:space="preserve">X00</t>
  </si>
  <si>
    <t xml:space="preserve">Phase 5 Excel workbook</t>
  </si>
  <si>
    <t xml:space="preserve">Phase 5 workbook SHA-256 unchanged (QA works on a copy)</t>
  </si>
  <si>
    <t xml:space="preserve">X01</t>
  </si>
  <si>
    <t xml:space="preserve">Formula cells in workbook</t>
  </si>
  <si>
    <t xml:space="preserve">X02</t>
  </si>
  <si>
    <r>
      <rPr>
        <sz val="10"/>
        <rFont val="Arial"/>
        <family val="0"/>
        <charset val="1"/>
      </rPr>
      <t xml:space="preserve">Formula cells evaluating to an error (</t>
    </r>
    <r>
      <rPr>
        <sz val="10"/>
        <rFont val="Noto Sans CJK SC"/>
        <family val="2"/>
      </rPr>
      <t xml:space="preserve">＃</t>
    </r>
    <r>
      <rPr>
        <sz val="10"/>
        <rFont val="Arial"/>
        <family val="0"/>
        <charset val="1"/>
      </rPr>
      <t xml:space="preserve">REF!, </t>
    </r>
    <r>
      <rPr>
        <sz val="10"/>
        <rFont val="Noto Sans CJK SC"/>
        <family val="2"/>
      </rPr>
      <t xml:space="preserve">＃</t>
    </r>
    <r>
      <rPr>
        <sz val="10"/>
        <rFont val="Arial"/>
        <family val="0"/>
        <charset val="1"/>
      </rPr>
      <t xml:space="preserve">DIV/0!, </t>
    </r>
    <r>
      <rPr>
        <sz val="10"/>
        <rFont val="Noto Sans CJK SC"/>
        <family val="2"/>
      </rPr>
      <t xml:space="preserve">＃</t>
    </r>
    <r>
      <rPr>
        <sz val="10"/>
        <rFont val="Arial"/>
        <family val="0"/>
        <charset val="1"/>
      </rPr>
      <t xml:space="preserve">VALUE!, </t>
    </r>
    <r>
      <rPr>
        <sz val="10"/>
        <rFont val="Noto Sans CJK SC"/>
        <family val="2"/>
      </rPr>
      <t xml:space="preserve">＃</t>
    </r>
    <r>
      <rPr>
        <sz val="10"/>
        <rFont val="Arial"/>
        <family val="0"/>
        <charset val="1"/>
      </rPr>
      <t xml:space="preserve">N/A, </t>
    </r>
    <r>
      <rPr>
        <sz val="10"/>
        <rFont val="Noto Sans CJK SC"/>
        <family val="2"/>
      </rPr>
      <t xml:space="preserve">＃</t>
    </r>
    <r>
      <rPr>
        <sz val="10"/>
        <rFont val="Arial"/>
        <family val="0"/>
        <charset val="1"/>
      </rPr>
      <t xml:space="preserve">NAME?) after LibreOffice recalc</t>
    </r>
  </si>
  <si>
    <t xml:space="preserve">X03</t>
  </si>
  <si>
    <r>
      <rPr>
        <sz val="10"/>
        <rFont val="Arial"/>
        <family val="0"/>
        <charset val="1"/>
      </rPr>
      <t xml:space="preserve">Formulas containing a literal </t>
    </r>
    <r>
      <rPr>
        <sz val="10"/>
        <rFont val="Noto Sans CJK SC"/>
        <family val="2"/>
      </rPr>
      <t xml:space="preserve">＃</t>
    </r>
    <r>
      <rPr>
        <sz val="10"/>
        <rFont val="Arial"/>
        <family val="0"/>
        <charset val="1"/>
      </rPr>
      <t xml:space="preserve">REF! (broken reference)</t>
    </r>
  </si>
  <si>
    <t xml:space="preserve">X04</t>
  </si>
  <si>
    <t xml:space="preserve">Formula cells whose stored value differs from the LibreOffice recalculated value</t>
  </si>
  <si>
    <t xml:space="preserve">1e-6 relative</t>
  </si>
  <si>
    <t xml:space="preserve">X05</t>
  </si>
  <si>
    <t xml:space="preserve">Formula cells without a cached value (would show blank in viewers that do not recalc)</t>
  </si>
  <si>
    <t xml:space="preserve">X06</t>
  </si>
  <si>
    <t xml:space="preserve">External workbook links</t>
  </si>
  <si>
    <t xml:space="preserve">X07</t>
  </si>
  <si>
    <t xml:space="preserve">Macros / VBA project</t>
  </si>
  <si>
    <t xml:space="preserve">X08</t>
  </si>
  <si>
    <t xml:space="preserve">Defined names with broken references</t>
  </si>
  <si>
    <t xml:space="preserve">X09</t>
  </si>
  <si>
    <t xml:space="preserve">Chart series references found</t>
  </si>
  <si>
    <t xml:space="preserve">7 charts</t>
  </si>
  <si>
    <t xml:space="preserve">X10</t>
  </si>
  <si>
    <t xml:space="preserve">Chart series references pointing to a missing sheet or an empty range</t>
  </si>
  <si>
    <t xml:space="preserve">X20</t>
  </si>
  <si>
    <t xml:space="preserve">Monthly P&amp;L: number of month rows</t>
  </si>
  <si>
    <t xml:space="preserve">X21</t>
  </si>
  <si>
    <t xml:space="preserve">Monthly P&amp;L: revenue, COGS, GP S1, GM%, people, opex, result proxy for 36 months vs independent reference</t>
  </si>
  <si>
    <t xml:space="preserve">0.01 USD / 1e-9</t>
  </si>
  <si>
    <t xml:space="preserve">max abs diff {"rev": 1.02e-08, "cogs": 4.66e-10, "people": 1.16e-10, "opex": 2.33e-10, "gp": 1.02e-08, "proxy": 1.05e-08, "gm": 9.99e-16}</t>
  </si>
  <si>
    <t xml:space="preserve">X22</t>
  </si>
  <si>
    <t xml:space="preserve">Executive Summary 'Revenue (USD)' vs independent</t>
  </si>
  <si>
    <t xml:space="preserve">X23</t>
  </si>
  <si>
    <t xml:space="preserve">Executive Summary 'Gross profit, treatment S1 signed as recorded (USD)' vs independent</t>
  </si>
  <si>
    <t xml:space="preserve">X24</t>
  </si>
  <si>
    <t xml:space="preserve">Executive Summary 'Gross margin % (S1)' vs independent</t>
  </si>
  <si>
    <t xml:space="preserve">X25</t>
  </si>
  <si>
    <t xml:space="preserve">Executive Summary 'Operating result proxy (USD) - not EBITDA' vs independent</t>
  </si>
  <si>
    <t xml:space="preserve">X26</t>
  </si>
  <si>
    <t xml:space="preserve">Executive Summary 'Proxy margin %' vs independent</t>
  </si>
  <si>
    <t xml:space="preserve">X27</t>
  </si>
  <si>
    <t xml:space="preserve">Executive Summary 'Eligible P&amp;L lines (count)' vs independent</t>
  </si>
  <si>
    <t xml:space="preserve">X28</t>
  </si>
  <si>
    <t xml:space="preserve">Executive Summary revenue growth 2024 vs 2023</t>
  </si>
  <si>
    <t xml:space="preserve">X29</t>
  </si>
  <si>
    <t xml:space="preserve">Executive Summary revenue growth 2025 vs 2024</t>
  </si>
  <si>
    <t xml:space="preserve">X30</t>
  </si>
  <si>
    <t xml:space="preserve">Executive Summary 'Revenue variance %, same-sign lines'</t>
  </si>
  <si>
    <t xml:space="preserve">(sum actual - sum budget) / |sum budget| on SAME_SIGN_NONZERO lines</t>
  </si>
  <si>
    <t xml:space="preserve">X31</t>
  </si>
  <si>
    <t xml:space="preserve">Executive Summary 'COGS variance %, same-sign lines'</t>
  </si>
  <si>
    <t xml:space="preserve">X32</t>
  </si>
  <si>
    <t xml:space="preserve">Executive Summary 'People variance %, same-sign lines'</t>
  </si>
  <si>
    <t xml:space="preserve">X33</t>
  </si>
  <si>
    <t xml:space="preserve">Executive Summary 'Opex variance %, same-sign lines'</t>
  </si>
  <si>
    <t xml:space="preserve">X34</t>
  </si>
  <si>
    <t xml:space="preserve">Executive Summary 'Revenue variance vs budget, same-sign lines (USD)'</t>
  </si>
  <si>
    <t xml:space="preserve">X35</t>
  </si>
  <si>
    <t xml:space="preserve">Gross Profit GP1: rows found (2 row sets x 3 treatments x 4 periods)</t>
  </si>
  <si>
    <t xml:space="preserve">X36</t>
  </si>
  <si>
    <t xml:space="preserve">Gross Profit GP1: lines, revenue, COGS, GP, GM% vs independent S1/S2/S3</t>
  </si>
  <si>
    <t xml:space="preserve">X37</t>
  </si>
  <si>
    <t xml:space="preserve">Entity &amp; Division E1/E2: entity and division rows found</t>
  </si>
  <si>
    <t xml:space="preserve">X38</t>
  </si>
  <si>
    <t xml:space="preserve">Entity &amp; Division E1/E2: revenue, COGS, GP, people, opex, proxy vs independent</t>
  </si>
  <si>
    <t xml:space="preserve">X39</t>
  </si>
  <si>
    <t xml:space="preserve">GL &amp; Cost Drivers G1: rows found (24 P&amp;L accounts)</t>
  </si>
  <si>
    <t xml:space="preserve">X40</t>
  </si>
  <si>
    <t xml:space="preserve">GL &amp; Cost Drivers G1: signed actual and line count per GL vs independent</t>
  </si>
  <si>
    <t xml:space="preserve">X41</t>
  </si>
  <si>
    <t xml:space="preserve">Data Quality Q1 exclusion waterfall rows vs independent re-derivation</t>
  </si>
  <si>
    <t xml:space="preserve">8 reasons compared</t>
  </si>
  <si>
    <t xml:space="preserve">X42</t>
  </si>
  <si>
    <t xml:space="preserve">Workbook's own reconciliation sheet status (self-reported, not relied on)</t>
  </si>
  <si>
    <t xml:space="preserve">ALL 137 CHECKS PASS</t>
  </si>
  <si>
    <t xml:space="preserve">UI00</t>
  </si>
  <si>
    <t xml:space="preserve">Phase 6 dashboard (browser)</t>
  </si>
  <si>
    <t xml:space="preserve">Dashboard boot time (headless Chromium, local file, one run)</t>
  </si>
  <si>
    <t xml:space="preserve">UI01</t>
  </si>
  <si>
    <t xml:space="preserve">Network requests to anything other than the local file (standalone requirement)</t>
  </si>
  <si>
    <t xml:space="preserve">D00.n</t>
  </si>
  <si>
    <t xml:space="preserve">[default (all filters)] Posted lines in scope</t>
  </si>
  <si>
    <t xml:space="preserve">default (all filters) | UI-driven</t>
  </si>
  <si>
    <t xml:space="preserve">D00.rev</t>
  </si>
  <si>
    <t xml:space="preserve">[default (all filters)] rev (dashboard engine, full precision)</t>
  </si>
  <si>
    <t xml:space="preserve">D00.cost</t>
  </si>
  <si>
    <t xml:space="preserve">[default (all filters)] cost (dashboard engine, full precision)</t>
  </si>
  <si>
    <t xml:space="preserve">D00.res</t>
  </si>
  <si>
    <t xml:space="preserve">[default (all filters)] res (dashboard engine, full precision)</t>
  </si>
  <si>
    <t xml:space="preserve">D00.sec.REVENUE</t>
  </si>
  <si>
    <t xml:space="preserve">[default (all filters)] section total REVENUE</t>
  </si>
  <si>
    <t xml:space="preserve">D00.sec.COGS</t>
  </si>
  <si>
    <t xml:space="preserve">[default (all filters)] section total COGS</t>
  </si>
  <si>
    <t xml:space="preserve">D00.sec.PEOPLE</t>
  </si>
  <si>
    <t xml:space="preserve">[default (all filters)] section total PEOPLE</t>
  </si>
  <si>
    <t xml:space="preserve">D00.sec.OPEX</t>
  </si>
  <si>
    <t xml:space="preserve">[default (all filters)] section total OPEX</t>
  </si>
  <si>
    <t xml:space="preserve">D00.sec.D&amp;A</t>
  </si>
  <si>
    <t xml:space="preserve">[default (all filters)] section total D&amp;A</t>
  </si>
  <si>
    <t xml:space="preserve">D00.sec.BELOW_EBITDA</t>
  </si>
  <si>
    <t xml:space="preserve">[default (all filters)] section total BELOW_EBITDA</t>
  </si>
  <si>
    <t xml:space="preserve">D00.sec.TAX</t>
  </si>
  <si>
    <t xml:space="preserve">[default (all filters)] section total TAX</t>
  </si>
  <si>
    <t xml:space="preserve">D00.var.REVENUE</t>
  </si>
  <si>
    <t xml:space="preserve">[default (all filters)] budget variance REVENUE (lines, actual, budget, net, gross cell var, guarded %)</t>
  </si>
  <si>
    <t xml:space="preserve">variance = actual - budget; cells = entity x GL x month</t>
  </si>
  <si>
    <t xml:space="preserve">{"n": 30953, "act": 191627864.9527, "bud": 196293772.4929, "net": -4665907.5402, "gross": 29639084.777, "pct": -0.0238}</t>
  </si>
  <si>
    <t xml:space="preserve">{"n": 30953, "act": 191627864.9527, "bud": 196293772.4929, "net": -4665907.5402, "pct": -0.0238, "gross": 29639084.777}</t>
  </si>
  <si>
    <t xml:space="preserve">D00.var.COGS</t>
  </si>
  <si>
    <t xml:space="preserve">[default (all filters)] budget variance COGS (lines, actual, budget, net, gross cell var, guarded %)</t>
  </si>
  <si>
    <t xml:space="preserve">{"n": 11517, "act": 87563588.9844, "bud": 82756589.5567, "net": 4806999.4277, "gross": 18631523.8703, "pct": 0.0581}</t>
  </si>
  <si>
    <t xml:space="preserve">{"n": 11517, "act": 87563588.9844, "bud": 82756589.5567, "net": 4806999.4277, "pct": 0.0581, "gross": 18631523.8703}</t>
  </si>
  <si>
    <t xml:space="preserve">D00.var.PEOPLE</t>
  </si>
  <si>
    <t xml:space="preserve">[default (all filters)] budget variance PEOPLE (lines, actual, budget, net, gross cell var, guarded %)</t>
  </si>
  <si>
    <t xml:space="preserve">{"n": 3101, "act": 37123067.6416, "bud": 37083623.9063, "net": 39443.7353, "gross": 11007527.7637, "pct": 0.0011}</t>
  </si>
  <si>
    <t xml:space="preserve">{"n": 3101, "act": 37123067.6416, "bud": 37083623.9063, "net": 39443.7353, "pct": 0.0011, "gross": 11007527.7637}</t>
  </si>
  <si>
    <t xml:space="preserve">D00.var.OPEX</t>
  </si>
  <si>
    <t xml:space="preserve">[default (all filters)] budget variance OPEX (lines, actual, budget, net, gross cell var, guarded %)</t>
  </si>
  <si>
    <t xml:space="preserve">{"n": 8153, "act": 41160729.6026, "bud": 39236309.7375, "net": 1924419.8651, "gross": 13214431.1645, "pct": 0.049}</t>
  </si>
  <si>
    <t xml:space="preserve">{"n": 8153, "act": 41160729.6026, "bud": 39236309.7375, "net": 1924419.8651, "pct": 0.049, "gross": 13214431.1645}</t>
  </si>
  <si>
    <t xml:space="preserve">D00.status</t>
  </si>
  <si>
    <t xml:space="preserve">[default (all filters)] journal-status diagnostic: lines, revenue, cost for Posted/Pending/Parked/Rejected/blank</t>
  </si>
  <si>
    <t xml:space="preserve">{"Posted": 58340, "Pending": 19777, "Parked": 19302, "Rejected": 19467, "(blank)": 19444}</t>
  </si>
  <si>
    <t xml:space="preserve">D00.dom.full</t>
  </si>
  <si>
    <t xml:space="preserve">[default (all filters)] DOM 'Full:' revenue (rounded to whole USD)</t>
  </si>
  <si>
    <t xml:space="preserve">D00.dom.rev</t>
  </si>
  <si>
    <t xml:space="preserve">[default (all filters)] DOM KPI card rev '$202.65M' (display precision)</t>
  </si>
  <si>
    <t xml:space="preserve">D00.dom.cost</t>
  </si>
  <si>
    <t xml:space="preserve">[default (all filters)] DOM KPI card cost '$176.33M' (display precision)</t>
  </si>
  <si>
    <t xml:space="preserve">D00.dom.res</t>
  </si>
  <si>
    <t xml:space="preserve">[default (all filters)] DOM KPI card res '$26.32M' (display precision)</t>
  </si>
  <si>
    <t xml:space="preserve">D00.dom.junk</t>
  </si>
  <si>
    <t xml:space="preserve">[default (all filters)] Overview text contains no NaN/undefined/Infinity</t>
  </si>
  <si>
    <t xml:space="preserve">D00.csv.rows</t>
  </si>
  <si>
    <t xml:space="preserve">[default (all filters)] CSV export: line count</t>
  </si>
  <si>
    <t xml:space="preserve">D00.csv.set</t>
  </si>
  <si>
    <t xml:space="preserve">[default (all filters)] CSV export: source_row_number set == reference set</t>
  </si>
  <si>
    <t xml:space="preserve">D00.csv.REVENUE</t>
  </si>
  <si>
    <t xml:space="preserve">[default (all filters)] CSV export: sum of actual_usd, REVENUE</t>
  </si>
  <si>
    <t xml:space="preserve">D00.csv.COGS</t>
  </si>
  <si>
    <t xml:space="preserve">[default (all filters)] CSV export: sum of actual_usd, COGS</t>
  </si>
  <si>
    <t xml:space="preserve">D00.csv.PEOPLE</t>
  </si>
  <si>
    <t xml:space="preserve">[default (all filters)] CSV export: sum of actual_usd, PEOPLE</t>
  </si>
  <si>
    <t xml:space="preserve">D00.csv.OPEX</t>
  </si>
  <si>
    <t xml:space="preserve">[default (all filters)] CSV export: sum of actual_usd, OPEX</t>
  </si>
  <si>
    <t xml:space="preserve">D00.base</t>
  </si>
  <si>
    <t xml:space="preserve">Default scope = 58,340 Posted lines</t>
  </si>
  <si>
    <t xml:space="preserve">D01.n</t>
  </si>
  <si>
    <t xml:space="preserve">[year 2024 (chips)] Posted lines in scope</t>
  </si>
  <si>
    <t xml:space="preserve">year 2024 (chips) | UI-driven</t>
  </si>
  <si>
    <t xml:space="preserve">D01.rev</t>
  </si>
  <si>
    <t xml:space="preserve">[year 2024 (chips)] rev (dashboard engine, full precision)</t>
  </si>
  <si>
    <t xml:space="preserve">D01.cost</t>
  </si>
  <si>
    <t xml:space="preserve">[year 2024 (chips)] cost (dashboard engine, full precision)</t>
  </si>
  <si>
    <t xml:space="preserve">D01.res</t>
  </si>
  <si>
    <t xml:space="preserve">[year 2024 (chips)] res (dashboard engine, full precision)</t>
  </si>
  <si>
    <t xml:space="preserve">D01.sec.REVENUE</t>
  </si>
  <si>
    <t xml:space="preserve">[year 2024 (chips)] section total REVENUE</t>
  </si>
  <si>
    <t xml:space="preserve">D01.sec.COGS</t>
  </si>
  <si>
    <t xml:space="preserve">[year 2024 (chips)] section total COGS</t>
  </si>
  <si>
    <t xml:space="preserve">D01.sec.PEOPLE</t>
  </si>
  <si>
    <t xml:space="preserve">[year 2024 (chips)] section total PEOPLE</t>
  </si>
  <si>
    <t xml:space="preserve">D01.sec.OPEX</t>
  </si>
  <si>
    <t xml:space="preserve">[year 2024 (chips)] section total OPEX</t>
  </si>
  <si>
    <t xml:space="preserve">D01.sec.D&amp;A</t>
  </si>
  <si>
    <t xml:space="preserve">[year 2024 (chips)] section total D&amp;A</t>
  </si>
  <si>
    <t xml:space="preserve">D01.sec.BELOW_EBITDA</t>
  </si>
  <si>
    <t xml:space="preserve">[year 2024 (chips)] section total BELOW_EBITDA</t>
  </si>
  <si>
    <t xml:space="preserve">D01.sec.TAX</t>
  </si>
  <si>
    <t xml:space="preserve">[year 2024 (chips)] section total TAX</t>
  </si>
  <si>
    <t xml:space="preserve">D01.var.REVENUE</t>
  </si>
  <si>
    <t xml:space="preserve">[year 2024 (chips)] budget variance REVENUE (lines, actual, budget, net, gross cell var, guarded %)</t>
  </si>
  <si>
    <t xml:space="preserve">{"n": 10362, "act": 66725658.7047, "bud": 68170305.1409, "net": -1444646.4362, "gross": 9506550.241, "pct": -0.0212}</t>
  </si>
  <si>
    <t xml:space="preserve">{"n": 10362, "act": 66725658.7047, "bud": 68170305.1409, "net": -1444646.4362, "pct": -0.0212, "gross": 9506550.241}</t>
  </si>
  <si>
    <t xml:space="preserve">D01.var.COGS</t>
  </si>
  <si>
    <t xml:space="preserve">[year 2024 (chips)] budget variance COGS (lines, actual, budget, net, gross cell var, guarded %)</t>
  </si>
  <si>
    <t xml:space="preserve">{"n": 3804, "act": 28652914.3447, "bud": 27936601.726, "net": 716312.6187, "gross": 6867587.4135, "pct": 0.0256}</t>
  </si>
  <si>
    <t xml:space="preserve">{"n": 3804, "act": 28652914.3447, "bud": 27936601.726, "net": 716312.6187, "pct": 0.0256, "gross": 6867587.4135}</t>
  </si>
  <si>
    <t xml:space="preserve">D01.var.PEOPLE</t>
  </si>
  <si>
    <t xml:space="preserve">[year 2024 (chips)] budget variance PEOPLE (lines, actual, budget, net, gross cell var, guarded %)</t>
  </si>
  <si>
    <t xml:space="preserve">{"n": 1019, "act": 12313985.2365, "bud": 12299633.3969, "net": 14351.8396, "gross": 3254811.3058, "pct": 0.0012}</t>
  </si>
  <si>
    <t xml:space="preserve">{"n": 1019, "act": 12313985.2365, "bud": 12299633.3969, "net": 14351.8396, "pct": 0.0012, "gross": 3254811.3058}</t>
  </si>
  <si>
    <t xml:space="preserve">D01.var.OPEX</t>
  </si>
  <si>
    <t xml:space="preserve">[year 2024 (chips)] budget variance OPEX (lines, actual, budget, net, gross cell var, guarded %)</t>
  </si>
  <si>
    <t xml:space="preserve">{"n": 2760, "act": 13854651.5449, "bud": 13263399.6052, "net": 591251.9397, "gross": 4682496.6663, "pct": 0.0446}</t>
  </si>
  <si>
    <t xml:space="preserve">{"n": 2760, "act": 13854651.5449, "bud": 13263399.6052, "net": 591251.9397, "pct": 0.0446, "gross": 4682496.6663}</t>
  </si>
  <si>
    <t xml:space="preserve">D01.status</t>
  </si>
  <si>
    <t xml:space="preserve">[year 2024 (chips)] journal-status diagnostic: lines, revenue, cost for Posted/Pending/Parked/Rejected/blank</t>
  </si>
  <si>
    <t xml:space="preserve">{"Posted": 19446, "Pending": 6569, "Parked": 6372, "Rejected": 6414, "(blank)": 6569}</t>
  </si>
  <si>
    <t xml:space="preserve">D01.dom.full</t>
  </si>
  <si>
    <t xml:space="preserve">[year 2024 (chips)] DOM 'Full:' revenue (rounded to whole USD)</t>
  </si>
  <si>
    <t xml:space="preserve">D01.dom.rev</t>
  </si>
  <si>
    <t xml:space="preserve">[year 2024 (chips)] DOM KPI card rev '$70.36M' (display precision)</t>
  </si>
  <si>
    <t xml:space="preserve">D01.dom.cost</t>
  </si>
  <si>
    <t xml:space="preserve">[year 2024 (chips)] DOM KPI card cost '$58.46M' (display precision)</t>
  </si>
  <si>
    <t xml:space="preserve">D01.dom.res</t>
  </si>
  <si>
    <t xml:space="preserve">[year 2024 (chips)] DOM KPI card res '$11.90M' (display precision)</t>
  </si>
  <si>
    <t xml:space="preserve">D01.dom.junk</t>
  </si>
  <si>
    <t xml:space="preserve">[year 2024 (chips)] Overview text contains no NaN/undefined/Infinity</t>
  </si>
  <si>
    <t xml:space="preserve">D01.csv.rows</t>
  </si>
  <si>
    <t xml:space="preserve">[year 2024 (chips)] CSV export: line count</t>
  </si>
  <si>
    <t xml:space="preserve">D01.csv.set</t>
  </si>
  <si>
    <t xml:space="preserve">[year 2024 (chips)] CSV export: source_row_number set == reference set</t>
  </si>
  <si>
    <t xml:space="preserve">D01.csv.REVENUE</t>
  </si>
  <si>
    <t xml:space="preserve">[year 2024 (chips)] CSV export: sum of actual_usd, REVENUE</t>
  </si>
  <si>
    <t xml:space="preserve">D01.csv.COGS</t>
  </si>
  <si>
    <t xml:space="preserve">[year 2024 (chips)] CSV export: sum of actual_usd, COGS</t>
  </si>
  <si>
    <t xml:space="preserve">D01.csv.PEOPLE</t>
  </si>
  <si>
    <t xml:space="preserve">[year 2024 (chips)] CSV export: sum of actual_usd, PEOPLE</t>
  </si>
  <si>
    <t xml:space="preserve">D01.csv.OPEX</t>
  </si>
  <si>
    <t xml:space="preserve">[year 2024 (chips)] CSV export: sum of actual_usd, OPEX</t>
  </si>
  <si>
    <t xml:space="preserve">D01.undo</t>
  </si>
  <si>
    <t xml:space="preserve">Undo after deselecting 2025 restores years [2024, 2025]</t>
  </si>
  <si>
    <t xml:space="preserve">D01.reset</t>
  </si>
  <si>
    <t xml:space="preserve">Reset restores the full default state</t>
  </si>
  <si>
    <t xml:space="preserve">D02.n</t>
  </si>
  <si>
    <t xml:space="preserve">[entity IN01 (list)] Posted lines in scope</t>
  </si>
  <si>
    <t xml:space="preserve">entity IN01 (list) | UI-driven</t>
  </si>
  <si>
    <t xml:space="preserve">D02.rev</t>
  </si>
  <si>
    <t xml:space="preserve">[entity IN01 (list)] rev (dashboard engine, full precision)</t>
  </si>
  <si>
    <t xml:space="preserve">D02.cost</t>
  </si>
  <si>
    <t xml:space="preserve">[entity IN01 (list)] cost (dashboard engine, full precision)</t>
  </si>
  <si>
    <t xml:space="preserve">D02.res</t>
  </si>
  <si>
    <t xml:space="preserve">[entity IN01 (list)] res (dashboard engine, full precision)</t>
  </si>
  <si>
    <t xml:space="preserve">D02.sec.REVENUE</t>
  </si>
  <si>
    <t xml:space="preserve">[entity IN01 (list)] section total REVENUE</t>
  </si>
  <si>
    <t xml:space="preserve">D02.sec.COGS</t>
  </si>
  <si>
    <t xml:space="preserve">[entity IN01 (list)] section total COGS</t>
  </si>
  <si>
    <t xml:space="preserve">D02.sec.PEOPLE</t>
  </si>
  <si>
    <t xml:space="preserve">[entity IN01 (list)] section total PEOPLE</t>
  </si>
  <si>
    <t xml:space="preserve">D02.sec.OPEX</t>
  </si>
  <si>
    <t xml:space="preserve">[entity IN01 (list)] section total OPEX</t>
  </si>
  <si>
    <t xml:space="preserve">D02.sec.D&amp;A</t>
  </si>
  <si>
    <t xml:space="preserve">[entity IN01 (list)] section total D&amp;A</t>
  </si>
  <si>
    <t xml:space="preserve">D02.sec.BELOW_EBITDA</t>
  </si>
  <si>
    <t xml:space="preserve">[entity IN01 (list)] section total BELOW_EBITDA</t>
  </si>
  <si>
    <t xml:space="preserve">D02.sec.TAX</t>
  </si>
  <si>
    <t xml:space="preserve">[entity IN01 (list)] section total TAX</t>
  </si>
  <si>
    <t xml:space="preserve">D02.var.REVENUE</t>
  </si>
  <si>
    <t xml:space="preserve">[entity IN01 (list)] budget variance REVENUE (lines, actual, budget, net, gross cell var, guarded %)</t>
  </si>
  <si>
    <t xml:space="preserve">{"n": 5103, "act": 45891662.4926, "bud": 46593050.8873, "net": -701388.3947, "gross": 6542125.9401, "pct": -0.0151}</t>
  </si>
  <si>
    <t xml:space="preserve">{"n": 5103, "act": 45891662.4926, "bud": 46593050.8873, "net": -701388.3947, "pct": -0.0151, "gross": 6542125.9401}</t>
  </si>
  <si>
    <t xml:space="preserve">D02.var.COGS</t>
  </si>
  <si>
    <t xml:space="preserve">[entity IN01 (list)] budget variance COGS (lines, actual, budget, net, gross cell var, guarded %)</t>
  </si>
  <si>
    <t xml:space="preserve">{"n": 1959, "act": 20656607.4904, "bud": 18808646.6511, "net": 1847960.8393, "gross": 4588220.3469, "pct": 0.0983}</t>
  </si>
  <si>
    <t xml:space="preserve">{"n": 1959, "act": 20656607.4904, "bud": 18808646.6511, "net": 1847960.8393, "pct": 0.0983, "gross": 4588220.3469}</t>
  </si>
  <si>
    <t xml:space="preserve">D02.var.PEOPLE</t>
  </si>
  <si>
    <t xml:space="preserve">[entity IN01 (list)] budget variance PEOPLE (lines, actual, budget, net, gross cell var, guarded %)</t>
  </si>
  <si>
    <t xml:space="preserve">{"n": 522, "act": 8335934.1564, "bud": 8307456.6436, "net": 28477.5128, "gross": 2193775.3344, "pct": 0.0034}</t>
  </si>
  <si>
    <t xml:space="preserve">{"n": 522, "act": 8335934.1564, "bud": 8307456.6436, "net": 28477.5128, "pct": 0.0034, "gross": 2193775.3344}</t>
  </si>
  <si>
    <t xml:space="preserve">D02.var.OPEX</t>
  </si>
  <si>
    <t xml:space="preserve">[entity IN01 (list)] budget variance OPEX (lines, actual, budget, net, gross cell var, guarded %)</t>
  </si>
  <si>
    <t xml:space="preserve">{"n": 1338, "act": 9346743.6943, "bud": 8892509.021, "net": 454234.6733, "gross": 3359280.4717, "pct": 0.0511}</t>
  </si>
  <si>
    <t xml:space="preserve">{"n": 1338, "act": 9346743.6943, "bud": 8892509.021, "net": 454234.6733, "pct": 0.0511, "gross": 3359280.4717}</t>
  </si>
  <si>
    <t xml:space="preserve">D02.status</t>
  </si>
  <si>
    <t xml:space="preserve">[entity IN01 (list)] journal-status diagnostic: lines, revenue, cost for Posted/Pending/Parked/Rejected/blank</t>
  </si>
  <si>
    <t xml:space="preserve">{"Posted": 9692, "Pending": 3345, "Parked": 3183, "Rejected": 3324, "(blank)": 3177}</t>
  </si>
  <si>
    <t xml:space="preserve">D02.dom.full</t>
  </si>
  <si>
    <t xml:space="preserve">[entity IN01 (list)] DOM 'Full:' revenue (rounded to whole USD)</t>
  </si>
  <si>
    <t xml:space="preserve">D02.dom.rev</t>
  </si>
  <si>
    <t xml:space="preserve">[entity IN01 (list)] DOM KPI card rev '$48.35M' (display precision)</t>
  </si>
  <si>
    <t xml:space="preserve">D02.dom.cost</t>
  </si>
  <si>
    <t xml:space="preserve">[entity IN01 (list)] DOM KPI card cost '$40.78M' (display precision)</t>
  </si>
  <si>
    <t xml:space="preserve">D02.dom.res</t>
  </si>
  <si>
    <t xml:space="preserve">[entity IN01 (list)] DOM KPI card res '$7.57M' (display precision)</t>
  </si>
  <si>
    <t xml:space="preserve">D02.dom.junk</t>
  </si>
  <si>
    <t xml:space="preserve">[entity IN01 (list)] Overview text contains no NaN/undefined/Infinity</t>
  </si>
  <si>
    <t xml:space="preserve">D02.csv.rows</t>
  </si>
  <si>
    <t xml:space="preserve">[entity IN01 (list)] CSV export: line count</t>
  </si>
  <si>
    <t xml:space="preserve">D02.csv.set</t>
  </si>
  <si>
    <t xml:space="preserve">[entity IN01 (list)] CSV export: source_row_number set == reference set</t>
  </si>
  <si>
    <t xml:space="preserve">D02.csv.REVENUE</t>
  </si>
  <si>
    <t xml:space="preserve">[entity IN01 (list)] CSV export: sum of actual_usd, REVENUE</t>
  </si>
  <si>
    <t xml:space="preserve">D02.csv.COGS</t>
  </si>
  <si>
    <t xml:space="preserve">[entity IN01 (list)] CSV export: sum of actual_usd, COGS</t>
  </si>
  <si>
    <t xml:space="preserve">D02.csv.PEOPLE</t>
  </si>
  <si>
    <t xml:space="preserve">[entity IN01 (list)] CSV export: sum of actual_usd, PEOPLE</t>
  </si>
  <si>
    <t xml:space="preserve">D02.csv.OPEX</t>
  </si>
  <si>
    <t xml:space="preserve">[entity IN01 (list)] CSV export: sum of actual_usd, OPEX</t>
  </si>
  <si>
    <t xml:space="preserve">D03.n</t>
  </si>
  <si>
    <t xml:space="preserve">[scale AS REPORTED (select)] Posted lines in scope</t>
  </si>
  <si>
    <t xml:space="preserve">scale AS REPORTED (select) | UI-driven</t>
  </si>
  <si>
    <t xml:space="preserve">D03.rev</t>
  </si>
  <si>
    <t xml:space="preserve">[scale AS REPORTED (select)] rev (dashboard engine, full precision)</t>
  </si>
  <si>
    <t xml:space="preserve">D03.cost</t>
  </si>
  <si>
    <t xml:space="preserve">[scale AS REPORTED (select)] cost (dashboard engine, full precision)</t>
  </si>
  <si>
    <t xml:space="preserve">D03.res</t>
  </si>
  <si>
    <t xml:space="preserve">[scale AS REPORTED (select)] res (dashboard engine, full precision)</t>
  </si>
  <si>
    <t xml:space="preserve">D03.sec.REVENUE</t>
  </si>
  <si>
    <t xml:space="preserve">[scale AS REPORTED (select)] section total REVENUE</t>
  </si>
  <si>
    <t xml:space="preserve">D03.sec.COGS</t>
  </si>
  <si>
    <t xml:space="preserve">[scale AS REPORTED (select)] section total COGS</t>
  </si>
  <si>
    <t xml:space="preserve">D03.sec.PEOPLE</t>
  </si>
  <si>
    <t xml:space="preserve">[scale AS REPORTED (select)] section total PEOPLE</t>
  </si>
  <si>
    <t xml:space="preserve">D03.sec.OPEX</t>
  </si>
  <si>
    <t xml:space="preserve">[scale AS REPORTED (select)] section total OPEX</t>
  </si>
  <si>
    <t xml:space="preserve">D03.sec.D&amp;A</t>
  </si>
  <si>
    <t xml:space="preserve">[scale AS REPORTED (select)] section total D&amp;A</t>
  </si>
  <si>
    <t xml:space="preserve">D03.sec.BELOW_EBITDA</t>
  </si>
  <si>
    <t xml:space="preserve">[scale AS REPORTED (select)] section total BELOW_EBITDA</t>
  </si>
  <si>
    <t xml:space="preserve">D03.sec.TAX</t>
  </si>
  <si>
    <t xml:space="preserve">[scale AS REPORTED (select)] section total TAX</t>
  </si>
  <si>
    <t xml:space="preserve">D03.var.REVENUE</t>
  </si>
  <si>
    <t xml:space="preserve">[scale AS REPORTED (select)] budget variance REVENUE (lines, actual, budget, net, gross cell var, guarded %)</t>
  </si>
  <si>
    <t xml:space="preserve">{"n": 30953, "act": 184035129.7747, "bud": 189032181.2854, "net": -4997051.5107, "gross": 29817406.6027, "pct": -0.0264}</t>
  </si>
  <si>
    <t xml:space="preserve">{"n": 30953, "act": 184035129.7747, "bud": 189032181.2854, "net": -4997051.5107, "pct": -0.0264, "gross": 29817406.6027}</t>
  </si>
  <si>
    <t xml:space="preserve">D03.var.COGS</t>
  </si>
  <si>
    <t xml:space="preserve">[scale AS REPORTED (select)] budget variance COGS (lines, actual, budget, net, gross cell var, guarded %)</t>
  </si>
  <si>
    <t xml:space="preserve">{"n": 11517, "act": 84060598.3482, "bud": 79498220.1904, "net": 4562378.1578, "gross": 17869127.1062, "pct": 0.0574}</t>
  </si>
  <si>
    <t xml:space="preserve">{"n": 11517, "act": 84060598.3482, "bud": 79498220.1904, "net": 4562378.1578, "pct": 0.0574, "gross": 17869127.1062}</t>
  </si>
  <si>
    <t xml:space="preserve">D03.var.PEOPLE</t>
  </si>
  <si>
    <t xml:space="preserve">[scale AS REPORTED (select)] budget variance PEOPLE (lines, actual, budget, net, gross cell var, guarded %)</t>
  </si>
  <si>
    <t xml:space="preserve">{"n": 3101, "act": 35335458.3547, "bud": 35101904.6417, "net": 233553.713, "gross": 10400342.3506, "pct": 0.0067}</t>
  </si>
  <si>
    <t xml:space="preserve">{"n": 3101, "act": 35335458.3547, "bud": 35101904.6417, "net": 233553.713, "pct": 0.0067, "gross": 10400342.3506}</t>
  </si>
  <si>
    <t xml:space="preserve">D03.var.OPEX</t>
  </si>
  <si>
    <t xml:space="preserve">[scale AS REPORTED (select)] budget variance OPEX (lines, actual, budget, net, gross cell var, guarded %)</t>
  </si>
  <si>
    <t xml:space="preserve">{"n": 8153, "act": 39566738.6702, "bud": 37658454.1617, "net": 1908284.5085, "gross": 12896309.7721, "pct": 0.0507}</t>
  </si>
  <si>
    <t xml:space="preserve">{"n": 8153, "act": 39566738.6702, "bud": 37658454.1617, "net": 1908284.5085, "pct": 0.0507, "gross": 12896309.7721}</t>
  </si>
  <si>
    <t xml:space="preserve">D03.status</t>
  </si>
  <si>
    <t xml:space="preserve">[scale AS REPORTED (select)] journal-status diagnostic: lines, revenue, cost for Posted/Pending/Parked/Rejected/blank</t>
  </si>
  <si>
    <t xml:space="preserve">D03.dom.full</t>
  </si>
  <si>
    <t xml:space="preserve">[scale AS REPORTED (select)] DOM 'Full:' revenue (rounded to whole USD)</t>
  </si>
  <si>
    <t xml:space="preserve">D03.dom.rev</t>
  </si>
  <si>
    <t xml:space="preserve">[scale AS REPORTED (select)] DOM KPI card rev '$194.40M' (display precision)</t>
  </si>
  <si>
    <t xml:space="preserve">D03.dom.cost</t>
  </si>
  <si>
    <t xml:space="preserve">[scale AS REPORTED (select)] DOM KPI card cost '$168.90M' (display precision)</t>
  </si>
  <si>
    <t xml:space="preserve">D03.dom.res</t>
  </si>
  <si>
    <t xml:space="preserve">[scale AS REPORTED (select)] DOM KPI card res '$25.51M' (display precision)</t>
  </si>
  <si>
    <t xml:space="preserve">D03.dom.junk</t>
  </si>
  <si>
    <t xml:space="preserve">[scale AS REPORTED (select)] Overview text contains no NaN/undefined/Infinity</t>
  </si>
  <si>
    <t xml:space="preserve">D03.csv.rows</t>
  </si>
  <si>
    <t xml:space="preserve">[scale AS REPORTED (select)] CSV export: line count</t>
  </si>
  <si>
    <t xml:space="preserve">D03.csv.set</t>
  </si>
  <si>
    <t xml:space="preserve">[scale AS REPORTED (select)] CSV export: source_row_number set == reference set</t>
  </si>
  <si>
    <t xml:space="preserve">D03.csv.REVENUE</t>
  </si>
  <si>
    <t xml:space="preserve">[scale AS REPORTED (select)] CSV export: sum of actual_usd, REVENUE</t>
  </si>
  <si>
    <t xml:space="preserve">D03.csv.COGS</t>
  </si>
  <si>
    <t xml:space="preserve">[scale AS REPORTED (select)] CSV export: sum of actual_usd, COGS</t>
  </si>
  <si>
    <t xml:space="preserve">D03.csv.PEOPLE</t>
  </si>
  <si>
    <t xml:space="preserve">[scale AS REPORTED (select)] CSV export: sum of actual_usd, PEOPLE</t>
  </si>
  <si>
    <t xml:space="preserve">D03.csv.OPEX</t>
  </si>
  <si>
    <t xml:space="preserve">[scale AS REPORTED (select)] CSV export: sum of actual_usd, OPEX</t>
  </si>
  <si>
    <t xml:space="preserve">D03.scope</t>
  </si>
  <si>
    <t xml:space="preserve">Header flags non-baseline scale basis (SCENARIO ACTIVE / AS REPORTED)</t>
  </si>
  <si>
    <t xml:space="preserve">USD · 58,340 of 58,340 Posted-eligible P&amp;L lines in scope · Jan 23 – Dec 25SCENARIO ACTIVE amounts AS REPORTED — scale restoration not applied Full basisamounts AS REPORTED — scale restoration not app</t>
  </si>
  <si>
    <t xml:space="preserve">D04.xf</t>
  </si>
  <si>
    <t xml:space="preserve">Clicking the US01 bar sets a cross-filter on entity US01</t>
  </si>
  <si>
    <t xml:space="preserve">{"dim": "ent", "val": 5, "label": "Entity = US01"}</t>
  </si>
  <si>
    <t xml:space="preserve">D04.n</t>
  </si>
  <si>
    <t xml:space="preserve">[cross-filter US01 (chart click)] Posted lines in scope</t>
  </si>
  <si>
    <t xml:space="preserve">cross-filter US01 (chart click) | UI-driven</t>
  </si>
  <si>
    <t xml:space="preserve">D04.rev</t>
  </si>
  <si>
    <t xml:space="preserve">[cross-filter US01 (chart click)] rev (dashboard engine, full precision)</t>
  </si>
  <si>
    <t xml:space="preserve">D04.cost</t>
  </si>
  <si>
    <t xml:space="preserve">[cross-filter US01 (chart click)] cost (dashboard engine, full precision)</t>
  </si>
  <si>
    <t xml:space="preserve">D04.res</t>
  </si>
  <si>
    <t xml:space="preserve">[cross-filter US01 (chart click)] res (dashboard engine, full precision)</t>
  </si>
  <si>
    <t xml:space="preserve">D04.sec.REVENUE</t>
  </si>
  <si>
    <t xml:space="preserve">[cross-filter US01 (chart click)] section total REVENUE</t>
  </si>
  <si>
    <t xml:space="preserve">D04.sec.COGS</t>
  </si>
  <si>
    <t xml:space="preserve">[cross-filter US01 (chart click)] section total COGS</t>
  </si>
  <si>
    <t xml:space="preserve">D04.sec.PEOPLE</t>
  </si>
  <si>
    <t xml:space="preserve">[cross-filter US01 (chart click)] section total PEOPLE</t>
  </si>
  <si>
    <t xml:space="preserve">D04.sec.OPEX</t>
  </si>
  <si>
    <t xml:space="preserve">[cross-filter US01 (chart click)] section total OPEX</t>
  </si>
  <si>
    <t xml:space="preserve">D04.sec.D&amp;A</t>
  </si>
  <si>
    <t xml:space="preserve">[cross-filter US01 (chart click)] section total D&amp;A</t>
  </si>
  <si>
    <t xml:space="preserve">D04.sec.BELOW_EBITDA</t>
  </si>
  <si>
    <t xml:space="preserve">[cross-filter US01 (chart click)] section total BELOW_EBITDA</t>
  </si>
  <si>
    <t xml:space="preserve">D04.sec.TAX</t>
  </si>
  <si>
    <t xml:space="preserve">[cross-filter US01 (chart click)] section total TAX</t>
  </si>
  <si>
    <t xml:space="preserve">D04.var.REVENUE</t>
  </si>
  <si>
    <t xml:space="preserve">[cross-filter US01 (chart click)] budget variance REVENUE (lines, actual, budget, net, gross cell var, guarded %)</t>
  </si>
  <si>
    <t xml:space="preserve">{"n": 5163, "act": 52539572.9166, "bud": 53882286.7924, "net": -1342713.8758, "gross": 9187761.377, "pct": -0.0249}</t>
  </si>
  <si>
    <t xml:space="preserve">{"n": 5163, "act": 52539572.9166, "bud": 53882286.7924, "net": -1342713.8758, "pct": -0.0249, "gross": 9187761.377}</t>
  </si>
  <si>
    <t xml:space="preserve">D04.var.COGS</t>
  </si>
  <si>
    <t xml:space="preserve">[cross-filter US01 (chart click)] budget variance COGS (lines, actual, budget, net, gross cell var, guarded %)</t>
  </si>
  <si>
    <t xml:space="preserve">{"n": 1913, "act": 22627830.7763, "bud": 22175631.8145, "net": 452198.9618, "gross": 4304064.4848, "pct": 0.0204}</t>
  </si>
  <si>
    <t xml:space="preserve">{"n": 1913, "act": 22627830.7763, "bud": 22175631.8145, "net": 452198.9618, "pct": 0.0204, "gross": 4304064.4848}</t>
  </si>
  <si>
    <t xml:space="preserve">D04.var.PEOPLE</t>
  </si>
  <si>
    <t xml:space="preserve">[cross-filter US01 (chart click)] budget variance PEOPLE (lines, actual, budget, net, gross cell var, guarded %)</t>
  </si>
  <si>
    <t xml:space="preserve">{"n": 507, "act": 9186495.0257, "bud": 8586260.5417, "net": 600234.484, "gross": 2997837.9024, "pct": 0.0699}</t>
  </si>
  <si>
    <t xml:space="preserve">{"n": 507, "act": 9186495.0257, "bud": 8586260.5417, "net": 600234.484, "pct": 0.0699, "gross": 2997837.9024}</t>
  </si>
  <si>
    <t xml:space="preserve">D04.var.OPEX</t>
  </si>
  <si>
    <t xml:space="preserve">[cross-filter US01 (chart click)] budget variance OPEX (lines, actual, budget, net, gross cell var, guarded %)</t>
  </si>
  <si>
    <t xml:space="preserve">{"n": 1330, "act": 11002438.6616, "bud": 10282091.2415, "net": 720347.4201, "gross": 3483558.6121, "pct": 0.0701}</t>
  </si>
  <si>
    <t xml:space="preserve">{"n": 1330, "act": 11002438.6616, "bud": 10282091.2415, "net": 720347.4201, "pct": 0.0701, "gross": 3483558.6121}</t>
  </si>
  <si>
    <t xml:space="preserve">D04.status</t>
  </si>
  <si>
    <t xml:space="preserve">[cross-filter US01 (chart click)] journal-status diagnostic: lines, revenue, cost for Posted/Pending/Parked/Rejected/blank</t>
  </si>
  <si>
    <t xml:space="preserve">{"Posted": 9654, "Pending": 3217, "Parked": 3271, "Rejected": 3266, "(blank)": 3177}</t>
  </si>
  <si>
    <t xml:space="preserve">D04.dom.full</t>
  </si>
  <si>
    <t xml:space="preserve">[cross-filter US01 (chart click)] DOM 'Full:' revenue (rounded to whole USD)</t>
  </si>
  <si>
    <t xml:space="preserve">D04.dom.rev</t>
  </si>
  <si>
    <t xml:space="preserve">[cross-filter US01 (chart click)] DOM KPI card rev '$55.34M' (display precision)</t>
  </si>
  <si>
    <t xml:space="preserve">D04.dom.cost</t>
  </si>
  <si>
    <t xml:space="preserve">[cross-filter US01 (chart click)] DOM KPI card cost '$45.52M' (display precision)</t>
  </si>
  <si>
    <t xml:space="preserve">D04.dom.res</t>
  </si>
  <si>
    <t xml:space="preserve">[cross-filter US01 (chart click)] DOM KPI card res '$9.81M' (display precision)</t>
  </si>
  <si>
    <t xml:space="preserve">D04.dom.junk</t>
  </si>
  <si>
    <t xml:space="preserve">[cross-filter US01 (chart click)] Overview text contains no NaN/undefined/Infinity</t>
  </si>
  <si>
    <t xml:space="preserve">D04.csv.rows</t>
  </si>
  <si>
    <t xml:space="preserve">[cross-filter US01 (chart click)] CSV export: line count</t>
  </si>
  <si>
    <t xml:space="preserve">D04.csv.set</t>
  </si>
  <si>
    <t xml:space="preserve">[cross-filter US01 (chart click)] CSV export: source_row_number set == reference set</t>
  </si>
  <si>
    <t xml:space="preserve">D04.csv.REVENUE</t>
  </si>
  <si>
    <t xml:space="preserve">[cross-filter US01 (chart click)] CSV export: sum of actual_usd, REVENUE</t>
  </si>
  <si>
    <t xml:space="preserve">D04.csv.COGS</t>
  </si>
  <si>
    <t xml:space="preserve">[cross-filter US01 (chart click)] CSV export: sum of actual_usd, COGS</t>
  </si>
  <si>
    <t xml:space="preserve">D04.csv.PEOPLE</t>
  </si>
  <si>
    <t xml:space="preserve">[cross-filter US01 (chart click)] CSV export: sum of actual_usd, PEOPLE</t>
  </si>
  <si>
    <t xml:space="preserve">D04.csv.OPEX</t>
  </si>
  <si>
    <t xml:space="preserve">[cross-filter US01 (chart click)] CSV export: sum of actual_usd, OPEX</t>
  </si>
  <si>
    <t xml:space="preserve">D04.clear</t>
  </si>
  <si>
    <t xml:space="preserve">Reset clears the cross-filter</t>
  </si>
  <si>
    <t xml:space="preserve">D05.n</t>
  </si>
  <si>
    <t xml:space="preserve">[cost-only selection: section OPEX] Posted lines in scope</t>
  </si>
  <si>
    <t xml:space="preserve">cost-only selection: section OPEX | state hook</t>
  </si>
  <si>
    <t xml:space="preserve">D05.rev</t>
  </si>
  <si>
    <t xml:space="preserve">[cost-only selection: section OPEX] rev (dashboard engine, full precision)</t>
  </si>
  <si>
    <t xml:space="preserve">D05.cost</t>
  </si>
  <si>
    <t xml:space="preserve">[cost-only selection: section OPEX] cost (dashboard engine, full precision)</t>
  </si>
  <si>
    <t xml:space="preserve">D05.res</t>
  </si>
  <si>
    <t xml:space="preserve">[cost-only selection: section OPEX] res (dashboard engine, full precision)</t>
  </si>
  <si>
    <t xml:space="preserve">D05.sec.REVENUE</t>
  </si>
  <si>
    <t xml:space="preserve">[cost-only selection: section OPEX] section total REVENUE</t>
  </si>
  <si>
    <t xml:space="preserve">D05.sec.COGS</t>
  </si>
  <si>
    <t xml:space="preserve">[cost-only selection: section OPEX] section total COGS</t>
  </si>
  <si>
    <t xml:space="preserve">D05.sec.PEOPLE</t>
  </si>
  <si>
    <t xml:space="preserve">[cost-only selection: section OPEX] section total PEOPLE</t>
  </si>
  <si>
    <t xml:space="preserve">D05.sec.OPEX</t>
  </si>
  <si>
    <t xml:space="preserve">[cost-only selection: section OPEX] section total OPEX</t>
  </si>
  <si>
    <t xml:space="preserve">D05.sec.D&amp;A</t>
  </si>
  <si>
    <t xml:space="preserve">[cost-only selection: section OPEX] section total D&amp;A</t>
  </si>
  <si>
    <t xml:space="preserve">D05.sec.BELOW_EBITDA</t>
  </si>
  <si>
    <t xml:space="preserve">[cost-only selection: section OPEX] section total BELOW_EBITDA</t>
  </si>
  <si>
    <t xml:space="preserve">D05.sec.TAX</t>
  </si>
  <si>
    <t xml:space="preserve">[cost-only selection: section OPEX] section total TAX</t>
  </si>
  <si>
    <t xml:space="preserve">D05.var.REVENUE</t>
  </si>
  <si>
    <t xml:space="preserve">[cost-only selection: section OPEX] budget variance REVENUE (lines, actual, budget, net, gross cell var, guarded %)</t>
  </si>
  <si>
    <t xml:space="preserve">{"n": 0, "act": 0.0, "bud": 0.0, "net": 0.0, "gross": 0.0, "pct": null}</t>
  </si>
  <si>
    <t xml:space="preserve">{"n": 0, "act": 0, "bud": 0, "net": 0, "pct": null, "gross": 0}</t>
  </si>
  <si>
    <t xml:space="preserve">D05.var.COGS</t>
  </si>
  <si>
    <t xml:space="preserve">[cost-only selection: section OPEX] budget variance COGS (lines, actual, budget, net, gross cell var, guarded %)</t>
  </si>
  <si>
    <t xml:space="preserve">D05.var.PEOPLE</t>
  </si>
  <si>
    <t xml:space="preserve">[cost-only selection: section OPEX] budget variance PEOPLE (lines, actual, budget, net, gross cell var, guarded %)</t>
  </si>
  <si>
    <t xml:space="preserve">D05.var.OPEX</t>
  </si>
  <si>
    <t xml:space="preserve">[cost-only selection: section OPEX] budget variance OPEX (lines, actual, budget, net, gross cell var, guarded %)</t>
  </si>
  <si>
    <t xml:space="preserve">D05.status</t>
  </si>
  <si>
    <t xml:space="preserve">[cost-only selection: section OPEX] journal-status diagnostic: lines, revenue, cost for Posted/Pending/Parked/Rejected/blank</t>
  </si>
  <si>
    <t xml:space="preserve">{"Posted": 8645, "Pending": 2879, "Parked": 2860, "Rejected": 2939, "(blank)": 2828}</t>
  </si>
  <si>
    <t xml:space="preserve">D05.dom.full</t>
  </si>
  <si>
    <t xml:space="preserve">[cost-only selection: section OPEX] DOM 'Full:' revenue (rounded to whole USD)</t>
  </si>
  <si>
    <t xml:space="preserve">D05.dom.rev</t>
  </si>
  <si>
    <t xml:space="preserve">[cost-only selection: section OPEX] DOM KPI card rev '$0' (display precision)</t>
  </si>
  <si>
    <t xml:space="preserve">D05.dom.cost</t>
  </si>
  <si>
    <t xml:space="preserve">[cost-only selection: section OPEX] DOM KPI card cost '$43.81M' (display precision)</t>
  </si>
  <si>
    <t xml:space="preserve">D05.dom.res</t>
  </si>
  <si>
    <t xml:space="preserve">[cost-only selection: section OPEX] DOM KPI card res '−$43.81M' (display precision)</t>
  </si>
  <si>
    <t xml:space="preserve">D05.dom.junk</t>
  </si>
  <si>
    <t xml:space="preserve">[cost-only selection: section OPEX] Overview text contains no NaN/undefined/Infinity</t>
  </si>
  <si>
    <t xml:space="preserve">D05.csv.rows</t>
  </si>
  <si>
    <t xml:space="preserve">[cost-only selection: section OPEX] CSV export: line count</t>
  </si>
  <si>
    <t xml:space="preserve">D05.csv.set</t>
  </si>
  <si>
    <t xml:space="preserve">[cost-only selection: section OPEX] CSV export: source_row_number set == reference set</t>
  </si>
  <si>
    <t xml:space="preserve">D05.csv.REVENUE</t>
  </si>
  <si>
    <t xml:space="preserve">[cost-only selection: section OPEX] CSV export: sum of actual_usd, REVENUE</t>
  </si>
  <si>
    <t xml:space="preserve">D05.csv.COGS</t>
  </si>
  <si>
    <t xml:space="preserve">[cost-only selection: section OPEX] CSV export: sum of actual_usd, COGS</t>
  </si>
  <si>
    <t xml:space="preserve">D05.csv.PEOPLE</t>
  </si>
  <si>
    <t xml:space="preserve">[cost-only selection: section OPEX] CSV export: sum of actual_usd, PEOPLE</t>
  </si>
  <si>
    <t xml:space="preserve">D05.csv.OPEX</t>
  </si>
  <si>
    <t xml:space="preserve">[cost-only selection: section OPEX] CSV export: sum of actual_usd, OPEX</t>
  </si>
  <si>
    <t xml:space="preserve">D05.margin</t>
  </si>
  <si>
    <t xml:space="preserve">Cost-only selection: revenue shows $0 and proxy margin is not computed (n/a)</t>
  </si>
  <si>
    <t xml:space="preserve">Fixed Phase 4 findings (Insights tab) are overall portfolio findings and do not change with filters. Everything on this page recalculates for the current selection — scope: Jan 23 – Dec 25, 8,645 Posted lines. Trend › REVENUE $0 YoY n/a 0 lines · REVENUE section Full: $0 Trend › COST BASE $43.81M ▲ +7.1% YoY · 24 mo COGS + People + Opex COGS $0 · People $0 · Opex $43.81M Trend › RESULT PROXY −$43.81M ▼ −7.1% YoY · 24 mo Revenue − cost base (not EBITDA) Proxy margin n/a Variance › REVENUE VS BUDGET $0 no lines with a budget in scope Actual $0 vs budget $0 No months in scope Variance › COST BASE</t>
  </si>
  <si>
    <t xml:space="preserve">D05.obs</t>
  </si>
  <si>
    <t xml:space="preserve">Cost-only selection: 'What stands out' makes no revenue/margin claim</t>
  </si>
  <si>
    <t xml:space="preserve">Cost base is $1.92M above budget (4.9%) on 8,153 lines.
Posted lines are 42.9% of all-status lines in this selection; the other statuses are excluded by provisional rule R6 — see Gross Profit &amp; Scenarios.
45 entity × GL cells show a persistent one-sided deviation from budget (same-sign lines, ≥12 months, ≥90% one side, ≥3%).</t>
  </si>
  <si>
    <t xml:space="preserve">D06.n</t>
  </si>
  <si>
    <t xml:space="preserve">[revenue-only selection: section REVENUE] Posted lines in scope</t>
  </si>
  <si>
    <t xml:space="preserve">revenue-only selection: section REVENUE | state hook</t>
  </si>
  <si>
    <t xml:space="preserve">D06.rev</t>
  </si>
  <si>
    <t xml:space="preserve">[revenue-only selection: section REVENUE] rev (dashboard engine, full precision)</t>
  </si>
  <si>
    <t xml:space="preserve">D06.cost</t>
  </si>
  <si>
    <t xml:space="preserve">[revenue-only selection: section REVENUE] cost (dashboard engine, full precision)</t>
  </si>
  <si>
    <t xml:space="preserve">D06.res</t>
  </si>
  <si>
    <t xml:space="preserve">[revenue-only selection: section REVENUE] res (dashboard engine, full precision)</t>
  </si>
  <si>
    <t xml:space="preserve">D06.sec.REVENUE</t>
  </si>
  <si>
    <t xml:space="preserve">[revenue-only selection: section REVENUE] section total REVENUE</t>
  </si>
  <si>
    <t xml:space="preserve">D06.sec.COGS</t>
  </si>
  <si>
    <t xml:space="preserve">[revenue-only selection: section REVENUE] section total COGS</t>
  </si>
  <si>
    <t xml:space="preserve">D06.sec.PEOPLE</t>
  </si>
  <si>
    <t xml:space="preserve">[revenue-only selection: section REVENUE] section total PEOPLE</t>
  </si>
  <si>
    <t xml:space="preserve">D06.sec.OPEX</t>
  </si>
  <si>
    <t xml:space="preserve">[revenue-only selection: section REVENUE] section total OPEX</t>
  </si>
  <si>
    <t xml:space="preserve">D06.sec.D&amp;A</t>
  </si>
  <si>
    <t xml:space="preserve">[revenue-only selection: section REVENUE] section total D&amp;A</t>
  </si>
  <si>
    <t xml:space="preserve">D06.sec.BELOW_EBITDA</t>
  </si>
  <si>
    <t xml:space="preserve">[revenue-only selection: section REVENUE] section total BELOW_EBITDA</t>
  </si>
  <si>
    <t xml:space="preserve">D06.sec.TAX</t>
  </si>
  <si>
    <t xml:space="preserve">[revenue-only selection: section REVENUE] section total TAX</t>
  </si>
  <si>
    <t xml:space="preserve">D06.var.REVENUE</t>
  </si>
  <si>
    <t xml:space="preserve">[revenue-only selection: section REVENUE] budget variance REVENUE (lines, actual, budget, net, gross cell var, guarded %)</t>
  </si>
  <si>
    <t xml:space="preserve">D06.var.COGS</t>
  </si>
  <si>
    <t xml:space="preserve">[revenue-only selection: section REVENUE] budget variance COGS (lines, actual, budget, net, gross cell var, guarded %)</t>
  </si>
  <si>
    <t xml:space="preserve">D06.var.PEOPLE</t>
  </si>
  <si>
    <t xml:space="preserve">[revenue-only selection: section REVENUE] budget variance PEOPLE (lines, actual, budget, net, gross cell var, guarded %)</t>
  </si>
  <si>
    <t xml:space="preserve">D06.var.OPEX</t>
  </si>
  <si>
    <t xml:space="preserve">[revenue-only selection: section REVENUE] budget variance OPEX (lines, actual, budget, net, gross cell var, guarded %)</t>
  </si>
  <si>
    <t xml:space="preserve">D06.status</t>
  </si>
  <si>
    <t xml:space="preserve">[revenue-only selection: section REVENUE] journal-status diagnostic: lines, revenue, cost for Posted/Pending/Parked/Rejected/blank</t>
  </si>
  <si>
    <t xml:space="preserve">{"Posted": 32813, "Pending": 11303, "Parked": 10765, "Rejected": 10927, "(blank)": 10965}</t>
  </si>
  <si>
    <t xml:space="preserve">D06.dom.full</t>
  </si>
  <si>
    <t xml:space="preserve">[revenue-only selection: section REVENUE] DOM 'Full:' revenue (rounded to whole USD)</t>
  </si>
  <si>
    <t xml:space="preserve">D06.dom.rev</t>
  </si>
  <si>
    <t xml:space="preserve">[revenue-only selection: section REVENUE] DOM KPI card rev '$202.65M' (display precision)</t>
  </si>
  <si>
    <t xml:space="preserve">D06.dom.cost</t>
  </si>
  <si>
    <t xml:space="preserve">[revenue-only selection: section REVENUE] DOM KPI card cost '$0' (display precision)</t>
  </si>
  <si>
    <t xml:space="preserve">D06.dom.res</t>
  </si>
  <si>
    <t xml:space="preserve">[revenue-only selection: section REVENUE] DOM KPI card res '$202.65M' (display precision)</t>
  </si>
  <si>
    <t xml:space="preserve">D06.dom.junk</t>
  </si>
  <si>
    <t xml:space="preserve">[revenue-only selection: section REVENUE] Overview text contains no NaN/undefined/Infinity</t>
  </si>
  <si>
    <t xml:space="preserve">D06.csv.rows</t>
  </si>
  <si>
    <t xml:space="preserve">[revenue-only selection: section REVENUE] CSV export: line count</t>
  </si>
  <si>
    <t xml:space="preserve">D06.csv.set</t>
  </si>
  <si>
    <t xml:space="preserve">[revenue-only selection: section REVENUE] CSV export: source_row_number set == reference set</t>
  </si>
  <si>
    <t xml:space="preserve">D06.csv.REVENUE</t>
  </si>
  <si>
    <t xml:space="preserve">[revenue-only selection: section REVENUE] CSV export: sum of actual_usd, REVENUE</t>
  </si>
  <si>
    <t xml:space="preserve">D06.csv.COGS</t>
  </si>
  <si>
    <t xml:space="preserve">[revenue-only selection: section REVENUE] CSV export: sum of actual_usd, COGS</t>
  </si>
  <si>
    <t xml:space="preserve">D06.csv.PEOPLE</t>
  </si>
  <si>
    <t xml:space="preserve">[revenue-only selection: section REVENUE] CSV export: sum of actual_usd, PEOPLE</t>
  </si>
  <si>
    <t xml:space="preserve">D06.csv.OPEX</t>
  </si>
  <si>
    <t xml:space="preserve">[revenue-only selection: section REVENUE] CSV export: sum of actual_usd, OPEX</t>
  </si>
  <si>
    <t xml:space="preserve">D07.n</t>
  </si>
  <si>
    <t xml:space="preserve">[2025 + US01,DE01 + Medical Devices] Posted lines in scope</t>
  </si>
  <si>
    <t xml:space="preserve">2025 + US01,DE01 + Medical Devices | state hook</t>
  </si>
  <si>
    <t xml:space="preserve">D07.rev</t>
  </si>
  <si>
    <t xml:space="preserve">[2025 + US01,DE01 + Medical Devices] rev (dashboard engine, full precision)</t>
  </si>
  <si>
    <t xml:space="preserve">D07.cost</t>
  </si>
  <si>
    <t xml:space="preserve">[2025 + US01,DE01 + Medical Devices] cost (dashboard engine, full precision)</t>
  </si>
  <si>
    <t xml:space="preserve">D07.res</t>
  </si>
  <si>
    <t xml:space="preserve">[2025 + US01,DE01 + Medical Devices] res (dashboard engine, full precision)</t>
  </si>
  <si>
    <t xml:space="preserve">D07.sec.REVENUE</t>
  </si>
  <si>
    <t xml:space="preserve">[2025 + US01,DE01 + Medical Devices] section total REVENUE</t>
  </si>
  <si>
    <t xml:space="preserve">D07.sec.COGS</t>
  </si>
  <si>
    <t xml:space="preserve">[2025 + US01,DE01 + Medical Devices] section total COGS</t>
  </si>
  <si>
    <t xml:space="preserve">D07.sec.PEOPLE</t>
  </si>
  <si>
    <t xml:space="preserve">[2025 + US01,DE01 + Medical Devices] section total PEOPLE</t>
  </si>
  <si>
    <t xml:space="preserve">D07.sec.OPEX</t>
  </si>
  <si>
    <t xml:space="preserve">[2025 + US01,DE01 + Medical Devices] section total OPEX</t>
  </si>
  <si>
    <t xml:space="preserve">D07.sec.D&amp;A</t>
  </si>
  <si>
    <t xml:space="preserve">[2025 + US01,DE01 + Medical Devices] section total D&amp;A</t>
  </si>
  <si>
    <t xml:space="preserve">D07.sec.BELOW_EBITDA</t>
  </si>
  <si>
    <t xml:space="preserve">[2025 + US01,DE01 + Medical Devices] section total BELOW_EBITDA</t>
  </si>
  <si>
    <t xml:space="preserve">D07.sec.TAX</t>
  </si>
  <si>
    <t xml:space="preserve">[2025 + US01,DE01 + Medical Devices] section total TAX</t>
  </si>
  <si>
    <t xml:space="preserve">D07.var.REVENUE</t>
  </si>
  <si>
    <t xml:space="preserve">[2025 + US01,DE01 + Medical Devices] budget variance REVENUE (lines, actual, budget, net, gross cell var, guarded %)</t>
  </si>
  <si>
    <t xml:space="preserve">{"n": 832, "act": 7356672.5045, "bud": 7397866.2746, "net": -41193.7701, "gross": 1636210.7091, "pct": -0.0056}</t>
  </si>
  <si>
    <t xml:space="preserve">{"n": 832, "act": 7356672.5045, "bud": 7397866.2746, "net": -41193.7701, "pct": -0.0056, "gross": 1636210.7091}</t>
  </si>
  <si>
    <t xml:space="preserve">D07.var.COGS</t>
  </si>
  <si>
    <t xml:space="preserve">[2025 + US01,DE01 + Medical Devices] budget variance COGS (lines, actual, budget, net, gross cell var, guarded %)</t>
  </si>
  <si>
    <t xml:space="preserve">{"n": 315, "act": 3555395.3076, "bud": 3520352.836, "net": 35042.4716, "gross": 582452.41, "pct": 0.01}</t>
  </si>
  <si>
    <t xml:space="preserve">{"n": 315, "act": 3555395.3076, "bud": 3520352.836, "net": 35042.4716, "pct": 0.01, "gross": 582452.41}</t>
  </si>
  <si>
    <t xml:space="preserve">D07.var.PEOPLE</t>
  </si>
  <si>
    <t xml:space="preserve">[2025 + US01,DE01 + Medical Devices] budget variance PEOPLE (lines, actual, budget, net, gross cell var, guarded %)</t>
  </si>
  <si>
    <t xml:space="preserve">{"n": 77, "act": 1076538.8098, "bud": 1150404.3222, "net": -73865.5124, "gross": 584731.0916, "pct": -0.0642}</t>
  </si>
  <si>
    <t xml:space="preserve">{"n": 77, "act": 1076538.8098, "bud": 1150404.3222, "net": -73865.5124, "pct": -0.0642, "gross": 584731.0916}</t>
  </si>
  <si>
    <t xml:space="preserve">D07.var.OPEX</t>
  </si>
  <si>
    <t xml:space="preserve">[2025 + US01,DE01 + Medical Devices] budget variance OPEX (lines, actual, budget, net, gross cell var, guarded %)</t>
  </si>
  <si>
    <t xml:space="preserve">{"n": 209, "act": 1365714.8119, "bud": 1528006.5317, "net": -162291.7198, "gross": 623924.973, "pct": -0.1062}</t>
  </si>
  <si>
    <t xml:space="preserve">{"n": 209, "act": 1365714.8119, "bud": 1528006.5317, "net": -162291.7198, "pct": -0.1062, "gross": 623924.973}</t>
  </si>
  <si>
    <t xml:space="preserve">D07.status</t>
  </si>
  <si>
    <t xml:space="preserve">[2025 + US01,DE01 + Medical Devices] journal-status diagnostic: lines, revenue, cost for Posted/Pending/Parked/Rejected/blank</t>
  </si>
  <si>
    <t xml:space="preserve">{"Posted": 1565, "Pending": 522, "Parked": 561, "Rejected": 551, "(blank)": 535}</t>
  </si>
  <si>
    <t xml:space="preserve">D07.dom.full</t>
  </si>
  <si>
    <t xml:space="preserve">[2025 + US01,DE01 + Medical Devices] DOM 'Full:' revenue (rounded to whole USD)</t>
  </si>
  <si>
    <t xml:space="preserve">D07.dom.rev</t>
  </si>
  <si>
    <t xml:space="preserve">[2025 + US01,DE01 + Medical Devices] DOM KPI card rev '$7.87M' (display precision)</t>
  </si>
  <si>
    <t xml:space="preserve">D07.dom.cost</t>
  </si>
  <si>
    <t xml:space="preserve">[2025 + US01,DE01 + Medical Devices] DOM KPI card cost '$6.39M' (display precision)</t>
  </si>
  <si>
    <t xml:space="preserve">D07.dom.res</t>
  </si>
  <si>
    <t xml:space="preserve">[2025 + US01,DE01 + Medical Devices] DOM KPI card res '$1.48M' (display precision)</t>
  </si>
  <si>
    <t xml:space="preserve">D07.dom.junk</t>
  </si>
  <si>
    <t xml:space="preserve">[2025 + US01,DE01 + Medical Devices] Overview text contains no NaN/undefined/Infinity</t>
  </si>
  <si>
    <t xml:space="preserve">D07.csv.rows</t>
  </si>
  <si>
    <t xml:space="preserve">[2025 + US01,DE01 + Medical Devices] CSV export: line count</t>
  </si>
  <si>
    <t xml:space="preserve">D07.csv.set</t>
  </si>
  <si>
    <t xml:space="preserve">[2025 + US01,DE01 + Medical Devices] CSV export: source_row_number set == reference set</t>
  </si>
  <si>
    <t xml:space="preserve">D07.csv.REVENUE</t>
  </si>
  <si>
    <t xml:space="preserve">[2025 + US01,DE01 + Medical Devices] CSV export: sum of actual_usd, REVENUE</t>
  </si>
  <si>
    <t xml:space="preserve">D07.csv.COGS</t>
  </si>
  <si>
    <t xml:space="preserve">[2025 + US01,DE01 + Medical Devices] CSV export: sum of actual_usd, COGS</t>
  </si>
  <si>
    <t xml:space="preserve">D07.csv.PEOPLE</t>
  </si>
  <si>
    <t xml:space="preserve">[2025 + US01,DE01 + Medical Devices] CSV export: sum of actual_usd, PEOPLE</t>
  </si>
  <si>
    <t xml:space="preserve">D07.csv.OPEX</t>
  </si>
  <si>
    <t xml:space="preserve">[2025 + US01,DE01 + Medical Devices] CSV export: sum of actual_usd, OPEX</t>
  </si>
  <si>
    <t xml:space="preserve">D08.n</t>
  </si>
  <si>
    <t xml:space="preserve">[single cost centre (first in list)] Posted lines in scope</t>
  </si>
  <si>
    <t xml:space="preserve">single cost centre (first in list) | state hook</t>
  </si>
  <si>
    <t xml:space="preserve">D08.rev</t>
  </si>
  <si>
    <t xml:space="preserve">[single cost centre (first in list)] rev (dashboard engine, full precision)</t>
  </si>
  <si>
    <t xml:space="preserve">D08.cost</t>
  </si>
  <si>
    <t xml:space="preserve">[single cost centre (first in list)] cost (dashboard engine, full precision)</t>
  </si>
  <si>
    <t xml:space="preserve">D08.res</t>
  </si>
  <si>
    <t xml:space="preserve">[single cost centre (first in list)] res (dashboard engine, full precision)</t>
  </si>
  <si>
    <t xml:space="preserve">D08.sec.REVENUE</t>
  </si>
  <si>
    <t xml:space="preserve">[single cost centre (first in list)] section total REVENUE</t>
  </si>
  <si>
    <t xml:space="preserve">D08.sec.COGS</t>
  </si>
  <si>
    <t xml:space="preserve">[single cost centre (first in list)] section total COGS</t>
  </si>
  <si>
    <t xml:space="preserve">D08.sec.PEOPLE</t>
  </si>
  <si>
    <t xml:space="preserve">[single cost centre (first in list)] section total PEOPLE</t>
  </si>
  <si>
    <t xml:space="preserve">D08.sec.OPEX</t>
  </si>
  <si>
    <t xml:space="preserve">[single cost centre (first in list)] section total OPEX</t>
  </si>
  <si>
    <t xml:space="preserve">D08.sec.D&amp;A</t>
  </si>
  <si>
    <t xml:space="preserve">[single cost centre (first in list)] section total D&amp;A</t>
  </si>
  <si>
    <t xml:space="preserve">D08.sec.BELOW_EBITDA</t>
  </si>
  <si>
    <t xml:space="preserve">[single cost centre (first in list)] section total BELOW_EBITDA</t>
  </si>
  <si>
    <t xml:space="preserve">D08.sec.TAX</t>
  </si>
  <si>
    <t xml:space="preserve">[single cost centre (first in list)] section total TAX</t>
  </si>
  <si>
    <t xml:space="preserve">D08.var.REVENUE</t>
  </si>
  <si>
    <t xml:space="preserve">[single cost centre (first in list)] budget variance REVENUE (lines, actual, budget, net, gross cell var, guarded %)</t>
  </si>
  <si>
    <t xml:space="preserve">D08.var.COGS</t>
  </si>
  <si>
    <t xml:space="preserve">[single cost centre (first in list)] budget variance COGS (lines, actual, budget, net, gross cell var, guarded %)</t>
  </si>
  <si>
    <t xml:space="preserve">{"n": 3557, "act": 28353088.8308, "bud": 26920254.9024, "net": 1432833.9284, "gross": 7186679.7794, "pct": 0.0532}</t>
  </si>
  <si>
    <t xml:space="preserve">{"n": 3557, "act": 28353088.8308, "bud": 26920254.9024, "net": 1432833.9284, "pct": 0.0532, "gross": 7186679.7794}</t>
  </si>
  <si>
    <t xml:space="preserve">D08.var.PEOPLE</t>
  </si>
  <si>
    <t xml:space="preserve">[single cost centre (first in list)] budget variance PEOPLE (lines, actual, budget, net, gross cell var, guarded %)</t>
  </si>
  <si>
    <t xml:space="preserve">{"n": 578, "act": 6529648.1974, "bud": 7633802.3702, "net": -1104154.1728, "gross": 3164239.0254, "pct": -0.1446}</t>
  </si>
  <si>
    <t xml:space="preserve">{"n": 578, "act": 6529648.1974, "bud": 7633802.3702, "net": -1104154.1728, "pct": -0.1446, "gross": 3164239.0254}</t>
  </si>
  <si>
    <t xml:space="preserve">D08.var.OPEX</t>
  </si>
  <si>
    <t xml:space="preserve">[single cost centre (first in list)] budget variance OPEX (lines, actual, budget, net, gross cell var, guarded %)</t>
  </si>
  <si>
    <t xml:space="preserve">D08.status</t>
  </si>
  <si>
    <t xml:space="preserve">[single cost centre (first in list)] journal-status diagnostic: lines, revenue, cost for Posted/Pending/Parked/Rejected/blank</t>
  </si>
  <si>
    <t xml:space="preserve">{"Posted": 4561, "Pending": 1545, "Parked": 1495, "Rejected": 1572, "(blank)": 1528}</t>
  </si>
  <si>
    <t xml:space="preserve">D08.dom.full</t>
  </si>
  <si>
    <t xml:space="preserve">[single cost centre (first in list)] DOM 'Full:' revenue (rounded to whole USD)</t>
  </si>
  <si>
    <t xml:space="preserve">D08.dom.rev</t>
  </si>
  <si>
    <t xml:space="preserve">[single cost centre (first in list)] DOM KPI card rev '$0' (display precision)</t>
  </si>
  <si>
    <t xml:space="preserve">D08.dom.cost</t>
  </si>
  <si>
    <t xml:space="preserve">[single cost centre (first in list)] DOM KPI card cost '$36.97M' (display precision)</t>
  </si>
  <si>
    <t xml:space="preserve">D08.dom.res</t>
  </si>
  <si>
    <t xml:space="preserve">[single cost centre (first in list)] DOM KPI card res '−$36.97M' (display precision)</t>
  </si>
  <si>
    <t xml:space="preserve">D08.dom.junk</t>
  </si>
  <si>
    <t xml:space="preserve">[single cost centre (first in list)] Overview text contains no NaN/undefined/Infinity</t>
  </si>
  <si>
    <t xml:space="preserve">D08.csv.rows</t>
  </si>
  <si>
    <t xml:space="preserve">[single cost centre (first in list)] CSV export: line count</t>
  </si>
  <si>
    <t xml:space="preserve">D08.csv.set</t>
  </si>
  <si>
    <t xml:space="preserve">[single cost centre (first in list)] CSV export: source_row_number set == reference set</t>
  </si>
  <si>
    <t xml:space="preserve">D08.csv.REVENUE</t>
  </si>
  <si>
    <t xml:space="preserve">[single cost centre (first in list)] CSV export: sum of actual_usd, REVENUE</t>
  </si>
  <si>
    <t xml:space="preserve">D08.csv.COGS</t>
  </si>
  <si>
    <t xml:space="preserve">[single cost centre (first in list)] CSV export: sum of actual_usd, COGS</t>
  </si>
  <si>
    <t xml:space="preserve">D08.csv.PEOPLE</t>
  </si>
  <si>
    <t xml:space="preserve">[single cost centre (first in list)] CSV export: sum of actual_usd, PEOPLE</t>
  </si>
  <si>
    <t xml:space="preserve">D08.csv.OPEX</t>
  </si>
  <si>
    <t xml:space="preserve">[single cost centre (first in list)] CSV export: sum of actual_usd, OPEX</t>
  </si>
  <si>
    <t xml:space="preserve">D09.n</t>
  </si>
  <si>
    <t xml:space="preserve">[GL 4190 discounts only] Posted lines in scope</t>
  </si>
  <si>
    <t xml:space="preserve">GL 4190 discounts only | state hook</t>
  </si>
  <si>
    <t xml:space="preserve">D09.rev</t>
  </si>
  <si>
    <t xml:space="preserve">[GL 4190 discounts only] rev (dashboard engine, full precision)</t>
  </si>
  <si>
    <t xml:space="preserve">D09.cost</t>
  </si>
  <si>
    <t xml:space="preserve">[GL 4190 discounts only] cost (dashboard engine, full precision)</t>
  </si>
  <si>
    <t xml:space="preserve">D09.res</t>
  </si>
  <si>
    <t xml:space="preserve">[GL 4190 discounts only] res (dashboard engine, full precision)</t>
  </si>
  <si>
    <t xml:space="preserve">D09.sec.REVENUE</t>
  </si>
  <si>
    <t xml:space="preserve">[GL 4190 discounts only] section total REVENUE</t>
  </si>
  <si>
    <t xml:space="preserve">D09.sec.COGS</t>
  </si>
  <si>
    <t xml:space="preserve">[GL 4190 discounts only] section total COGS</t>
  </si>
  <si>
    <t xml:space="preserve">D09.sec.PEOPLE</t>
  </si>
  <si>
    <t xml:space="preserve">[GL 4190 discounts only] section total PEOPLE</t>
  </si>
  <si>
    <t xml:space="preserve">D09.sec.OPEX</t>
  </si>
  <si>
    <t xml:space="preserve">[GL 4190 discounts only] section total OPEX</t>
  </si>
  <si>
    <t xml:space="preserve">D09.sec.D&amp;A</t>
  </si>
  <si>
    <t xml:space="preserve">[GL 4190 discounts only] section total D&amp;A</t>
  </si>
  <si>
    <t xml:space="preserve">D09.sec.BELOW_EBITDA</t>
  </si>
  <si>
    <t xml:space="preserve">[GL 4190 discounts only] section total BELOW_EBITDA</t>
  </si>
  <si>
    <t xml:space="preserve">D09.sec.TAX</t>
  </si>
  <si>
    <t xml:space="preserve">[GL 4190 discounts only] section total TAX</t>
  </si>
  <si>
    <t xml:space="preserve">D09.var.REVENUE</t>
  </si>
  <si>
    <t xml:space="preserve">[GL 4190 discounts only] budget variance REVENUE (lines, actual, budget, net, gross cell var, guarded %)</t>
  </si>
  <si>
    <t xml:space="preserve">{"n": 10185, "act": -2404778.9334, "bud": -2493861.808, "net": 89082.8746, "gross": 983170.5404, "pct": 0.0357}</t>
  </si>
  <si>
    <t xml:space="preserve">{"n": 10185, "act": -2404778.9334, "bud": -2493861.808, "net": 89082.8746, "pct": 0.0357, "gross": 983170.5404}</t>
  </si>
  <si>
    <t xml:space="preserve">D09.var.COGS</t>
  </si>
  <si>
    <t xml:space="preserve">[GL 4190 discounts only] budget variance COGS (lines, actual, budget, net, gross cell var, guarded %)</t>
  </si>
  <si>
    <t xml:space="preserve">D09.var.PEOPLE</t>
  </si>
  <si>
    <t xml:space="preserve">[GL 4190 discounts only] budget variance PEOPLE (lines, actual, budget, net, gross cell var, guarded %)</t>
  </si>
  <si>
    <t xml:space="preserve">D09.var.OPEX</t>
  </si>
  <si>
    <t xml:space="preserve">[GL 4190 discounts only] budget variance OPEX (lines, actual, budget, net, gross cell var, guarded %)</t>
  </si>
  <si>
    <t xml:space="preserve">D09.status</t>
  </si>
  <si>
    <t xml:space="preserve">[GL 4190 discounts only] journal-status diagnostic: lines, revenue, cost for Posted/Pending/Parked/Rejected/blank</t>
  </si>
  <si>
    <t xml:space="preserve">{"Posted": 10820, "Pending": 3689, "Parked": 3471, "Rejected": 3622, "(blank)": 3599}</t>
  </si>
  <si>
    <t xml:space="preserve">D09.dom.full</t>
  </si>
  <si>
    <t xml:space="preserve">[GL 4190 discounts only] DOM 'Full:' revenue (rounded to whole USD)</t>
  </si>
  <si>
    <t xml:space="preserve">D09.dom.rev</t>
  </si>
  <si>
    <t xml:space="preserve">[GL 4190 discounts only] DOM KPI card rev '−$2.53M' (display precision)</t>
  </si>
  <si>
    <t xml:space="preserve">D09.dom.cost</t>
  </si>
  <si>
    <t xml:space="preserve">[GL 4190 discounts only] DOM KPI card cost '$0' (display precision)</t>
  </si>
  <si>
    <t xml:space="preserve">D09.dom.res</t>
  </si>
  <si>
    <t xml:space="preserve">[GL 4190 discounts only] DOM KPI card res '−$2.53M' (display precision)</t>
  </si>
  <si>
    <t xml:space="preserve">D09.dom.junk</t>
  </si>
  <si>
    <t xml:space="preserve">[GL 4190 discounts only] Overview text contains no NaN/undefined/Infinity</t>
  </si>
  <si>
    <t xml:space="preserve">D09.csv.rows</t>
  </si>
  <si>
    <t xml:space="preserve">[GL 4190 discounts only] CSV export: line count</t>
  </si>
  <si>
    <t xml:space="preserve">D09.csv.set</t>
  </si>
  <si>
    <t xml:space="preserve">[GL 4190 discounts only] CSV export: source_row_number set == reference set</t>
  </si>
  <si>
    <t xml:space="preserve">D09.csv.REVENUE</t>
  </si>
  <si>
    <t xml:space="preserve">[GL 4190 discounts only] CSV export: sum of actual_usd, REVENUE</t>
  </si>
  <si>
    <t xml:space="preserve">D09.csv.COGS</t>
  </si>
  <si>
    <t xml:space="preserve">[GL 4190 discounts only] CSV export: sum of actual_usd, COGS</t>
  </si>
  <si>
    <t xml:space="preserve">D09.csv.PEOPLE</t>
  </si>
  <si>
    <t xml:space="preserve">[GL 4190 discounts only] CSV export: sum of actual_usd, PEOPLE</t>
  </si>
  <si>
    <t xml:space="preserve">D09.csv.OPEX</t>
  </si>
  <si>
    <t xml:space="preserve">[GL 4190 discounts only] CSV export: sum of actual_usd, OPEX</t>
  </si>
  <si>
    <t xml:space="preserve">D10.n</t>
  </si>
  <si>
    <t xml:space="preserve">[Q1 only, months 6..20] Posted lines in scope</t>
  </si>
  <si>
    <t xml:space="preserve">Q1 only, months 6..20 | state hook</t>
  </si>
  <si>
    <t xml:space="preserve">D10.rev</t>
  </si>
  <si>
    <t xml:space="preserve">[Q1 only, months 6..20] rev (dashboard engine, full precision)</t>
  </si>
  <si>
    <t xml:space="preserve">D10.cost</t>
  </si>
  <si>
    <t xml:space="preserve">[Q1 only, months 6..20] cost (dashboard engine, full precision)</t>
  </si>
  <si>
    <t xml:space="preserve">D10.res</t>
  </si>
  <si>
    <t xml:space="preserve">[Q1 only, months 6..20] res (dashboard engine, full precision)</t>
  </si>
  <si>
    <t xml:space="preserve">D10.sec.REVENUE</t>
  </si>
  <si>
    <t xml:space="preserve">[Q1 only, months 6..20] section total REVENUE</t>
  </si>
  <si>
    <t xml:space="preserve">D10.sec.COGS</t>
  </si>
  <si>
    <t xml:space="preserve">[Q1 only, months 6..20] section total COGS</t>
  </si>
  <si>
    <t xml:space="preserve">D10.sec.PEOPLE</t>
  </si>
  <si>
    <t xml:space="preserve">[Q1 only, months 6..20] section total PEOPLE</t>
  </si>
  <si>
    <t xml:space="preserve">D10.sec.OPEX</t>
  </si>
  <si>
    <t xml:space="preserve">[Q1 only, months 6..20] section total OPEX</t>
  </si>
  <si>
    <t xml:space="preserve">D10.sec.D&amp;A</t>
  </si>
  <si>
    <t xml:space="preserve">[Q1 only, months 6..20] section total D&amp;A</t>
  </si>
  <si>
    <t xml:space="preserve">D10.sec.BELOW_EBITDA</t>
  </si>
  <si>
    <t xml:space="preserve">[Q1 only, months 6..20] section total BELOW_EBITDA</t>
  </si>
  <si>
    <t xml:space="preserve">D10.sec.TAX</t>
  </si>
  <si>
    <t xml:space="preserve">[Q1 only, months 6..20] section total TAX</t>
  </si>
  <si>
    <t xml:space="preserve">D10.var.REVENUE</t>
  </si>
  <si>
    <t xml:space="preserve">[Q1 only, months 6..20] budget variance REVENUE (lines, actual, budget, net, gross cell var, guarded %)</t>
  </si>
  <si>
    <t xml:space="preserve">{"n": 2521, "act": 15489651.2875, "bud": 16033558.351, "net": -543907.0635, "gross": 2655991.1679, "pct": -0.0339}</t>
  </si>
  <si>
    <t xml:space="preserve">{"n": 2521, "act": 15489651.2875, "bud": 16033558.351, "net": -543907.0635, "pct": -0.0339, "gross": 2655991.1679}</t>
  </si>
  <si>
    <t xml:space="preserve">D10.var.COGS</t>
  </si>
  <si>
    <t xml:space="preserve">[Q1 only, months 6..20] budget variance COGS (lines, actual, budget, net, gross cell var, guarded %)</t>
  </si>
  <si>
    <t xml:space="preserve">{"n": 961, "act": 6237043.2728, "bud": 6813742.5661, "net": -576699.2933, "gross": 1723714.5971, "pct": -0.0846}</t>
  </si>
  <si>
    <t xml:space="preserve">{"n": 961, "act": 6237043.2728, "bud": 6813742.5661, "net": -576699.2933, "pct": -0.0846, "gross": 1723714.5971}</t>
  </si>
  <si>
    <t xml:space="preserve">D10.var.PEOPLE</t>
  </si>
  <si>
    <t xml:space="preserve">[Q1 only, months 6..20] budget variance PEOPLE (lines, actual, budget, net, gross cell var, guarded %)</t>
  </si>
  <si>
    <t xml:space="preserve">{"n": 272, "act": 2941640.1102, "bud": 2824824.3714, "net": 116815.7388, "gross": 737380.411, "pct": 0.0414}</t>
  </si>
  <si>
    <t xml:space="preserve">{"n": 272, "act": 2941640.1102, "bud": 2824824.3714, "net": 116815.7388, "pct": 0.0414, "gross": 737380.411}</t>
  </si>
  <si>
    <t xml:space="preserve">D10.var.OPEX</t>
  </si>
  <si>
    <t xml:space="preserve">[Q1 only, months 6..20] budget variance OPEX (lines, actual, budget, net, gross cell var, guarded %)</t>
  </si>
  <si>
    <t xml:space="preserve">{"n": 721, "act": 3459613.8812, "bud": 3070821.3401, "net": 388792.5411, "gross": 1081522.9217, "pct": 0.1266}</t>
  </si>
  <si>
    <t xml:space="preserve">{"n": 721, "act": 3459613.8812, "bud": 3070821.3401, "net": 388792.5411, "pct": 0.1266, "gross": 1081522.9217}</t>
  </si>
  <si>
    <t xml:space="preserve">D10.status</t>
  </si>
  <si>
    <t xml:space="preserve">[Q1 only, months 6..20] journal-status diagnostic: lines, revenue, cost for Posted/Pending/Parked/Rejected/blank</t>
  </si>
  <si>
    <t xml:space="preserve">{"Posted": 4867, "Pending": 1655, "Parked": 1609, "Rejected": 1585, "(blank)": 1609}</t>
  </si>
  <si>
    <t xml:space="preserve">D10.dom.full</t>
  </si>
  <si>
    <t xml:space="preserve">[Q1 only, months 6..20] DOM 'Full:' revenue (rounded to whole USD)</t>
  </si>
  <si>
    <t xml:space="preserve">D10.dom.rev</t>
  </si>
  <si>
    <t xml:space="preserve">[Q1 only, months 6..20] DOM KPI card rev '$16.35M' (display precision)</t>
  </si>
  <si>
    <t xml:space="preserve">D10.dom.cost</t>
  </si>
  <si>
    <t xml:space="preserve">[Q1 only, months 6..20] DOM KPI card cost '$13.61M' (display precision)</t>
  </si>
  <si>
    <t xml:space="preserve">D10.dom.res</t>
  </si>
  <si>
    <t xml:space="preserve">[Q1 only, months 6..20] DOM KPI card res '$2.74M' (display precision)</t>
  </si>
  <si>
    <t xml:space="preserve">D10.dom.junk</t>
  </si>
  <si>
    <t xml:space="preserve">[Q1 only, months 6..20] Overview text contains no NaN/undefined/Infinity</t>
  </si>
  <si>
    <t xml:space="preserve">D10.csv.rows</t>
  </si>
  <si>
    <t xml:space="preserve">[Q1 only, months 6..20] CSV export: line count</t>
  </si>
  <si>
    <t xml:space="preserve">D10.csv.set</t>
  </si>
  <si>
    <t xml:space="preserve">[Q1 only, months 6..20] CSV export: source_row_number set == reference set</t>
  </si>
  <si>
    <t xml:space="preserve">D10.csv.REVENUE</t>
  </si>
  <si>
    <t xml:space="preserve">[Q1 only, months 6..20] CSV export: sum of actual_usd, REVENUE</t>
  </si>
  <si>
    <t xml:space="preserve">D10.csv.COGS</t>
  </si>
  <si>
    <t xml:space="preserve">[Q1 only, months 6..20] CSV export: sum of actual_usd, COGS</t>
  </si>
  <si>
    <t xml:space="preserve">D10.csv.PEOPLE</t>
  </si>
  <si>
    <t xml:space="preserve">[Q1 only, months 6..20] CSV export: sum of actual_usd, PEOPLE</t>
  </si>
  <si>
    <t xml:space="preserve">D10.csv.OPEX</t>
  </si>
  <si>
    <t xml:space="preserve">[Q1 only, months 6..20] CSV export: sum of actual_usd, OPEX</t>
  </si>
  <si>
    <t xml:space="preserve">D11.n</t>
  </si>
  <si>
    <t xml:space="preserve">[scale HIGH + duplicates EXCL_ALL + sign NONNEG] Posted lines in scope</t>
  </si>
  <si>
    <t xml:space="preserve">scale HIGH + duplicates EXCL_ALL + sign NONNEG | state hook</t>
  </si>
  <si>
    <t xml:space="preserve">D11.rev</t>
  </si>
  <si>
    <t xml:space="preserve">[scale HIGH + duplicates EXCL_ALL + sign NONNEG] rev (dashboard engine, full precision)</t>
  </si>
  <si>
    <t xml:space="preserve">D11.cost</t>
  </si>
  <si>
    <t xml:space="preserve">[scale HIGH + duplicates EXCL_ALL + sign NONNEG] cost (dashboard engine, full precision)</t>
  </si>
  <si>
    <t xml:space="preserve">D11.res</t>
  </si>
  <si>
    <t xml:space="preserve">[scale HIGH + duplicates EXCL_ALL + sign NONNEG] res (dashboard engine, full precision)</t>
  </si>
  <si>
    <t xml:space="preserve">D11.sec.REVENUE</t>
  </si>
  <si>
    <t xml:space="preserve">[scale HIGH + duplicates EXCL_ALL + sign NONNEG] section total REVENUE</t>
  </si>
  <si>
    <t xml:space="preserve">D11.sec.COGS</t>
  </si>
  <si>
    <t xml:space="preserve">[scale HIGH + duplicates EXCL_ALL + sign NONNEG] section total COGS</t>
  </si>
  <si>
    <t xml:space="preserve">D11.sec.PEOPLE</t>
  </si>
  <si>
    <t xml:space="preserve">[scale HIGH + duplicates EXCL_ALL + sign NONNEG] section total PEOPLE</t>
  </si>
  <si>
    <t xml:space="preserve">D11.sec.OPEX</t>
  </si>
  <si>
    <t xml:space="preserve">[scale HIGH + duplicates EXCL_ALL + sign NONNEG] section total OPEX</t>
  </si>
  <si>
    <t xml:space="preserve">D11.sec.D&amp;A</t>
  </si>
  <si>
    <t xml:space="preserve">[scale HIGH + duplicates EXCL_ALL + sign NONNEG] section total D&amp;A</t>
  </si>
  <si>
    <t xml:space="preserve">D11.sec.BELOW_EBITDA</t>
  </si>
  <si>
    <t xml:space="preserve">[scale HIGH + duplicates EXCL_ALL + sign NONNEG] section total BELOW_EBITDA</t>
  </si>
  <si>
    <t xml:space="preserve">D11.sec.TAX</t>
  </si>
  <si>
    <t xml:space="preserve">[scale HIGH + duplicates EXCL_ALL + sign NONNEG] section total TAX</t>
  </si>
  <si>
    <t xml:space="preserve">D11.var.REVENUE</t>
  </si>
  <si>
    <t xml:space="preserve">[scale HIGH + duplicates EXCL_ALL + sign NONNEG] budget variance REVENUE (lines, actual, budget, net, gross cell var, guarded %)</t>
  </si>
  <si>
    <t xml:space="preserve">{"n": 17597, "act": 158646556.0487, "bud": 164091301.7878, "net": -5444745.7391, "gross": 5668978.4751, "pct": -0.0332}</t>
  </si>
  <si>
    <t xml:space="preserve">{"n": 17597, "act": 158646556.0487, "bud": 164091301.7878, "net": -5444745.7391, "pct": -0.0332, "gross": 5668978.4751}</t>
  </si>
  <si>
    <t xml:space="preserve">D11.var.COGS</t>
  </si>
  <si>
    <t xml:space="preserve">[scale HIGH + duplicates EXCL_ALL + sign NONNEG] budget variance COGS (lines, actual, budget, net, gross cell var, guarded %)</t>
  </si>
  <si>
    <t xml:space="preserve">{"n": 7425, "act": 77708489.4966, "bud": 73022128.6847, "net": 4686360.8119, "gross": 4686360.8119, "pct": 0.0642}</t>
  </si>
  <si>
    <t xml:space="preserve">{"n": 7425, "act": 77708489.4966, "bud": 73022128.6847, "net": 4686360.8119, "pct": 0.0642, "gross": 4686360.8119}</t>
  </si>
  <si>
    <t xml:space="preserve">D11.var.PEOPLE</t>
  </si>
  <si>
    <t xml:space="preserve">[scale HIGH + duplicates EXCL_ALL + sign NONNEG] budget variance PEOPLE (lines, actual, budget, net, gross cell var, guarded %)</t>
  </si>
  <si>
    <t xml:space="preserve">{"n": 2014, "act": 31689321.0725, "bud": 29763364.613, "net": 1925956.4595, "gross": 1925956.4595, "pct": 0.0647}</t>
  </si>
  <si>
    <t xml:space="preserve">{"n": 2014, "act": 31689321.0725, "bud": 29763364.613, "net": 1925956.4595, "pct": 0.0647, "gross": 1925956.4595}</t>
  </si>
  <si>
    <t xml:space="preserve">D11.var.OPEX</t>
  </si>
  <si>
    <t xml:space="preserve">[scale HIGH + duplicates EXCL_ALL + sign NONNEG] budget variance OPEX (lines, actual, budget, net, gross cell var, guarded %)</t>
  </si>
  <si>
    <t xml:space="preserve">{"n": 5260, "act": 35813838.5145, "bud": 33661299.2975, "net": 2152539.217, "gross": 2152539.437, "pct": 0.0639}</t>
  </si>
  <si>
    <t xml:space="preserve">{"n": 5260, "act": 35813838.5145, "bud": 33661299.2975, "net": 2152539.217, "pct": 0.0639, "gross": 2152539.437}</t>
  </si>
  <si>
    <t xml:space="preserve">D11.status</t>
  </si>
  <si>
    <t xml:space="preserve">[scale HIGH + duplicates EXCL_ALL + sign NONNEG] journal-status diagnostic: lines, revenue, cost for Posted/Pending/Parked/Rejected/blank</t>
  </si>
  <si>
    <t xml:space="preserve">{"Posted": 35159, "Pending": 11659, "Parked": 11348, "Rejected": 11297, "(blank)": 11328}</t>
  </si>
  <si>
    <t xml:space="preserve">D11.dom.full</t>
  </si>
  <si>
    <t xml:space="preserve">[scale HIGH + duplicates EXCL_ALL + sign NONNEG] DOM 'Full:' revenue (rounded to whole USD)</t>
  </si>
  <si>
    <t xml:space="preserve">D11.dom.rev</t>
  </si>
  <si>
    <t xml:space="preserve">[scale HIGH + duplicates EXCL_ALL + sign NONNEG] DOM KPI card rev '$168.54M' (display precision)</t>
  </si>
  <si>
    <t xml:space="preserve">D11.dom.cost</t>
  </si>
  <si>
    <t xml:space="preserve">[scale HIGH + duplicates EXCL_ALL + sign NONNEG] DOM KPI card cost '$154.26M' (display precision)</t>
  </si>
  <si>
    <t xml:space="preserve">D11.dom.res</t>
  </si>
  <si>
    <t xml:space="preserve">[scale HIGH + duplicates EXCL_ALL + sign NONNEG] DOM KPI card res '$14.28M' (display precision)</t>
  </si>
  <si>
    <t xml:space="preserve">D11.dom.junk</t>
  </si>
  <si>
    <t xml:space="preserve">[scale HIGH + duplicates EXCL_ALL + sign NONNEG] Overview text contains no NaN/undefined/Infinity</t>
  </si>
  <si>
    <t xml:space="preserve">D11.csv.rows</t>
  </si>
  <si>
    <t xml:space="preserve">[scale HIGH + duplicates EXCL_ALL + sign NONNEG] CSV export: line count</t>
  </si>
  <si>
    <t xml:space="preserve">D11.csv.set</t>
  </si>
  <si>
    <t xml:space="preserve">[scale HIGH + duplicates EXCL_ALL + sign NONNEG] CSV export: source_row_number set == reference set</t>
  </si>
  <si>
    <t xml:space="preserve">D11.csv.REVENUE</t>
  </si>
  <si>
    <t xml:space="preserve">[scale HIGH + duplicates EXCL_ALL + sign NONNEG] CSV export: sum of actual_usd, REVENUE</t>
  </si>
  <si>
    <t xml:space="preserve">D11.csv.COGS</t>
  </si>
  <si>
    <t xml:space="preserve">[scale HIGH + duplicates EXCL_ALL + sign NONNEG] CSV export: sum of actual_usd, COGS</t>
  </si>
  <si>
    <t xml:space="preserve">D11.csv.PEOPLE</t>
  </si>
  <si>
    <t xml:space="preserve">[scale HIGH + duplicates EXCL_ALL + sign NONNEG] CSV export: sum of actual_usd, PEOPLE</t>
  </si>
  <si>
    <t xml:space="preserve">D11.csv.OPEX</t>
  </si>
  <si>
    <t xml:space="preserve">[scale HIGH + duplicates EXCL_ALL + sign NONNEG] CSV export: sum of actual_usd, OPEX</t>
  </si>
  <si>
    <t xml:space="preserve">D12.n</t>
  </si>
  <si>
    <t xml:space="preserve">[scale EXCL_MED + dup EXCL_SAME + sign EXCL_FLIP + same-sign variance] Posted lines in scope</t>
  </si>
  <si>
    <t xml:space="preserve">scale EXCL_MED + dup EXCL_SAME + sign EXCL_FLIP + same-sign variance | state hook</t>
  </si>
  <si>
    <t xml:space="preserve">D12.rev</t>
  </si>
  <si>
    <t xml:space="preserve">[scale EXCL_MED + dup EXCL_SAME + sign EXCL_FLIP + same-sign variance] rev (dashboard engine, full precision)</t>
  </si>
  <si>
    <t xml:space="preserve">D12.cost</t>
  </si>
  <si>
    <t xml:space="preserve">[scale EXCL_MED + dup EXCL_SAME + sign EXCL_FLIP + same-sign variance] cost (dashboard engine, full precision)</t>
  </si>
  <si>
    <t xml:space="preserve">D12.res</t>
  </si>
  <si>
    <t xml:space="preserve">[scale EXCL_MED + dup EXCL_SAME + sign EXCL_FLIP + same-sign variance] res (dashboard engine, full precision)</t>
  </si>
  <si>
    <t xml:space="preserve">D12.sec.REVENUE</t>
  </si>
  <si>
    <t xml:space="preserve">[scale EXCL_MED + dup EXCL_SAME + sign EXCL_FLIP + same-sign variance] section total REVENUE</t>
  </si>
  <si>
    <t xml:space="preserve">D12.sec.COGS</t>
  </si>
  <si>
    <t xml:space="preserve">[scale EXCL_MED + dup EXCL_SAME + sign EXCL_FLIP + same-sign variance] section total COGS</t>
  </si>
  <si>
    <t xml:space="preserve">D12.sec.PEOPLE</t>
  </si>
  <si>
    <t xml:space="preserve">[scale EXCL_MED + dup EXCL_SAME + sign EXCL_FLIP + same-sign variance] section total PEOPLE</t>
  </si>
  <si>
    <t xml:space="preserve">D12.sec.OPEX</t>
  </si>
  <si>
    <t xml:space="preserve">[scale EXCL_MED + dup EXCL_SAME + sign EXCL_FLIP + same-sign variance] section total OPEX</t>
  </si>
  <si>
    <t xml:space="preserve">D12.sec.D&amp;A</t>
  </si>
  <si>
    <t xml:space="preserve">[scale EXCL_MED + dup EXCL_SAME + sign EXCL_FLIP + same-sign variance] section total D&amp;A</t>
  </si>
  <si>
    <t xml:space="preserve">D12.sec.BELOW_EBITDA</t>
  </si>
  <si>
    <t xml:space="preserve">[scale EXCL_MED + dup EXCL_SAME + sign EXCL_FLIP + same-sign variance] section total BELOW_EBITDA</t>
  </si>
  <si>
    <t xml:space="preserve">D12.sec.TAX</t>
  </si>
  <si>
    <t xml:space="preserve">[scale EXCL_MED + dup EXCL_SAME + sign EXCL_FLIP + same-sign variance] section total TAX</t>
  </si>
  <si>
    <t xml:space="preserve">D12.var.REVENUE</t>
  </si>
  <si>
    <t xml:space="preserve">[scale EXCL_MED + dup EXCL_SAME + sign EXCL_FLIP + same-sign variance] budget variance REVENUE (lines, actual, budget, net, gross cell var, guarded %)</t>
  </si>
  <si>
    <t xml:space="preserve">{"n": 22873, "act": 152940142.3232, "bud": 158676472.8015, "net": -5736330.4783, "gross": 5780688.0697, "pct": -0.0362}</t>
  </si>
  <si>
    <t xml:space="preserve">{"n": 22873, "act": 152940142.3232, "bud": 158676472.8015, "net": -5736330.4783, "pct": -0.0362, "gross": 5780688.0697}</t>
  </si>
  <si>
    <t xml:space="preserve">D12.var.COGS</t>
  </si>
  <si>
    <t xml:space="preserve">[scale EXCL_MED + dup EXCL_SAME + sign EXCL_FLIP + same-sign variance] budget variance COGS (lines, actual, budget, net, gross cell var, guarded %)</t>
  </si>
  <si>
    <t xml:space="preserve">{"n": 8404, "act": 70389899.1481, "bud": 66131084.228, "net": 4258814.9201, "gross": 4452834.4591, "pct": 0.0644}</t>
  </si>
  <si>
    <t xml:space="preserve">{"n": 8404, "act": 70389899.1481, "bud": 66131084.228, "net": 4258814.9201, "pct": 0.0644, "gross": 4452834.4591}</t>
  </si>
  <si>
    <t xml:space="preserve">D12.var.PEOPLE</t>
  </si>
  <si>
    <t xml:space="preserve">[scale EXCL_MED + dup EXCL_SAME + sign EXCL_FLIP + same-sign variance] budget variance PEOPLE (lines, actual, budget, net, gross cell var, guarded %)</t>
  </si>
  <si>
    <t xml:space="preserve">{"n": 2157, "act": 28809487.0959, "bud": 27077676.9072, "net": 1731810.1887, "gross": 1802052.9675, "pct": 0.064}</t>
  </si>
  <si>
    <t xml:space="preserve">{"n": 2157, "act": 28809487.0959, "bud": 27077676.9072, "net": 1731810.1887, "pct": 0.064, "gross": 1802052.9675}</t>
  </si>
  <si>
    <t xml:space="preserve">D12.var.OPEX</t>
  </si>
  <si>
    <t xml:space="preserve">[scale EXCL_MED + dup EXCL_SAME + sign EXCL_FLIP + same-sign variance] budget variance OPEX (lines, actual, budget, net, gross cell var, guarded %)</t>
  </si>
  <si>
    <t xml:space="preserve">{"n": 5757, "act": 32210385.3906, "bud": 30280073.5587, "net": 1930311.8319, "gross": 2035332.3681, "pct": 0.0637}</t>
  </si>
  <si>
    <t xml:space="preserve">{"n": 5757, "act": 32210385.3906, "bud": 30280073.5587, "net": 1930311.8319, "pct": 0.0637, "gross": 2035332.3681}</t>
  </si>
  <si>
    <t xml:space="preserve">D12.status</t>
  </si>
  <si>
    <t xml:space="preserve">[scale EXCL_MED + dup EXCL_SAME + sign EXCL_FLIP + same-sign variance] journal-status diagnostic: lines, revenue, cost for Posted/Pending/Parked/Rejected/blank</t>
  </si>
  <si>
    <t xml:space="preserve">{"Posted": 43992, "Pending": 14666, "Parked": 14253, "Rejected": 14225, "(blank)": 14379}</t>
  </si>
  <si>
    <t xml:space="preserve">D12.dom.full</t>
  </si>
  <si>
    <t xml:space="preserve">[scale EXCL_MED + dup EXCL_SAME + sign EXCL_FLIP + same-sign variance] DOM 'Full:' revenue (rounded to whole USD)</t>
  </si>
  <si>
    <t xml:space="preserve">D12.dom.rev</t>
  </si>
  <si>
    <t xml:space="preserve">[scale EXCL_MED + dup EXCL_SAME + sign EXCL_FLIP + same-sign variance] DOM KPI card rev '$161.79M' (display precision)</t>
  </si>
  <si>
    <t xml:space="preserve">D12.dom.cost</t>
  </si>
  <si>
    <t xml:space="preserve">[scale EXCL_MED + dup EXCL_SAME + sign EXCL_FLIP + same-sign variance] DOM KPI card cost '$139.44M' (display precision)</t>
  </si>
  <si>
    <t xml:space="preserve">D12.dom.res</t>
  </si>
  <si>
    <t xml:space="preserve">[scale EXCL_MED + dup EXCL_SAME + sign EXCL_FLIP + same-sign variance] DOM KPI card res '$22.36M' (display precision)</t>
  </si>
  <si>
    <t xml:space="preserve">D12.dom.junk</t>
  </si>
  <si>
    <t xml:space="preserve">[scale EXCL_MED + dup EXCL_SAME + sign EXCL_FLIP + same-sign variance] Overview text contains no NaN/undefined/Infinity</t>
  </si>
  <si>
    <t xml:space="preserve">D12.csv.rows</t>
  </si>
  <si>
    <t xml:space="preserve">[scale EXCL_MED + dup EXCL_SAME + sign EXCL_FLIP + same-sign variance] CSV export: line count</t>
  </si>
  <si>
    <t xml:space="preserve">D12.csv.set</t>
  </si>
  <si>
    <t xml:space="preserve">[scale EXCL_MED + dup EXCL_SAME + sign EXCL_FLIP + same-sign variance] CSV export: source_row_number set == reference set</t>
  </si>
  <si>
    <t xml:space="preserve">D12.csv.REVENUE</t>
  </si>
  <si>
    <t xml:space="preserve">[scale EXCL_MED + dup EXCL_SAME + sign EXCL_FLIP + same-sign variance] CSV export: sum of actual_usd, REVENUE</t>
  </si>
  <si>
    <t xml:space="preserve">D12.csv.COGS</t>
  </si>
  <si>
    <t xml:space="preserve">[scale EXCL_MED + dup EXCL_SAME + sign EXCL_FLIP + same-sign variance] CSV export: sum of actual_usd, COGS</t>
  </si>
  <si>
    <t xml:space="preserve">D12.csv.PEOPLE</t>
  </si>
  <si>
    <t xml:space="preserve">[scale EXCL_MED + dup EXCL_SAME + sign EXCL_FLIP + same-sign variance] CSV export: sum of actual_usd, PEOPLE</t>
  </si>
  <si>
    <t xml:space="preserve">D12.csv.OPEX</t>
  </si>
  <si>
    <t xml:space="preserve">[scale EXCL_MED + dup EXCL_SAME + sign EXCL_FLIP + same-sign variance] CSV export: sum of actual_usd, OPEX</t>
  </si>
  <si>
    <t xml:space="preserve">D13.n</t>
  </si>
  <si>
    <t xml:space="preserve">[scale EXCL_ALL + opposite-sign variance + IN01] Posted lines in scope</t>
  </si>
  <si>
    <t xml:space="preserve">scale EXCL_ALL + opposite-sign variance + IN01 | state hook</t>
  </si>
  <si>
    <t xml:space="preserve">D13.rev</t>
  </si>
  <si>
    <t xml:space="preserve">[scale EXCL_ALL + opposite-sign variance + IN01] rev (dashboard engine, full precision)</t>
  </si>
  <si>
    <t xml:space="preserve">D13.cost</t>
  </si>
  <si>
    <t xml:space="preserve">[scale EXCL_ALL + opposite-sign variance + IN01] cost (dashboard engine, full precision)</t>
  </si>
  <si>
    <t xml:space="preserve">D13.res</t>
  </si>
  <si>
    <t xml:space="preserve">[scale EXCL_ALL + opposite-sign variance + IN01] res (dashboard engine, full precision)</t>
  </si>
  <si>
    <t xml:space="preserve">D13.sec.REVENUE</t>
  </si>
  <si>
    <t xml:space="preserve">[scale EXCL_ALL + opposite-sign variance + IN01] section total REVENUE</t>
  </si>
  <si>
    <t xml:space="preserve">D13.sec.COGS</t>
  </si>
  <si>
    <t xml:space="preserve">[scale EXCL_ALL + opposite-sign variance + IN01] section total COGS</t>
  </si>
  <si>
    <t xml:space="preserve">D13.sec.PEOPLE</t>
  </si>
  <si>
    <t xml:space="preserve">[scale EXCL_ALL + opposite-sign variance + IN01] section total PEOPLE</t>
  </si>
  <si>
    <t xml:space="preserve">D13.sec.OPEX</t>
  </si>
  <si>
    <t xml:space="preserve">[scale EXCL_ALL + opposite-sign variance + IN01] section total OPEX</t>
  </si>
  <si>
    <t xml:space="preserve">D13.sec.D&amp;A</t>
  </si>
  <si>
    <t xml:space="preserve">[scale EXCL_ALL + opposite-sign variance + IN01] section total D&amp;A</t>
  </si>
  <si>
    <t xml:space="preserve">D13.sec.BELOW_EBITDA</t>
  </si>
  <si>
    <t xml:space="preserve">[scale EXCL_ALL + opposite-sign variance + IN01] section total BELOW_EBITDA</t>
  </si>
  <si>
    <t xml:space="preserve">D13.sec.TAX</t>
  </si>
  <si>
    <t xml:space="preserve">[scale EXCL_ALL + opposite-sign variance + IN01] section total TAX</t>
  </si>
  <si>
    <t xml:space="preserve">D13.var.REVENUE</t>
  </si>
  <si>
    <t xml:space="preserve">[scale EXCL_ALL + opposite-sign variance + IN01] budget variance REVENUE (lines, actual, budget, net, gross cell var, guarded %)</t>
  </si>
  <si>
    <t xml:space="preserve">{"n": 490, "act": 288833.875, "bud": -298580.8731, "net": 587414.7481, "gross": 6457216.2281, "pct": null}</t>
  </si>
  <si>
    <t xml:space="preserve">{"n": 490, "act": 288833.875, "bud": -298580.8731, "net": 587414.7481, "pct": null, "gross": 6457216.2281}</t>
  </si>
  <si>
    <t xml:space="preserve">D13.var.COGS</t>
  </si>
  <si>
    <t xml:space="preserve">[scale EXCL_ALL + opposite-sign variance + IN01] budget variance COGS (lines, actual, budget, net, gross cell var, guarded %)</t>
  </si>
  <si>
    <t xml:space="preserve">{"n": 229, "act": 242197.7522, "bud": -220817.285, "net": 463015.0372, "gross": 3642947.747, "pct": null}</t>
  </si>
  <si>
    <t xml:space="preserve">{"n": 229, "act": 242197.7522, "bud": -220817.285, "net": 463015.0372, "pct": null, "gross": 3642947.747}</t>
  </si>
  <si>
    <t xml:space="preserve">D13.var.PEOPLE</t>
  </si>
  <si>
    <t xml:space="preserve">[scale EXCL_ALL + opposite-sign variance + IN01] budget variance PEOPLE (lines, actual, budget, net, gross cell var, guarded %)</t>
  </si>
  <si>
    <t xml:space="preserve">{"n": 62, "act": -305200.46, "bud": 288390.5402, "net": -593591.0002, "gross": 1842751.5782, "pct": null}</t>
  </si>
  <si>
    <t xml:space="preserve">{"n": 62, "act": -305200.46, "bud": 288390.5402, "net": -593591.0002, "pct": null, "gross": 1842751.5782}</t>
  </si>
  <si>
    <t xml:space="preserve">D13.var.OPEX</t>
  </si>
  <si>
    <t xml:space="preserve">[scale EXCL_ALL + opposite-sign variance + IN01] budget variance OPEX (lines, actual, budget, net, gross cell var, guarded %)</t>
  </si>
  <si>
    <t xml:space="preserve">{"n": 155, "act": 4841.4105, "bud": -4640.7, "net": 9482.1105, "gross": 2850570.2505, "pct": null}</t>
  </si>
  <si>
    <t xml:space="preserve">{"n": 155, "act": 4841.4105, "bud": -4640.7, "net": 9482.1105, "pct": null, "gross": 2850570.2505}</t>
  </si>
  <si>
    <t xml:space="preserve">D13.status</t>
  </si>
  <si>
    <t xml:space="preserve">[scale EXCL_ALL + opposite-sign variance + IN01] journal-status diagnostic: lines, revenue, cost for Posted/Pending/Parked/Rejected/blank</t>
  </si>
  <si>
    <t xml:space="preserve">{"Posted": 9003, "Pending": 3105, "Parked": 2922, "Rejected": 3063, "(blank)": 2956}</t>
  </si>
  <si>
    <t xml:space="preserve">D13.dom.full</t>
  </si>
  <si>
    <t xml:space="preserve">[scale EXCL_ALL + opposite-sign variance + IN01] DOM 'Full:' revenue (rounded to whole USD)</t>
  </si>
  <si>
    <t xml:space="preserve">D13.dom.rev</t>
  </si>
  <si>
    <t xml:space="preserve">[scale EXCL_ALL + opposite-sign variance + IN01] DOM KPI card rev '$44.89M' (display precision)</t>
  </si>
  <si>
    <t xml:space="preserve">D13.dom.cost</t>
  </si>
  <si>
    <t xml:space="preserve">[scale EXCL_ALL + opposite-sign variance + IN01] DOM KPI card cost '$37.56M' (display precision)</t>
  </si>
  <si>
    <t xml:space="preserve">D13.dom.res</t>
  </si>
  <si>
    <t xml:space="preserve">[scale EXCL_ALL + opposite-sign variance + IN01] DOM KPI card res '$7.32M' (display precision)</t>
  </si>
  <si>
    <t xml:space="preserve">D13.dom.junk</t>
  </si>
  <si>
    <t xml:space="preserve">[scale EXCL_ALL + opposite-sign variance + IN01] Overview text contains no NaN/undefined/Infinity</t>
  </si>
  <si>
    <t xml:space="preserve">D13.csv.rows</t>
  </si>
  <si>
    <t xml:space="preserve">[scale EXCL_ALL + opposite-sign variance + IN01] CSV export: line count</t>
  </si>
  <si>
    <t xml:space="preserve">D13.csv.set</t>
  </si>
  <si>
    <t xml:space="preserve">[scale EXCL_ALL + opposite-sign variance + IN01] CSV export: source_row_number set == reference set</t>
  </si>
  <si>
    <t xml:space="preserve">D13.csv.REVENUE</t>
  </si>
  <si>
    <t xml:space="preserve">[scale EXCL_ALL + opposite-sign variance + IN01] CSV export: sum of actual_usd, REVENUE</t>
  </si>
  <si>
    <t xml:space="preserve">D13.csv.COGS</t>
  </si>
  <si>
    <t xml:space="preserve">[scale EXCL_ALL + opposite-sign variance + IN01] CSV export: sum of actual_usd, COGS</t>
  </si>
  <si>
    <t xml:space="preserve">D13.csv.PEOPLE</t>
  </si>
  <si>
    <t xml:space="preserve">[scale EXCL_ALL + opposite-sign variance + IN01] CSV export: sum of actual_usd, PEOPLE</t>
  </si>
  <si>
    <t xml:space="preserve">D13.csv.OPEX</t>
  </si>
  <si>
    <t xml:space="preserve">[scale EXCL_ALL + opposite-sign variance + IN01] CSV export: sum of actual_usd, OPEX</t>
  </si>
  <si>
    <t xml:space="preserve">D14.n</t>
  </si>
  <si>
    <t xml:space="preserve">[near-zero account: GL 7200 FX gain/loss] Posted lines in scope</t>
  </si>
  <si>
    <t xml:space="preserve">near-zero account: GL 7200 FX gain/loss | state hook</t>
  </si>
  <si>
    <t xml:space="preserve">D14.rev</t>
  </si>
  <si>
    <t xml:space="preserve">[near-zero account: GL 7200 FX gain/loss] rev (dashboard engine, full precision)</t>
  </si>
  <si>
    <t xml:space="preserve">D14.cost</t>
  </si>
  <si>
    <t xml:space="preserve">[near-zero account: GL 7200 FX gain/loss] cost (dashboard engine, full precision)</t>
  </si>
  <si>
    <t xml:space="preserve">D14.res</t>
  </si>
  <si>
    <t xml:space="preserve">[near-zero account: GL 7200 FX gain/loss] res (dashboard engine, full precision)</t>
  </si>
  <si>
    <t xml:space="preserve">D14.sec.REVENUE</t>
  </si>
  <si>
    <t xml:space="preserve">[near-zero account: GL 7200 FX gain/loss] section total REVENUE</t>
  </si>
  <si>
    <t xml:space="preserve">D14.sec.COGS</t>
  </si>
  <si>
    <t xml:space="preserve">[near-zero account: GL 7200 FX gain/loss] section total COGS</t>
  </si>
  <si>
    <t xml:space="preserve">D14.sec.PEOPLE</t>
  </si>
  <si>
    <t xml:space="preserve">[near-zero account: GL 7200 FX gain/loss] section total PEOPLE</t>
  </si>
  <si>
    <t xml:space="preserve">D14.sec.OPEX</t>
  </si>
  <si>
    <t xml:space="preserve">[near-zero account: GL 7200 FX gain/loss] section total OPEX</t>
  </si>
  <si>
    <t xml:space="preserve">D14.sec.D&amp;A</t>
  </si>
  <si>
    <t xml:space="preserve">[near-zero account: GL 7200 FX gain/loss] section total D&amp;A</t>
  </si>
  <si>
    <t xml:space="preserve">D14.sec.BELOW_EBITDA</t>
  </si>
  <si>
    <t xml:space="preserve">[near-zero account: GL 7200 FX gain/loss] section total BELOW_EBITDA</t>
  </si>
  <si>
    <t xml:space="preserve">D14.sec.TAX</t>
  </si>
  <si>
    <t xml:space="preserve">[near-zero account: GL 7200 FX gain/loss] section total TAX</t>
  </si>
  <si>
    <t xml:space="preserve">D14.var.REVENUE</t>
  </si>
  <si>
    <t xml:space="preserve">[near-zero account: GL 7200 FX gain/loss] budget variance REVENUE (lines, actual, budget, net, gross cell var, guarded %)</t>
  </si>
  <si>
    <t xml:space="preserve">D14.var.COGS</t>
  </si>
  <si>
    <t xml:space="preserve">[near-zero account: GL 7200 FX gain/loss] budget variance COGS (lines, actual, budget, net, gross cell var, guarded %)</t>
  </si>
  <si>
    <t xml:space="preserve">D14.var.PEOPLE</t>
  </si>
  <si>
    <t xml:space="preserve">[near-zero account: GL 7200 FX gain/loss] budget variance PEOPLE (lines, actual, budget, net, gross cell var, guarded %)</t>
  </si>
  <si>
    <t xml:space="preserve">D14.var.OPEX</t>
  </si>
  <si>
    <t xml:space="preserve">[near-zero account: GL 7200 FX gain/loss] budget variance OPEX (lines, actual, budget, net, gross cell var, guarded %)</t>
  </si>
  <si>
    <t xml:space="preserve">D14.status</t>
  </si>
  <si>
    <t xml:space="preserve">[near-zero account: GL 7200 FX gain/loss] journal-status diagnostic: lines, revenue, cost for Posted/Pending/Parked/Rejected/blank</t>
  </si>
  <si>
    <t xml:space="preserve">{"Posted": 354, "Pending": 120, "Parked": 113, "Rejected": 115, "(blank)": 133}</t>
  </si>
  <si>
    <t xml:space="preserve">D14.dom.full</t>
  </si>
  <si>
    <t xml:space="preserve">[near-zero account: GL 7200 FX gain/loss] DOM 'Full:' revenue (rounded to whole USD)</t>
  </si>
  <si>
    <t xml:space="preserve">D14.dom.rev</t>
  </si>
  <si>
    <t xml:space="preserve">[near-zero account: GL 7200 FX gain/loss] DOM KPI card rev '$0' (display precision)</t>
  </si>
  <si>
    <t xml:space="preserve">D14.dom.cost</t>
  </si>
  <si>
    <t xml:space="preserve">[near-zero account: GL 7200 FX gain/loss] DOM KPI card cost '$0' (display precision)</t>
  </si>
  <si>
    <t xml:space="preserve">D14.dom.res</t>
  </si>
  <si>
    <t xml:space="preserve">[near-zero account: GL 7200 FX gain/loss] DOM KPI card res '$0' (display precision)</t>
  </si>
  <si>
    <t xml:space="preserve">D14.dom.junk</t>
  </si>
  <si>
    <t xml:space="preserve">[near-zero account: GL 7200 FX gain/loss] Overview text contains no NaN/undefined/Infinity</t>
  </si>
  <si>
    <t xml:space="preserve">D14.csv.rows</t>
  </si>
  <si>
    <t xml:space="preserve">[near-zero account: GL 7200 FX gain/loss] CSV export: line count</t>
  </si>
  <si>
    <t xml:space="preserve">D14.csv.set</t>
  </si>
  <si>
    <t xml:space="preserve">[near-zero account: GL 7200 FX gain/loss] CSV export: source_row_number set == reference set</t>
  </si>
  <si>
    <t xml:space="preserve">D14.csv.REVENUE</t>
  </si>
  <si>
    <t xml:space="preserve">[near-zero account: GL 7200 FX gain/loss] CSV export: sum of actual_usd, REVENUE</t>
  </si>
  <si>
    <t xml:space="preserve">D14.csv.COGS</t>
  </si>
  <si>
    <t xml:space="preserve">[near-zero account: GL 7200 FX gain/loss] CSV export: sum of actual_usd, COGS</t>
  </si>
  <si>
    <t xml:space="preserve">D14.csv.PEOPLE</t>
  </si>
  <si>
    <t xml:space="preserve">[near-zero account: GL 7200 FX gain/loss] CSV export: sum of actual_usd, PEOPLE</t>
  </si>
  <si>
    <t xml:space="preserve">D14.csv.OPEX</t>
  </si>
  <si>
    <t xml:space="preserve">[near-zero account: GL 7200 FX gain/loss] CSV export: sum of actual_usd, OPEX</t>
  </si>
  <si>
    <t xml:space="preserve">D15.n</t>
  </si>
  <si>
    <t xml:space="preserve">[empty selection: Q1 only and months Apr-Jun 2023] Posted lines in scope</t>
  </si>
  <si>
    <t xml:space="preserve">empty selection: Q1 only and months Apr-Jun 2023 | state hook</t>
  </si>
  <si>
    <t xml:space="preserve">D15.rev</t>
  </si>
  <si>
    <t xml:space="preserve">[empty selection: Q1 only and months Apr-Jun 2023] rev (dashboard engine, full precision)</t>
  </si>
  <si>
    <t xml:space="preserve">D15.cost</t>
  </si>
  <si>
    <t xml:space="preserve">[empty selection: Q1 only and months Apr-Jun 2023] cost (dashboard engine, full precision)</t>
  </si>
  <si>
    <t xml:space="preserve">D15.res</t>
  </si>
  <si>
    <t xml:space="preserve">[empty selection: Q1 only and months Apr-Jun 2023] res (dashboard engine, full precision)</t>
  </si>
  <si>
    <t xml:space="preserve">D15.sec.REVENUE</t>
  </si>
  <si>
    <t xml:space="preserve">[empty selection: Q1 only and months Apr-Jun 2023] section total REVENUE</t>
  </si>
  <si>
    <t xml:space="preserve">D15.sec.COGS</t>
  </si>
  <si>
    <t xml:space="preserve">[empty selection: Q1 only and months Apr-Jun 2023] section total COGS</t>
  </si>
  <si>
    <t xml:space="preserve">D15.sec.PEOPLE</t>
  </si>
  <si>
    <t xml:space="preserve">[empty selection: Q1 only and months Apr-Jun 2023] section total PEOPLE</t>
  </si>
  <si>
    <t xml:space="preserve">D15.sec.OPEX</t>
  </si>
  <si>
    <t xml:space="preserve">[empty selection: Q1 only and months Apr-Jun 2023] section total OPEX</t>
  </si>
  <si>
    <t xml:space="preserve">D15.sec.D&amp;A</t>
  </si>
  <si>
    <t xml:space="preserve">[empty selection: Q1 only and months Apr-Jun 2023] section total D&amp;A</t>
  </si>
  <si>
    <t xml:space="preserve">D15.sec.BELOW_EBITDA</t>
  </si>
  <si>
    <t xml:space="preserve">[empty selection: Q1 only and months Apr-Jun 2023] section total BELOW_EBITDA</t>
  </si>
  <si>
    <t xml:space="preserve">D15.sec.TAX</t>
  </si>
  <si>
    <t xml:space="preserve">[empty selection: Q1 only and months Apr-Jun 2023] section total TAX</t>
  </si>
  <si>
    <t xml:space="preserve">D15.var.REVENUE</t>
  </si>
  <si>
    <t xml:space="preserve">[empty selection: Q1 only and months Apr-Jun 2023] budget variance REVENUE (lines, actual, budget, net, gross cell var, guarded %)</t>
  </si>
  <si>
    <t xml:space="preserve">D15.var.COGS</t>
  </si>
  <si>
    <t xml:space="preserve">[empty selection: Q1 only and months Apr-Jun 2023] budget variance COGS (lines, actual, budget, net, gross cell var, guarded %)</t>
  </si>
  <si>
    <t xml:space="preserve">D15.var.PEOPLE</t>
  </si>
  <si>
    <t xml:space="preserve">[empty selection: Q1 only and months Apr-Jun 2023] budget variance PEOPLE (lines, actual, budget, net, gross cell var, guarded %)</t>
  </si>
  <si>
    <t xml:space="preserve">D15.var.OPEX</t>
  </si>
  <si>
    <t xml:space="preserve">[empty selection: Q1 only and months Apr-Jun 2023] budget variance OPEX (lines, actual, budget, net, gross cell var, guarded %)</t>
  </si>
  <si>
    <t xml:space="preserve">D15.status</t>
  </si>
  <si>
    <t xml:space="preserve">[empty selection: Q1 only and months Apr-Jun 2023] journal-status diagnostic: lines, revenue, cost for Posted/Pending/Parked/Rejected/blank</t>
  </si>
  <si>
    <t xml:space="preserve">{"Posted": 0, "Pending": 0, "Parked": 0, "Rejected": 0, "(blank)": 0}</t>
  </si>
  <si>
    <t xml:space="preserve">D15.empty</t>
  </si>
  <si>
    <t xml:space="preserve">[empty selection: Q1 only and months Apr-Jun 2023] empty selection shows the no-data state</t>
  </si>
  <si>
    <t xml:space="preserve">D15.zero</t>
  </si>
  <si>
    <t xml:space="preserve">Empty selection: 0 Posted lines in scope</t>
  </si>
  <si>
    <t xml:space="preserve">D16.n</t>
  </si>
  <si>
    <t xml:space="preserve">[zero-involved variance population] Posted lines in scope</t>
  </si>
  <si>
    <t xml:space="preserve">zero-involved variance population | state hook</t>
  </si>
  <si>
    <t xml:space="preserve">D16.rev</t>
  </si>
  <si>
    <t xml:space="preserve">[zero-involved variance population] rev (dashboard engine, full precision)</t>
  </si>
  <si>
    <t xml:space="preserve">D16.cost</t>
  </si>
  <si>
    <t xml:space="preserve">[zero-involved variance population] cost (dashboard engine, full precision)</t>
  </si>
  <si>
    <t xml:space="preserve">D16.res</t>
  </si>
  <si>
    <t xml:space="preserve">[zero-involved variance population] res (dashboard engine, full precision)</t>
  </si>
  <si>
    <t xml:space="preserve">D16.sec.REVENUE</t>
  </si>
  <si>
    <t xml:space="preserve">[zero-involved variance population] section total REVENUE</t>
  </si>
  <si>
    <t xml:space="preserve">D16.sec.COGS</t>
  </si>
  <si>
    <t xml:space="preserve">[zero-involved variance population] section total COGS</t>
  </si>
  <si>
    <t xml:space="preserve">D16.sec.PEOPLE</t>
  </si>
  <si>
    <t xml:space="preserve">[zero-involved variance population] section total PEOPLE</t>
  </si>
  <si>
    <t xml:space="preserve">D16.sec.OPEX</t>
  </si>
  <si>
    <t xml:space="preserve">[zero-involved variance population] section total OPEX</t>
  </si>
  <si>
    <t xml:space="preserve">D16.sec.D&amp;A</t>
  </si>
  <si>
    <t xml:space="preserve">[zero-involved variance population] section total D&amp;A</t>
  </si>
  <si>
    <t xml:space="preserve">D16.sec.BELOW_EBITDA</t>
  </si>
  <si>
    <t xml:space="preserve">[zero-involved variance population] section total BELOW_EBITDA</t>
  </si>
  <si>
    <t xml:space="preserve">D16.sec.TAX</t>
  </si>
  <si>
    <t xml:space="preserve">[zero-involved variance population] section total TAX</t>
  </si>
  <si>
    <t xml:space="preserve">D16.var.REVENUE</t>
  </si>
  <si>
    <t xml:space="preserve">[zero-involved variance population] budget variance REVENUE (lines, actual, budget, net, gross cell var, guarded %)</t>
  </si>
  <si>
    <t xml:space="preserve">{"n": 50, "act": 70390.0, "bud": 74530.0, "net": -4140.0, "gross": 158020.0, "pct": -0.0555}</t>
  </si>
  <si>
    <t xml:space="preserve">{"n": 50, "act": 70390, "bud": 74530, "net": -4140, "pct": -0.0555, "gross": 158020}</t>
  </si>
  <si>
    <t xml:space="preserve">D16.var.COGS</t>
  </si>
  <si>
    <t xml:space="preserve">[zero-involved variance population] budget variance COGS (lines, actual, budget, net, gross cell var, guarded %)</t>
  </si>
  <si>
    <t xml:space="preserve">{"n": 9, "act": -1270.0, "bud": 33999.65, "net": -35269.65, "gross": 52730.35, "pct": -1.0374}</t>
  </si>
  <si>
    <t xml:space="preserve">{"n": 9, "act": -1270, "bud": 33999.65, "net": -35269.65, "pct": -1.0374, "gross": 52730.35}</t>
  </si>
  <si>
    <t xml:space="preserve">D16.var.PEOPLE</t>
  </si>
  <si>
    <t xml:space="preserve">[zero-involved variance population] budget variance PEOPLE (lines, actual, budget, net, gross cell var, guarded %)</t>
  </si>
  <si>
    <t xml:space="preserve">{"n": 7, "act": 28010.0, "bud": 17250.0, "net": 10760.0, "gross": 45260.0, "pct": 0.6238}</t>
  </si>
  <si>
    <t xml:space="preserve">{"n": 7, "act": 28010, "bud": 17250, "net": 10760, "pct": 0.6238, "gross": 45260}</t>
  </si>
  <si>
    <t xml:space="preserve">D16.var.OPEX</t>
  </si>
  <si>
    <t xml:space="preserve">[zero-involved variance population] budget variance OPEX (lines, actual, budget, net, gross cell var, guarded %)</t>
  </si>
  <si>
    <t xml:space="preserve">{"n": 9, "act": 19680.0, "bud": -16999.92, "net": 36679.92, "gross": 48680.08, "pct": 2.1577}</t>
  </si>
  <si>
    <t xml:space="preserve">{"n": 9, "act": 19680, "bud": -16999.92, "net": 36679.92, "pct": 2.1577, "gross": 48680.08}</t>
  </si>
  <si>
    <t xml:space="preserve">D16.status</t>
  </si>
  <si>
    <t xml:space="preserve">[zero-involved variance population] journal-status diagnostic: lines, revenue, cost for Posted/Pending/Parked/Rejected/blank</t>
  </si>
  <si>
    <t xml:space="preserve">D16.dom.full</t>
  </si>
  <si>
    <t xml:space="preserve">[zero-involved variance population] DOM 'Full:' revenue (rounded to whole USD)</t>
  </si>
  <si>
    <t xml:space="preserve">D16.dom.rev</t>
  </si>
  <si>
    <t xml:space="preserve">[zero-involved variance population] DOM KPI card rev '$202.65M' (display precision)</t>
  </si>
  <si>
    <t xml:space="preserve">D16.dom.cost</t>
  </si>
  <si>
    <t xml:space="preserve">[zero-involved variance population] DOM KPI card cost '$176.33M' (display precision)</t>
  </si>
  <si>
    <t xml:space="preserve">D16.dom.res</t>
  </si>
  <si>
    <t xml:space="preserve">[zero-involved variance population] DOM KPI card res '$26.32M' (display precision)</t>
  </si>
  <si>
    <t xml:space="preserve">D16.dom.junk</t>
  </si>
  <si>
    <t xml:space="preserve">[zero-involved variance population] Overview text contains no NaN/undefined/Infinity</t>
  </si>
  <si>
    <t xml:space="preserve">D16.csv.rows</t>
  </si>
  <si>
    <t xml:space="preserve">[zero-involved variance population] CSV export: line count</t>
  </si>
  <si>
    <t xml:space="preserve">D16.csv.set</t>
  </si>
  <si>
    <t xml:space="preserve">[zero-involved variance population] CSV export: source_row_number set == reference set</t>
  </si>
  <si>
    <t xml:space="preserve">D16.csv.REVENUE</t>
  </si>
  <si>
    <t xml:space="preserve">[zero-involved variance population] CSV export: sum of actual_usd, REVENUE</t>
  </si>
  <si>
    <t xml:space="preserve">D16.csv.COGS</t>
  </si>
  <si>
    <t xml:space="preserve">[zero-involved variance population] CSV export: sum of actual_usd, COGS</t>
  </si>
  <si>
    <t xml:space="preserve">D16.csv.PEOPLE</t>
  </si>
  <si>
    <t xml:space="preserve">[zero-involved variance population] CSV export: sum of actual_usd, PEOPLE</t>
  </si>
  <si>
    <t xml:space="preserve">D16.csv.OPEX</t>
  </si>
  <si>
    <t xml:space="preserve">[zero-involved variance population] CSV export: sum of actual_usd, OPEX</t>
  </si>
  <si>
    <t xml:space="preserve">UI10</t>
  </si>
  <si>
    <t xml:space="preserve">Detail tab renders a paginated table (rows on first page)</t>
  </si>
  <si>
    <t xml:space="preserve">UI11</t>
  </si>
  <si>
    <t xml:space="preserve">Detail pagination 'Next' shows a different page</t>
  </si>
  <si>
    <t xml:space="preserve">UI20</t>
  </si>
  <si>
    <t xml:space="preserve">Theme toggle changes data-theme and page background</t>
  </si>
  <si>
    <t xml:space="preserve">None/rgb(249, 249, 247) -&gt; dark/rgb(13, 13, 13)</t>
  </si>
  <si>
    <t xml:space="preserve">UI21</t>
  </si>
  <si>
    <t xml:space="preserve">Keyboard Tab moves focus to a control with a visible focus style (outline or box-shadow)</t>
  </si>
  <si>
    <t xml:space="preserve">{"tag": "BUTTON", "id": "", "outline": "solid 2px", "shadow": "none"}</t>
  </si>
  <si>
    <t xml:space="preserve">UI22</t>
  </si>
  <si>
    <t xml:space="preserve">Print media hides interactive-only controls (.hide-print)</t>
  </si>
  <si>
    <t xml:space="preserve">UI23</t>
  </si>
  <si>
    <t xml:space="preserve">Print/PDF generated (Chromium print-to-PDF)</t>
  </si>
  <si>
    <t xml:space="preserve">UI3390</t>
  </si>
  <si>
    <t xml:space="preserve">No horizontal page overflow at 390px width</t>
  </si>
  <si>
    <t xml:space="preserve">UI3768</t>
  </si>
  <si>
    <t xml:space="preserve">No horizontal page overflow at 768px width</t>
  </si>
  <si>
    <t xml:space="preserve">UI31024</t>
  </si>
  <si>
    <t xml:space="preserve">No horizontal page overflow at 1024px width</t>
  </si>
  <si>
    <t xml:space="preserve">UI31920</t>
  </si>
  <si>
    <t xml:space="preserve">No horizontal page overflow at 1920px width</t>
  </si>
  <si>
    <t xml:space="preserve">UI40</t>
  </si>
  <si>
    <t xml:space="preserve">Browser console errors / uncaught page errors during the whole session</t>
  </si>
  <si>
    <t xml:space="preserve">UI41</t>
  </si>
  <si>
    <t xml:space="preserve">Failed resource requests</t>
  </si>
  <si>
    <t xml:space="preserve">UI42</t>
  </si>
  <si>
    <t xml:space="preserve">Console warnings (informational)</t>
  </si>
  <si>
    <t xml:space="preserve">UI50</t>
  </si>
  <si>
    <t xml:space="preserve">Firefox / Safari (WebKit) rendering</t>
  </si>
  <si>
    <t xml:space="preserve">only Chromium is installed in this environment</t>
  </si>
  <si>
    <t xml:space="preserve">UI51</t>
  </si>
  <si>
    <t xml:space="preserve">Screen reader / assistive technology</t>
  </si>
  <si>
    <t xml:space="preserve">no assistive technology available; ARIA attributes are not a substitute</t>
  </si>
  <si>
    <t xml:space="preserve">UI52</t>
  </si>
  <si>
    <t xml:space="preserve">Physical printer output</t>
  </si>
  <si>
    <t xml:space="preserve">print-media emulation and Chromium PDF only</t>
  </si>
  <si>
    <t xml:space="preserve">Independent reference: headline (Posted eligible, scale-adjusted, USD)</t>
  </si>
  <si>
    <t xml:space="preserve">revenue = REVENUE section; cost = COGS + PEOPLE + OPEX; result proxy = revenue - cost (not EBITDA).</t>
  </si>
  <si>
    <t xml:space="preserve">metric</t>
  </si>
  <si>
    <t xml:space="preserve">value</t>
  </si>
  <si>
    <t xml:space="preserve">revenue</t>
  </si>
  <si>
    <t xml:space="preserve">cost_cogs_people_opex</t>
  </si>
  <si>
    <t xml:space="preserve">result_proxy</t>
  </si>
  <si>
    <t xml:space="preserve">rows</t>
  </si>
  <si>
    <t xml:space="preserve">Independent reference: gross profit S1 / S2 / S3</t>
  </si>
  <si>
    <t xml:space="preserve">rowset</t>
  </si>
  <si>
    <t xml:space="preserve">treatment</t>
  </si>
  <si>
    <t xml:space="preserve">period</t>
  </si>
  <si>
    <t xml:space="preserve">rows_in_scope</t>
  </si>
  <si>
    <t xml:space="preserve">revenue_usd</t>
  </si>
  <si>
    <t xml:space="preserve">cogs_usd</t>
  </si>
  <si>
    <t xml:space="preserve">gross_profit_usd</t>
  </si>
  <si>
    <t xml:space="preserve">gross_margin_pct</t>
  </si>
  <si>
    <t xml:space="preserve">ROWS_ALL</t>
  </si>
  <si>
    <t xml:space="preserve">GP_S1_SIGNED_AS_RECORDED</t>
  </si>
  <si>
    <t xml:space="preserve">2023</t>
  </si>
  <si>
    <t xml:space="preserve">2024</t>
  </si>
  <si>
    <t xml:space="preserve">2025</t>
  </si>
  <si>
    <t xml:space="preserve">ALL YEARS</t>
  </si>
  <si>
    <t xml:space="preserve">GP_S2_DISCOUNT_ABS</t>
  </si>
  <si>
    <t xml:space="preserve">GP_S3_EXCL_DISCOUNT</t>
  </si>
  <si>
    <t xml:space="preserve">ROWS_ALL_NON_NEGATIVE</t>
  </si>
  <si>
    <t xml:space="preserve">Independent reference: people + opex by cost centre</t>
  </si>
  <si>
    <t xml:space="preserve">cc</t>
  </si>
  <si>
    <t xml:space="preserve">abs_usd</t>
  </si>
  <si>
    <t xml:space="preserve">signed_usd</t>
  </si>
  <si>
    <t xml:space="preserve">(blank)</t>
  </si>
  <si>
    <t xml:space="preserve">CC110</t>
  </si>
  <si>
    <t xml:space="preserve">CC210</t>
  </si>
  <si>
    <t xml:space="preserve">CC240</t>
  </si>
  <si>
    <t xml:space="preserve">CC310</t>
  </si>
  <si>
    <t xml:space="preserve">CC410</t>
  </si>
  <si>
    <t xml:space="preserve">CC510</t>
  </si>
  <si>
    <t xml:space="preserve">CC610</t>
  </si>
  <si>
    <t xml:space="preserve">Independent reference: journal status diagnostic (any-status P&amp;L population, 136,330 lines)</t>
  </si>
  <si>
    <t xml:space="preserve">lines</t>
  </si>
  <si>
    <t xml:space="preserve">abs_actual_usd</t>
  </si>
  <si>
    <t xml:space="preserve">Posted</t>
  </si>
  <si>
    <t xml:space="preserve">Pending</t>
  </si>
  <si>
    <t xml:space="preserve">Rejected</t>
  </si>
  <si>
    <t xml:space="preserve">Parked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</si>
</sst>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0000"/>
    <numFmt numFmtId="167" formatCode="#,##0.00;\(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n">
        <f aca="false">COUNTIF(Checks!$K$4:$K$634,A5)</f>
        <v>620</v>
      </c>
    </row>
    <row r="6" customFormat="false" ht="15" hidden="false" customHeight="false" outlineLevel="0" collapsed="false">
      <c r="A6" s="4" t="s">
        <v>5</v>
      </c>
      <c r="B6" s="4" t="n">
        <f aca="false">COUNTIF(Checks!$K$4:$K$634,A6)</f>
        <v>0</v>
      </c>
    </row>
    <row r="7" customFormat="false" ht="15" hidden="false" customHeight="false" outlineLevel="0" collapsed="false">
      <c r="A7" s="4" t="s">
        <v>6</v>
      </c>
      <c r="B7" s="4" t="n">
        <f aca="false">COUNTIF(Checks!$K$4:$K$634,A7)</f>
        <v>0</v>
      </c>
    </row>
    <row r="8" customFormat="false" ht="15" hidden="false" customHeight="false" outlineLevel="0" collapsed="false">
      <c r="A8" s="4" t="s">
        <v>7</v>
      </c>
      <c r="B8" s="4" t="n">
        <f aca="false">COUNTIF(Checks!$K$4:$K$634,A8)</f>
        <v>3</v>
      </c>
    </row>
    <row r="9" customFormat="false" ht="15" hidden="false" customHeight="false" outlineLevel="0" collapsed="false">
      <c r="A9" s="4" t="s">
        <v>8</v>
      </c>
      <c r="B9" s="4" t="n">
        <f aca="false">COUNTIF(Checks!$K$4:$K$634,A9)</f>
        <v>8</v>
      </c>
    </row>
    <row r="10" customFormat="false" ht="15" hidden="false" customHeight="false" outlineLevel="0" collapsed="false">
      <c r="A10" s="5" t="s">
        <v>9</v>
      </c>
      <c r="B10" s="5" t="n">
        <f aca="false">SUM(B5:B9)</f>
        <v>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28"/>
    <col collapsed="false" customWidth="true" hidden="false" outlineLevel="0" max="5" min="5" style="0" width="40"/>
    <col collapsed="false" customWidth="true" hidden="false" outlineLevel="0" max="7" min="6" style="0" width="18"/>
    <col collapsed="false" customWidth="true" hidden="false" outlineLevel="0" max="11" min="8" style="0" width="12"/>
    <col collapsed="false" customWidth="true" hidden="false" outlineLevel="0" max="12" min="12" style="0" width="70"/>
    <col collapsed="false" customWidth="true" hidden="false" outlineLevel="0" max="13" min="13" style="0" width="26"/>
    <col collapsed="false" customWidth="true" hidden="false" outlineLevel="0" max="14" min="14" style="0" width="16"/>
    <col collapsed="false" customWidth="true" hidden="false" outlineLevel="0" max="15" min="15" style="0" width="14"/>
  </cols>
  <sheetData>
    <row r="1" customFormat="false" ht="16.15" hidden="false" customHeight="false" outlineLevel="0" collapsed="false">
      <c r="A1" s="1" t="s">
        <v>10</v>
      </c>
    </row>
    <row r="2" customFormat="false" ht="15" hidden="false" customHeight="false" outlineLevel="0" collapsed="false">
      <c r="A2" s="2" t="s">
        <v>11</v>
      </c>
    </row>
    <row r="3" customFormat="false" ht="15" hidden="false" customHeight="false" outlineLevel="0" collapsed="false">
      <c r="A3" s="6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6" t="s">
        <v>22</v>
      </c>
      <c r="L3" s="6" t="s">
        <v>23</v>
      </c>
      <c r="M3" s="6" t="s">
        <v>24</v>
      </c>
      <c r="N3" s="3" t="s">
        <v>25</v>
      </c>
      <c r="O3" s="3" t="s">
        <v>26</v>
      </c>
    </row>
    <row r="4" customFormat="false" ht="23.85" hidden="false" customHeight="false" outlineLevel="0" collapsed="false">
      <c r="A4" s="7" t="s">
        <v>27</v>
      </c>
      <c r="B4" s="7" t="s">
        <v>28</v>
      </c>
      <c r="C4" s="7" t="s">
        <v>29</v>
      </c>
      <c r="D4" s="7" t="s">
        <v>30</v>
      </c>
      <c r="E4" s="7" t="s">
        <v>31</v>
      </c>
      <c r="F4" s="8" t="n">
        <v>0</v>
      </c>
      <c r="G4" s="8" t="n">
        <v>0</v>
      </c>
      <c r="H4" s="7" t="n">
        <v>0</v>
      </c>
      <c r="I4" s="7"/>
      <c r="J4" s="7" t="n">
        <v>0</v>
      </c>
      <c r="K4" s="9" t="s">
        <v>4</v>
      </c>
      <c r="L4" s="7"/>
      <c r="M4" s="7"/>
      <c r="N4" s="10" t="n">
        <f aca="false">IF(AND(ISNUMBER(F4),ISNUMBER(G4)),ABS(G4-F4),"")</f>
        <v>0</v>
      </c>
      <c r="O4" s="4" t="str">
        <f aca="false">IF(AND(ISNUMBER(N4),ISNUMBER(J4)),IF(N4&lt;=J4,"PASS","FAIL"),"n/a")</f>
        <v>PASS</v>
      </c>
    </row>
    <row r="5" customFormat="false" ht="23.85" hidden="false" customHeight="false" outlineLevel="0" collapsed="false">
      <c r="A5" s="7" t="s">
        <v>32</v>
      </c>
      <c r="B5" s="7" t="s">
        <v>28</v>
      </c>
      <c r="C5" s="7" t="s">
        <v>33</v>
      </c>
      <c r="D5" s="7" t="s">
        <v>30</v>
      </c>
      <c r="E5" s="7" t="s">
        <v>34</v>
      </c>
      <c r="F5" s="8" t="n">
        <v>0</v>
      </c>
      <c r="G5" s="8" t="n">
        <v>0</v>
      </c>
      <c r="H5" s="7" t="n">
        <v>0</v>
      </c>
      <c r="I5" s="7"/>
      <c r="J5" s="7" t="n">
        <v>0</v>
      </c>
      <c r="K5" s="9" t="s">
        <v>4</v>
      </c>
      <c r="L5" s="7" t="s">
        <v>35</v>
      </c>
      <c r="M5" s="7"/>
      <c r="N5" s="10" t="n">
        <f aca="false">IF(AND(ISNUMBER(F5),ISNUMBER(G5)),ABS(G5-F5),"")</f>
        <v>0</v>
      </c>
      <c r="O5" s="4" t="str">
        <f aca="false">IF(AND(ISNUMBER(N5),ISNUMBER(J5)),IF(N5&lt;=J5,"PASS","FAIL"),"n/a")</f>
        <v>PASS</v>
      </c>
    </row>
    <row r="6" customFormat="false" ht="23.85" hidden="false" customHeight="false" outlineLevel="0" collapsed="false">
      <c r="A6" s="7" t="s">
        <v>36</v>
      </c>
      <c r="B6" s="7" t="s">
        <v>28</v>
      </c>
      <c r="C6" s="7" t="s">
        <v>37</v>
      </c>
      <c r="D6" s="7" t="s">
        <v>30</v>
      </c>
      <c r="E6" s="7" t="s">
        <v>34</v>
      </c>
      <c r="F6" s="8" t="n">
        <v>0</v>
      </c>
      <c r="G6" s="8" t="n">
        <v>0</v>
      </c>
      <c r="H6" s="7" t="n">
        <v>0</v>
      </c>
      <c r="I6" s="7"/>
      <c r="J6" s="7" t="n">
        <v>0.01</v>
      </c>
      <c r="K6" s="9" t="s">
        <v>4</v>
      </c>
      <c r="L6" s="7" t="s">
        <v>38</v>
      </c>
      <c r="M6" s="7"/>
      <c r="N6" s="10" t="n">
        <f aca="false">IF(AND(ISNUMBER(F6),ISNUMBER(G6)),ABS(G6-F6),"")</f>
        <v>0</v>
      </c>
      <c r="O6" s="4" t="str">
        <f aca="false">IF(AND(ISNUMBER(N6),ISNUMBER(J6)),IF(N6&lt;=J6,"PASS","FAIL"),"n/a")</f>
        <v>PASS</v>
      </c>
    </row>
    <row r="7" customFormat="false" ht="23.85" hidden="false" customHeight="false" outlineLevel="0" collapsed="false">
      <c r="A7" s="7" t="s">
        <v>39</v>
      </c>
      <c r="B7" s="7" t="s">
        <v>28</v>
      </c>
      <c r="C7" s="7" t="s">
        <v>40</v>
      </c>
      <c r="D7" s="7" t="s">
        <v>30</v>
      </c>
      <c r="E7" s="7" t="s">
        <v>34</v>
      </c>
      <c r="F7" s="8" t="n">
        <v>0</v>
      </c>
      <c r="G7" s="8" t="n">
        <v>0</v>
      </c>
      <c r="H7" s="7" t="n">
        <v>0</v>
      </c>
      <c r="I7" s="7"/>
      <c r="J7" s="7" t="n">
        <v>0.01</v>
      </c>
      <c r="K7" s="9" t="s">
        <v>4</v>
      </c>
      <c r="L7" s="7" t="s">
        <v>41</v>
      </c>
      <c r="M7" s="7"/>
      <c r="N7" s="10" t="n">
        <f aca="false">IF(AND(ISNUMBER(F7),ISNUMBER(G7)),ABS(G7-F7),"")</f>
        <v>0</v>
      </c>
      <c r="O7" s="4" t="str">
        <f aca="false">IF(AND(ISNUMBER(N7),ISNUMBER(J7)),IF(N7&lt;=J7,"PASS","FAIL"),"n/a")</f>
        <v>PASS</v>
      </c>
    </row>
    <row r="8" customFormat="false" ht="35.05" hidden="false" customHeight="false" outlineLevel="0" collapsed="false">
      <c r="A8" s="7" t="s">
        <v>42</v>
      </c>
      <c r="B8" s="7" t="s">
        <v>28</v>
      </c>
      <c r="C8" s="7" t="s">
        <v>43</v>
      </c>
      <c r="D8" s="7" t="s">
        <v>30</v>
      </c>
      <c r="E8" s="7" t="s">
        <v>34</v>
      </c>
      <c r="F8" s="8" t="n">
        <v>0</v>
      </c>
      <c r="G8" s="8" t="n">
        <v>0</v>
      </c>
      <c r="H8" s="7" t="n">
        <v>0</v>
      </c>
      <c r="I8" s="7"/>
      <c r="J8" s="7" t="n">
        <v>0.01</v>
      </c>
      <c r="K8" s="9" t="s">
        <v>4</v>
      </c>
      <c r="L8" s="7" t="s">
        <v>44</v>
      </c>
      <c r="M8" s="7"/>
      <c r="N8" s="10" t="n">
        <f aca="false">IF(AND(ISNUMBER(F8),ISNUMBER(G8)),ABS(G8-F8),"")</f>
        <v>0</v>
      </c>
      <c r="O8" s="4" t="str">
        <f aca="false">IF(AND(ISNUMBER(N8),ISNUMBER(J8)),IF(N8&lt;=J8,"PASS","FAIL"),"n/a")</f>
        <v>PASS</v>
      </c>
    </row>
    <row r="9" customFormat="false" ht="23.85" hidden="false" customHeight="false" outlineLevel="0" collapsed="false">
      <c r="A9" s="7" t="s">
        <v>45</v>
      </c>
      <c r="B9" s="7" t="s">
        <v>28</v>
      </c>
      <c r="C9" s="7" t="s">
        <v>46</v>
      </c>
      <c r="D9" s="7" t="s">
        <v>47</v>
      </c>
      <c r="E9" s="7" t="s">
        <v>48</v>
      </c>
      <c r="F9" s="8" t="n">
        <v>0</v>
      </c>
      <c r="G9" s="8" t="n">
        <v>0</v>
      </c>
      <c r="H9" s="7" t="n">
        <v>0</v>
      </c>
      <c r="I9" s="7"/>
      <c r="J9" s="7" t="n">
        <v>0</v>
      </c>
      <c r="K9" s="9" t="s">
        <v>4</v>
      </c>
      <c r="L9" s="7"/>
      <c r="M9" s="7"/>
      <c r="N9" s="10" t="n">
        <f aca="false">IF(AND(ISNUMBER(F9),ISNUMBER(G9)),ABS(G9-F9),"")</f>
        <v>0</v>
      </c>
      <c r="O9" s="4" t="str">
        <f aca="false">IF(AND(ISNUMBER(N9),ISNUMBER(J9)),IF(N9&lt;=J9,"PASS","FAIL"),"n/a")</f>
        <v>PASS</v>
      </c>
    </row>
    <row r="10" customFormat="false" ht="23.85" hidden="false" customHeight="false" outlineLevel="0" collapsed="false">
      <c r="A10" s="7" t="s">
        <v>49</v>
      </c>
      <c r="B10" s="7" t="s">
        <v>28</v>
      </c>
      <c r="C10" s="7" t="s">
        <v>50</v>
      </c>
      <c r="D10" s="7" t="s">
        <v>47</v>
      </c>
      <c r="E10" s="7"/>
      <c r="F10" s="8" t="n">
        <v>0</v>
      </c>
      <c r="G10" s="8" t="n">
        <v>0</v>
      </c>
      <c r="H10" s="7" t="n">
        <v>0</v>
      </c>
      <c r="I10" s="7"/>
      <c r="J10" s="7" t="n">
        <v>0</v>
      </c>
      <c r="K10" s="9" t="s">
        <v>4</v>
      </c>
      <c r="L10" s="7" t="s">
        <v>35</v>
      </c>
      <c r="M10" s="7"/>
      <c r="N10" s="10" t="n">
        <f aca="false">IF(AND(ISNUMBER(F10),ISNUMBER(G10)),ABS(G10-F10),"")</f>
        <v>0</v>
      </c>
      <c r="O10" s="4" t="str">
        <f aca="false">IF(AND(ISNUMBER(N10),ISNUMBER(J10)),IF(N10&lt;=J10,"PASS","FAIL"),"n/a")</f>
        <v>PASS</v>
      </c>
    </row>
    <row r="11" customFormat="false" ht="23.85" hidden="false" customHeight="false" outlineLevel="0" collapsed="false">
      <c r="A11" s="7" t="s">
        <v>51</v>
      </c>
      <c r="B11" s="7" t="s">
        <v>28</v>
      </c>
      <c r="C11" s="7" t="s">
        <v>52</v>
      </c>
      <c r="D11" s="7" t="s">
        <v>47</v>
      </c>
      <c r="E11" s="7"/>
      <c r="F11" s="8" t="n">
        <v>0</v>
      </c>
      <c r="G11" s="8" t="n">
        <v>0</v>
      </c>
      <c r="H11" s="7" t="n">
        <v>0</v>
      </c>
      <c r="I11" s="7"/>
      <c r="J11" s="7" t="n">
        <v>0.01</v>
      </c>
      <c r="K11" s="9" t="s">
        <v>4</v>
      </c>
      <c r="L11" s="7" t="s">
        <v>53</v>
      </c>
      <c r="M11" s="7"/>
      <c r="N11" s="10" t="n">
        <f aca="false">IF(AND(ISNUMBER(F11),ISNUMBER(G11)),ABS(G11-F11),"")</f>
        <v>0</v>
      </c>
      <c r="O11" s="4" t="str">
        <f aca="false">IF(AND(ISNUMBER(N11),ISNUMBER(J11)),IF(N11&lt;=J11,"PASS","FAIL"),"n/a")</f>
        <v>PASS</v>
      </c>
    </row>
    <row r="12" customFormat="false" ht="23.85" hidden="false" customHeight="false" outlineLevel="0" collapsed="false">
      <c r="A12" s="7" t="s">
        <v>54</v>
      </c>
      <c r="B12" s="7" t="s">
        <v>28</v>
      </c>
      <c r="C12" s="7" t="s">
        <v>55</v>
      </c>
      <c r="D12" s="7" t="s">
        <v>47</v>
      </c>
      <c r="E12" s="7"/>
      <c r="F12" s="8" t="n">
        <v>0</v>
      </c>
      <c r="G12" s="8" t="n">
        <v>0</v>
      </c>
      <c r="H12" s="7" t="n">
        <v>0</v>
      </c>
      <c r="I12" s="7"/>
      <c r="J12" s="7" t="n">
        <v>0.01</v>
      </c>
      <c r="K12" s="9" t="s">
        <v>4</v>
      </c>
      <c r="L12" s="7" t="s">
        <v>56</v>
      </c>
      <c r="M12" s="7"/>
      <c r="N12" s="10" t="n">
        <f aca="false">IF(AND(ISNUMBER(F12),ISNUMBER(G12)),ABS(G12-F12),"")</f>
        <v>0</v>
      </c>
      <c r="O12" s="4" t="str">
        <f aca="false">IF(AND(ISNUMBER(N12),ISNUMBER(J12)),IF(N12&lt;=J12,"PASS","FAIL"),"n/a")</f>
        <v>PASS</v>
      </c>
    </row>
    <row r="13" customFormat="false" ht="23.85" hidden="false" customHeight="false" outlineLevel="0" collapsed="false">
      <c r="A13" s="7" t="s">
        <v>57</v>
      </c>
      <c r="B13" s="7" t="s">
        <v>28</v>
      </c>
      <c r="C13" s="7" t="s">
        <v>58</v>
      </c>
      <c r="D13" s="7" t="s">
        <v>47</v>
      </c>
      <c r="E13" s="7"/>
      <c r="F13" s="8" t="n">
        <v>0</v>
      </c>
      <c r="G13" s="8" t="n">
        <v>0</v>
      </c>
      <c r="H13" s="7" t="n">
        <v>0</v>
      </c>
      <c r="I13" s="7"/>
      <c r="J13" s="7" t="n">
        <v>1E-009</v>
      </c>
      <c r="K13" s="9" t="s">
        <v>4</v>
      </c>
      <c r="L13" s="7" t="s">
        <v>59</v>
      </c>
      <c r="M13" s="7"/>
      <c r="N13" s="10" t="n">
        <f aca="false">IF(AND(ISNUMBER(F13),ISNUMBER(G13)),ABS(G13-F13),"")</f>
        <v>0</v>
      </c>
      <c r="O13" s="4" t="str">
        <f aca="false">IF(AND(ISNUMBER(N13),ISNUMBER(J13)),IF(N13&lt;=J13,"PASS","FAIL"),"n/a")</f>
        <v>PASS</v>
      </c>
    </row>
    <row r="14" customFormat="false" ht="23.85" hidden="false" customHeight="false" outlineLevel="0" collapsed="false">
      <c r="A14" s="7" t="s">
        <v>60</v>
      </c>
      <c r="B14" s="7" t="s">
        <v>28</v>
      </c>
      <c r="C14" s="7" t="s">
        <v>61</v>
      </c>
      <c r="D14" s="7" t="s">
        <v>47</v>
      </c>
      <c r="E14" s="7" t="s">
        <v>62</v>
      </c>
      <c r="F14" s="8" t="n">
        <v>0</v>
      </c>
      <c r="G14" s="8" t="n">
        <v>0</v>
      </c>
      <c r="H14" s="7" t="n">
        <v>0</v>
      </c>
      <c r="I14" s="7"/>
      <c r="J14" s="7" t="n">
        <v>0</v>
      </c>
      <c r="K14" s="9" t="s">
        <v>4</v>
      </c>
      <c r="L14" s="7"/>
      <c r="M14" s="7"/>
      <c r="N14" s="10" t="n">
        <f aca="false">IF(AND(ISNUMBER(F14),ISNUMBER(G14)),ABS(G14-F14),"")</f>
        <v>0</v>
      </c>
      <c r="O14" s="4" t="str">
        <f aca="false">IF(AND(ISNUMBER(N14),ISNUMBER(J14)),IF(N14&lt;=J14,"PASS","FAIL"),"n/a")</f>
        <v>PASS</v>
      </c>
    </row>
    <row r="15" customFormat="false" ht="23.85" hidden="false" customHeight="false" outlineLevel="0" collapsed="false">
      <c r="A15" s="7" t="s">
        <v>63</v>
      </c>
      <c r="B15" s="7" t="s">
        <v>28</v>
      </c>
      <c r="C15" s="7" t="s">
        <v>64</v>
      </c>
      <c r="D15" s="7" t="s">
        <v>47</v>
      </c>
      <c r="E15" s="7"/>
      <c r="F15" s="8" t="n">
        <v>0</v>
      </c>
      <c r="G15" s="8" t="n">
        <v>0</v>
      </c>
      <c r="H15" s="7" t="n">
        <v>0</v>
      </c>
      <c r="I15" s="7"/>
      <c r="J15" s="7" t="n">
        <v>0</v>
      </c>
      <c r="K15" s="9" t="s">
        <v>4</v>
      </c>
      <c r="L15" s="7" t="s">
        <v>35</v>
      </c>
      <c r="M15" s="7"/>
      <c r="N15" s="10" t="n">
        <f aca="false">IF(AND(ISNUMBER(F15),ISNUMBER(G15)),ABS(G15-F15),"")</f>
        <v>0</v>
      </c>
      <c r="O15" s="4" t="str">
        <f aca="false">IF(AND(ISNUMBER(N15),ISNUMBER(J15)),IF(N15&lt;=J15,"PASS","FAIL"),"n/a")</f>
        <v>PASS</v>
      </c>
    </row>
    <row r="16" customFormat="false" ht="23.85" hidden="false" customHeight="false" outlineLevel="0" collapsed="false">
      <c r="A16" s="7" t="s">
        <v>65</v>
      </c>
      <c r="B16" s="7" t="s">
        <v>28</v>
      </c>
      <c r="C16" s="7" t="s">
        <v>66</v>
      </c>
      <c r="D16" s="7" t="s">
        <v>47</v>
      </c>
      <c r="E16" s="7"/>
      <c r="F16" s="8" t="n">
        <v>0</v>
      </c>
      <c r="G16" s="8" t="n">
        <v>0</v>
      </c>
      <c r="H16" s="7" t="n">
        <v>0</v>
      </c>
      <c r="I16" s="7"/>
      <c r="J16" s="7" t="n">
        <v>0.01</v>
      </c>
      <c r="K16" s="9" t="s">
        <v>4</v>
      </c>
      <c r="L16" s="7" t="s">
        <v>67</v>
      </c>
      <c r="M16" s="7"/>
      <c r="N16" s="10" t="n">
        <f aca="false">IF(AND(ISNUMBER(F16),ISNUMBER(G16)),ABS(G16-F16),"")</f>
        <v>0</v>
      </c>
      <c r="O16" s="4" t="str">
        <f aca="false">IF(AND(ISNUMBER(N16),ISNUMBER(J16)),IF(N16&lt;=J16,"PASS","FAIL"),"n/a")</f>
        <v>PASS</v>
      </c>
    </row>
    <row r="17" customFormat="false" ht="23.85" hidden="false" customHeight="false" outlineLevel="0" collapsed="false">
      <c r="A17" s="7" t="s">
        <v>68</v>
      </c>
      <c r="B17" s="7" t="s">
        <v>28</v>
      </c>
      <c r="C17" s="7" t="s">
        <v>69</v>
      </c>
      <c r="D17" s="7" t="s">
        <v>47</v>
      </c>
      <c r="E17" s="7"/>
      <c r="F17" s="8" t="n">
        <v>0</v>
      </c>
      <c r="G17" s="8" t="n">
        <v>0</v>
      </c>
      <c r="H17" s="7" t="n">
        <v>0</v>
      </c>
      <c r="I17" s="7"/>
      <c r="J17" s="7" t="n">
        <v>0.01</v>
      </c>
      <c r="K17" s="9" t="s">
        <v>4</v>
      </c>
      <c r="L17" s="7" t="s">
        <v>70</v>
      </c>
      <c r="M17" s="7"/>
      <c r="N17" s="10" t="n">
        <f aca="false">IF(AND(ISNUMBER(F17),ISNUMBER(G17)),ABS(G17-F17),"")</f>
        <v>0</v>
      </c>
      <c r="O17" s="4" t="str">
        <f aca="false">IF(AND(ISNUMBER(N17),ISNUMBER(J17)),IF(N17&lt;=J17,"PASS","FAIL"),"n/a")</f>
        <v>PASS</v>
      </c>
    </row>
    <row r="18" customFormat="false" ht="23.85" hidden="false" customHeight="false" outlineLevel="0" collapsed="false">
      <c r="A18" s="7" t="s">
        <v>71</v>
      </c>
      <c r="B18" s="7" t="s">
        <v>28</v>
      </c>
      <c r="C18" s="7" t="s">
        <v>72</v>
      </c>
      <c r="D18" s="7" t="s">
        <v>47</v>
      </c>
      <c r="E18" s="7"/>
      <c r="F18" s="8" t="n">
        <v>0</v>
      </c>
      <c r="G18" s="8" t="n">
        <v>0</v>
      </c>
      <c r="H18" s="7" t="n">
        <v>0</v>
      </c>
      <c r="I18" s="7"/>
      <c r="J18" s="7" t="n">
        <v>1E-009</v>
      </c>
      <c r="K18" s="9" t="s">
        <v>4</v>
      </c>
      <c r="L18" s="7" t="s">
        <v>73</v>
      </c>
      <c r="M18" s="7"/>
      <c r="N18" s="10" t="n">
        <f aca="false">IF(AND(ISNUMBER(F18),ISNUMBER(G18)),ABS(G18-F18),"")</f>
        <v>0</v>
      </c>
      <c r="O18" s="4" t="str">
        <f aca="false">IF(AND(ISNUMBER(N18),ISNUMBER(J18)),IF(N18&lt;=J18,"PASS","FAIL"),"n/a")</f>
        <v>PASS</v>
      </c>
    </row>
    <row r="19" customFormat="false" ht="23.85" hidden="false" customHeight="false" outlineLevel="0" collapsed="false">
      <c r="A19" s="7" t="s">
        <v>74</v>
      </c>
      <c r="B19" s="7" t="s">
        <v>28</v>
      </c>
      <c r="C19" s="7" t="s">
        <v>75</v>
      </c>
      <c r="D19" s="7" t="s">
        <v>47</v>
      </c>
      <c r="E19" s="7" t="s">
        <v>76</v>
      </c>
      <c r="F19" s="8" t="n">
        <v>0</v>
      </c>
      <c r="G19" s="8" t="n">
        <v>0</v>
      </c>
      <c r="H19" s="7" t="n">
        <v>0</v>
      </c>
      <c r="I19" s="7"/>
      <c r="J19" s="7" t="n">
        <v>0</v>
      </c>
      <c r="K19" s="9" t="s">
        <v>4</v>
      </c>
      <c r="L19" s="7"/>
      <c r="M19" s="7"/>
      <c r="N19" s="10" t="n">
        <f aca="false">IF(AND(ISNUMBER(F19),ISNUMBER(G19)),ABS(G19-F19),"")</f>
        <v>0</v>
      </c>
      <c r="O19" s="4" t="str">
        <f aca="false">IF(AND(ISNUMBER(N19),ISNUMBER(J19)),IF(N19&lt;=J19,"PASS","FAIL"),"n/a")</f>
        <v>PASS</v>
      </c>
    </row>
    <row r="20" customFormat="false" ht="23.85" hidden="false" customHeight="false" outlineLevel="0" collapsed="false">
      <c r="A20" s="7" t="s">
        <v>77</v>
      </c>
      <c r="B20" s="7" t="s">
        <v>28</v>
      </c>
      <c r="C20" s="7" t="s">
        <v>78</v>
      </c>
      <c r="D20" s="7" t="s">
        <v>47</v>
      </c>
      <c r="E20" s="7"/>
      <c r="F20" s="8" t="n">
        <v>0</v>
      </c>
      <c r="G20" s="8" t="n">
        <v>0</v>
      </c>
      <c r="H20" s="7" t="n">
        <v>0</v>
      </c>
      <c r="I20" s="7"/>
      <c r="J20" s="7" t="n">
        <v>0</v>
      </c>
      <c r="K20" s="9" t="s">
        <v>4</v>
      </c>
      <c r="L20" s="7" t="s">
        <v>35</v>
      </c>
      <c r="M20" s="7"/>
      <c r="N20" s="10" t="n">
        <f aca="false">IF(AND(ISNUMBER(F20),ISNUMBER(G20)),ABS(G20-F20),"")</f>
        <v>0</v>
      </c>
      <c r="O20" s="4" t="str">
        <f aca="false">IF(AND(ISNUMBER(N20),ISNUMBER(J20)),IF(N20&lt;=J20,"PASS","FAIL"),"n/a")</f>
        <v>PASS</v>
      </c>
    </row>
    <row r="21" customFormat="false" ht="23.85" hidden="false" customHeight="false" outlineLevel="0" collapsed="false">
      <c r="A21" s="7" t="s">
        <v>79</v>
      </c>
      <c r="B21" s="7" t="s">
        <v>28</v>
      </c>
      <c r="C21" s="7" t="s">
        <v>80</v>
      </c>
      <c r="D21" s="7" t="s">
        <v>47</v>
      </c>
      <c r="E21" s="7"/>
      <c r="F21" s="8" t="n">
        <v>0</v>
      </c>
      <c r="G21" s="8" t="n">
        <v>0</v>
      </c>
      <c r="H21" s="7" t="n">
        <v>0</v>
      </c>
      <c r="I21" s="7"/>
      <c r="J21" s="7" t="n">
        <v>0.01</v>
      </c>
      <c r="K21" s="9" t="s">
        <v>4</v>
      </c>
      <c r="L21" s="7" t="s">
        <v>81</v>
      </c>
      <c r="M21" s="7"/>
      <c r="N21" s="10" t="n">
        <f aca="false">IF(AND(ISNUMBER(F21),ISNUMBER(G21)),ABS(G21-F21),"")</f>
        <v>0</v>
      </c>
      <c r="O21" s="4" t="str">
        <f aca="false">IF(AND(ISNUMBER(N21),ISNUMBER(J21)),IF(N21&lt;=J21,"PASS","FAIL"),"n/a")</f>
        <v>PASS</v>
      </c>
    </row>
    <row r="22" customFormat="false" ht="23.85" hidden="false" customHeight="false" outlineLevel="0" collapsed="false">
      <c r="A22" s="7" t="s">
        <v>82</v>
      </c>
      <c r="B22" s="7" t="s">
        <v>28</v>
      </c>
      <c r="C22" s="7" t="s">
        <v>83</v>
      </c>
      <c r="D22" s="7" t="s">
        <v>47</v>
      </c>
      <c r="E22" s="7"/>
      <c r="F22" s="8" t="n">
        <v>0</v>
      </c>
      <c r="G22" s="8" t="n">
        <v>0</v>
      </c>
      <c r="H22" s="7" t="n">
        <v>0</v>
      </c>
      <c r="I22" s="7"/>
      <c r="J22" s="7" t="n">
        <v>0.01</v>
      </c>
      <c r="K22" s="9" t="s">
        <v>4</v>
      </c>
      <c r="L22" s="7" t="s">
        <v>84</v>
      </c>
      <c r="M22" s="7"/>
      <c r="N22" s="10" t="n">
        <f aca="false">IF(AND(ISNUMBER(F22),ISNUMBER(G22)),ABS(G22-F22),"")</f>
        <v>0</v>
      </c>
      <c r="O22" s="4" t="str">
        <f aca="false">IF(AND(ISNUMBER(N22),ISNUMBER(J22)),IF(N22&lt;=J22,"PASS","FAIL"),"n/a")</f>
        <v>PASS</v>
      </c>
    </row>
    <row r="23" customFormat="false" ht="23.85" hidden="false" customHeight="false" outlineLevel="0" collapsed="false">
      <c r="A23" s="7" t="s">
        <v>85</v>
      </c>
      <c r="B23" s="7" t="s">
        <v>28</v>
      </c>
      <c r="C23" s="7" t="s">
        <v>86</v>
      </c>
      <c r="D23" s="7" t="s">
        <v>47</v>
      </c>
      <c r="E23" s="7"/>
      <c r="F23" s="8" t="n">
        <v>0</v>
      </c>
      <c r="G23" s="8" t="n">
        <v>0</v>
      </c>
      <c r="H23" s="7" t="n">
        <v>0</v>
      </c>
      <c r="I23" s="7"/>
      <c r="J23" s="7" t="n">
        <v>1E-009</v>
      </c>
      <c r="K23" s="9" t="s">
        <v>4</v>
      </c>
      <c r="L23" s="7" t="s">
        <v>87</v>
      </c>
      <c r="M23" s="7"/>
      <c r="N23" s="10" t="n">
        <f aca="false">IF(AND(ISNUMBER(F23),ISNUMBER(G23)),ABS(G23-F23),"")</f>
        <v>0</v>
      </c>
      <c r="O23" s="4" t="str">
        <f aca="false">IF(AND(ISNUMBER(N23),ISNUMBER(J23)),IF(N23&lt;=J23,"PASS","FAIL"),"n/a")</f>
        <v>PASS</v>
      </c>
    </row>
    <row r="24" customFormat="false" ht="23.85" hidden="false" customHeight="false" outlineLevel="0" collapsed="false">
      <c r="A24" s="7" t="s">
        <v>88</v>
      </c>
      <c r="B24" s="7" t="s">
        <v>28</v>
      </c>
      <c r="C24" s="7" t="s">
        <v>89</v>
      </c>
      <c r="D24" s="7" t="s">
        <v>47</v>
      </c>
      <c r="E24" s="7"/>
      <c r="F24" s="8" t="n">
        <v>0</v>
      </c>
      <c r="G24" s="8" t="n">
        <v>0</v>
      </c>
      <c r="H24" s="7" t="n">
        <v>0</v>
      </c>
      <c r="I24" s="7"/>
      <c r="J24" s="7" t="n">
        <v>1E-009</v>
      </c>
      <c r="K24" s="9" t="s">
        <v>4</v>
      </c>
      <c r="L24" s="7" t="s">
        <v>90</v>
      </c>
      <c r="M24" s="7"/>
      <c r="N24" s="10" t="n">
        <f aca="false">IF(AND(ISNUMBER(F24),ISNUMBER(G24)),ABS(G24-F24),"")</f>
        <v>0</v>
      </c>
      <c r="O24" s="4" t="str">
        <f aca="false">IF(AND(ISNUMBER(N24),ISNUMBER(J24)),IF(N24&lt;=J24,"PASS","FAIL"),"n/a")</f>
        <v>PASS</v>
      </c>
    </row>
    <row r="25" customFormat="false" ht="23.85" hidden="false" customHeight="false" outlineLevel="0" collapsed="false">
      <c r="A25" s="7" t="s">
        <v>91</v>
      </c>
      <c r="B25" s="7" t="s">
        <v>28</v>
      </c>
      <c r="C25" s="7" t="s">
        <v>92</v>
      </c>
      <c r="D25" s="7"/>
      <c r="E25" s="7"/>
      <c r="F25" s="8" t="n">
        <v>55043</v>
      </c>
      <c r="G25" s="8" t="n">
        <v>55043</v>
      </c>
      <c r="H25" s="7" t="n">
        <v>0</v>
      </c>
      <c r="I25" s="7" t="n">
        <v>0</v>
      </c>
      <c r="J25" s="7" t="n">
        <v>0</v>
      </c>
      <c r="K25" s="9" t="s">
        <v>4</v>
      </c>
      <c r="L25" s="7"/>
      <c r="M25" s="7"/>
      <c r="N25" s="10" t="n">
        <f aca="false">IF(AND(ISNUMBER(F25),ISNUMBER(G25)),ABS(G25-F25),"")</f>
        <v>0</v>
      </c>
      <c r="O25" s="4" t="str">
        <f aca="false">IF(AND(ISNUMBER(N25),ISNUMBER(J25)),IF(N25&lt;=J25,"PASS","FAIL"),"n/a")</f>
        <v>PASS</v>
      </c>
    </row>
    <row r="26" customFormat="false" ht="23.85" hidden="false" customHeight="false" outlineLevel="0" collapsed="false">
      <c r="A26" s="7" t="s">
        <v>93</v>
      </c>
      <c r="B26" s="7" t="s">
        <v>28</v>
      </c>
      <c r="C26" s="7" t="s">
        <v>94</v>
      </c>
      <c r="D26" s="7" t="s">
        <v>95</v>
      </c>
      <c r="E26" s="7" t="s">
        <v>96</v>
      </c>
      <c r="F26" s="8" t="n">
        <v>0</v>
      </c>
      <c r="G26" s="8" t="n">
        <v>0</v>
      </c>
      <c r="H26" s="7" t="n">
        <v>0</v>
      </c>
      <c r="I26" s="7"/>
      <c r="J26" s="7" t="n">
        <v>0</v>
      </c>
      <c r="K26" s="9" t="s">
        <v>4</v>
      </c>
      <c r="L26" s="7"/>
      <c r="M26" s="7"/>
      <c r="N26" s="10" t="n">
        <f aca="false">IF(AND(ISNUMBER(F26),ISNUMBER(G26)),ABS(G26-F26),"")</f>
        <v>0</v>
      </c>
      <c r="O26" s="4" t="str">
        <f aca="false">IF(AND(ISNUMBER(N26),ISNUMBER(J26)),IF(N26&lt;=J26,"PASS","FAIL"),"n/a")</f>
        <v>PASS</v>
      </c>
    </row>
    <row r="27" customFormat="false" ht="23.85" hidden="false" customHeight="false" outlineLevel="0" collapsed="false">
      <c r="A27" s="7" t="s">
        <v>97</v>
      </c>
      <c r="B27" s="7" t="s">
        <v>28</v>
      </c>
      <c r="C27" s="7" t="s">
        <v>98</v>
      </c>
      <c r="D27" s="7" t="s">
        <v>95</v>
      </c>
      <c r="E27" s="7" t="s">
        <v>99</v>
      </c>
      <c r="F27" s="8" t="n">
        <v>0</v>
      </c>
      <c r="G27" s="8" t="n">
        <v>0</v>
      </c>
      <c r="H27" s="7" t="n">
        <v>0</v>
      </c>
      <c r="I27" s="7"/>
      <c r="J27" s="7" t="n">
        <v>0</v>
      </c>
      <c r="K27" s="9" t="s">
        <v>4</v>
      </c>
      <c r="L27" s="7" t="s">
        <v>35</v>
      </c>
      <c r="M27" s="7"/>
      <c r="N27" s="10" t="n">
        <f aca="false">IF(AND(ISNUMBER(F27),ISNUMBER(G27)),ABS(G27-F27),"")</f>
        <v>0</v>
      </c>
      <c r="O27" s="4" t="str">
        <f aca="false">IF(AND(ISNUMBER(N27),ISNUMBER(J27)),IF(N27&lt;=J27,"PASS","FAIL"),"n/a")</f>
        <v>PASS</v>
      </c>
    </row>
    <row r="28" customFormat="false" ht="23.85" hidden="false" customHeight="false" outlineLevel="0" collapsed="false">
      <c r="A28" s="7" t="s">
        <v>100</v>
      </c>
      <c r="B28" s="7" t="s">
        <v>28</v>
      </c>
      <c r="C28" s="7" t="s">
        <v>101</v>
      </c>
      <c r="D28" s="7" t="s">
        <v>95</v>
      </c>
      <c r="E28" s="7" t="s">
        <v>99</v>
      </c>
      <c r="F28" s="8" t="n">
        <v>0</v>
      </c>
      <c r="G28" s="8" t="n">
        <v>0</v>
      </c>
      <c r="H28" s="7" t="n">
        <v>0</v>
      </c>
      <c r="I28" s="7"/>
      <c r="J28" s="7" t="n">
        <v>0.01</v>
      </c>
      <c r="K28" s="9" t="s">
        <v>4</v>
      </c>
      <c r="L28" s="7" t="s">
        <v>102</v>
      </c>
      <c r="M28" s="7"/>
      <c r="N28" s="10" t="n">
        <f aca="false">IF(AND(ISNUMBER(F28),ISNUMBER(G28)),ABS(G28-F28),"")</f>
        <v>0</v>
      </c>
      <c r="O28" s="4" t="str">
        <f aca="false">IF(AND(ISNUMBER(N28),ISNUMBER(J28)),IF(N28&lt;=J28,"PASS","FAIL"),"n/a")</f>
        <v>PASS</v>
      </c>
    </row>
    <row r="29" customFormat="false" ht="23.85" hidden="false" customHeight="false" outlineLevel="0" collapsed="false">
      <c r="A29" s="7" t="s">
        <v>103</v>
      </c>
      <c r="B29" s="7" t="s">
        <v>28</v>
      </c>
      <c r="C29" s="7" t="s">
        <v>104</v>
      </c>
      <c r="D29" s="7" t="s">
        <v>95</v>
      </c>
      <c r="E29" s="7" t="s">
        <v>99</v>
      </c>
      <c r="F29" s="8" t="n">
        <v>0</v>
      </c>
      <c r="G29" s="8" t="n">
        <v>0</v>
      </c>
      <c r="H29" s="7" t="n">
        <v>0</v>
      </c>
      <c r="I29" s="7"/>
      <c r="J29" s="7" t="n">
        <v>0.01</v>
      </c>
      <c r="K29" s="9" t="s">
        <v>4</v>
      </c>
      <c r="L29" s="7" t="s">
        <v>105</v>
      </c>
      <c r="M29" s="7"/>
      <c r="N29" s="10" t="n">
        <f aca="false">IF(AND(ISNUMBER(F29),ISNUMBER(G29)),ABS(G29-F29),"")</f>
        <v>0</v>
      </c>
      <c r="O29" s="4" t="str">
        <f aca="false">IF(AND(ISNUMBER(N29),ISNUMBER(J29)),IF(N29&lt;=J29,"PASS","FAIL"),"n/a")</f>
        <v>PASS</v>
      </c>
    </row>
    <row r="30" customFormat="false" ht="23.85" hidden="false" customHeight="false" outlineLevel="0" collapsed="false">
      <c r="A30" s="7" t="s">
        <v>106</v>
      </c>
      <c r="B30" s="7" t="s">
        <v>28</v>
      </c>
      <c r="C30" s="7" t="s">
        <v>107</v>
      </c>
      <c r="D30" s="7" t="s">
        <v>95</v>
      </c>
      <c r="E30" s="7" t="s">
        <v>99</v>
      </c>
      <c r="F30" s="8" t="n">
        <v>0</v>
      </c>
      <c r="G30" s="8" t="n">
        <v>0</v>
      </c>
      <c r="H30" s="7" t="n">
        <v>0</v>
      </c>
      <c r="I30" s="7"/>
      <c r="J30" s="7" t="n">
        <v>0.01</v>
      </c>
      <c r="K30" s="9" t="s">
        <v>4</v>
      </c>
      <c r="L30" s="7" t="s">
        <v>108</v>
      </c>
      <c r="M30" s="7"/>
      <c r="N30" s="10" t="n">
        <f aca="false">IF(AND(ISNUMBER(F30),ISNUMBER(G30)),ABS(G30-F30),"")</f>
        <v>0</v>
      </c>
      <c r="O30" s="4" t="str">
        <f aca="false">IF(AND(ISNUMBER(N30),ISNUMBER(J30)),IF(N30&lt;=J30,"PASS","FAIL"),"n/a")</f>
        <v>PASS</v>
      </c>
    </row>
    <row r="31" customFormat="false" ht="35.05" hidden="false" customHeight="false" outlineLevel="0" collapsed="false">
      <c r="A31" s="7" t="s">
        <v>109</v>
      </c>
      <c r="B31" s="7" t="s">
        <v>28</v>
      </c>
      <c r="C31" s="7" t="s">
        <v>110</v>
      </c>
      <c r="D31" s="7" t="s">
        <v>95</v>
      </c>
      <c r="E31" s="7" t="s">
        <v>99</v>
      </c>
      <c r="F31" s="8" t="n">
        <v>0</v>
      </c>
      <c r="G31" s="8" t="n">
        <v>0</v>
      </c>
      <c r="H31" s="7" t="n">
        <v>0</v>
      </c>
      <c r="I31" s="7"/>
      <c r="J31" s="7" t="n">
        <v>0.01</v>
      </c>
      <c r="K31" s="9" t="s">
        <v>4</v>
      </c>
      <c r="L31" s="7" t="s">
        <v>111</v>
      </c>
      <c r="M31" s="7"/>
      <c r="N31" s="10" t="n">
        <f aca="false">IF(AND(ISNUMBER(F31),ISNUMBER(G31)),ABS(G31-F31),"")</f>
        <v>0</v>
      </c>
      <c r="O31" s="4" t="str">
        <f aca="false">IF(AND(ISNUMBER(N31),ISNUMBER(J31)),IF(N31&lt;=J31,"PASS","FAIL"),"n/a")</f>
        <v>PASS</v>
      </c>
    </row>
    <row r="32" customFormat="false" ht="35.05" hidden="false" customHeight="false" outlineLevel="0" collapsed="false">
      <c r="A32" s="7" t="s">
        <v>112</v>
      </c>
      <c r="B32" s="7" t="s">
        <v>28</v>
      </c>
      <c r="C32" s="7" t="s">
        <v>113</v>
      </c>
      <c r="D32" s="7" t="s">
        <v>95</v>
      </c>
      <c r="E32" s="7" t="s">
        <v>99</v>
      </c>
      <c r="F32" s="8" t="n">
        <v>0</v>
      </c>
      <c r="G32" s="8" t="n">
        <v>0</v>
      </c>
      <c r="H32" s="7" t="n">
        <v>0</v>
      </c>
      <c r="I32" s="7"/>
      <c r="J32" s="7" t="n">
        <v>1E-009</v>
      </c>
      <c r="K32" s="9" t="s">
        <v>4</v>
      </c>
      <c r="L32" s="7" t="s">
        <v>114</v>
      </c>
      <c r="M32" s="7"/>
      <c r="N32" s="10" t="n">
        <f aca="false">IF(AND(ISNUMBER(F32),ISNUMBER(G32)),ABS(G32-F32),"")</f>
        <v>0</v>
      </c>
      <c r="O32" s="4" t="str">
        <f aca="false">IF(AND(ISNUMBER(N32),ISNUMBER(J32)),IF(N32&lt;=J32,"PASS","FAIL"),"n/a")</f>
        <v>PASS</v>
      </c>
    </row>
    <row r="33" customFormat="false" ht="23.85" hidden="false" customHeight="false" outlineLevel="0" collapsed="false">
      <c r="A33" s="7" t="s">
        <v>115</v>
      </c>
      <c r="B33" s="7" t="s">
        <v>28</v>
      </c>
      <c r="C33" s="7" t="s">
        <v>116</v>
      </c>
      <c r="D33" s="7" t="s">
        <v>95</v>
      </c>
      <c r="E33" s="7" t="s">
        <v>99</v>
      </c>
      <c r="F33" s="8" t="n">
        <v>0</v>
      </c>
      <c r="G33" s="8" t="n">
        <v>0</v>
      </c>
      <c r="H33" s="7" t="n">
        <v>0</v>
      </c>
      <c r="I33" s="7"/>
      <c r="J33" s="7" t="n">
        <v>1E-009</v>
      </c>
      <c r="K33" s="9" t="s">
        <v>4</v>
      </c>
      <c r="L33" s="7" t="s">
        <v>117</v>
      </c>
      <c r="M33" s="7"/>
      <c r="N33" s="10" t="n">
        <f aca="false">IF(AND(ISNUMBER(F33),ISNUMBER(G33)),ABS(G33-F33),"")</f>
        <v>0</v>
      </c>
      <c r="O33" s="4" t="str">
        <f aca="false">IF(AND(ISNUMBER(N33),ISNUMBER(J33)),IF(N33&lt;=J33,"PASS","FAIL"),"n/a")</f>
        <v>PASS</v>
      </c>
    </row>
    <row r="34" customFormat="false" ht="46.25" hidden="false" customHeight="false" outlineLevel="0" collapsed="false">
      <c r="A34" s="7" t="s">
        <v>118</v>
      </c>
      <c r="B34" s="7" t="s">
        <v>28</v>
      </c>
      <c r="C34" s="7" t="s">
        <v>119</v>
      </c>
      <c r="D34" s="7" t="s">
        <v>95</v>
      </c>
      <c r="E34" s="7" t="s">
        <v>99</v>
      </c>
      <c r="F34" s="8" t="n">
        <v>0</v>
      </c>
      <c r="G34" s="8" t="n">
        <v>0</v>
      </c>
      <c r="H34" s="7" t="n">
        <v>0</v>
      </c>
      <c r="I34" s="7"/>
      <c r="J34" s="7" t="n">
        <v>1E-009</v>
      </c>
      <c r="K34" s="9" t="s">
        <v>4</v>
      </c>
      <c r="L34" s="7" t="s">
        <v>120</v>
      </c>
      <c r="M34" s="7"/>
      <c r="N34" s="10" t="n">
        <f aca="false">IF(AND(ISNUMBER(F34),ISNUMBER(G34)),ABS(G34-F34),"")</f>
        <v>0</v>
      </c>
      <c r="O34" s="4" t="str">
        <f aca="false">IF(AND(ISNUMBER(N34),ISNUMBER(J34)),IF(N34&lt;=J34,"PASS","FAIL"),"n/a")</f>
        <v>PASS</v>
      </c>
    </row>
    <row r="35" customFormat="false" ht="23.85" hidden="false" customHeight="false" outlineLevel="0" collapsed="false">
      <c r="A35" s="7" t="s">
        <v>121</v>
      </c>
      <c r="B35" s="7" t="s">
        <v>28</v>
      </c>
      <c r="C35" s="7" t="s">
        <v>122</v>
      </c>
      <c r="D35" s="7" t="s">
        <v>123</v>
      </c>
      <c r="E35" s="7" t="s">
        <v>124</v>
      </c>
      <c r="F35" s="8" t="n">
        <v>0</v>
      </c>
      <c r="G35" s="8" t="n">
        <v>0</v>
      </c>
      <c r="H35" s="7" t="n">
        <v>0</v>
      </c>
      <c r="I35" s="7"/>
      <c r="J35" s="7" t="n">
        <v>0</v>
      </c>
      <c r="K35" s="9" t="s">
        <v>4</v>
      </c>
      <c r="L35" s="7"/>
      <c r="M35" s="7"/>
      <c r="N35" s="10" t="n">
        <f aca="false">IF(AND(ISNUMBER(F35),ISNUMBER(G35)),ABS(G35-F35),"")</f>
        <v>0</v>
      </c>
      <c r="O35" s="4" t="str">
        <f aca="false">IF(AND(ISNUMBER(N35),ISNUMBER(J35)),IF(N35&lt;=J35,"PASS","FAIL"),"n/a")</f>
        <v>PASS</v>
      </c>
    </row>
    <row r="36" customFormat="false" ht="23.85" hidden="false" customHeight="false" outlineLevel="0" collapsed="false">
      <c r="A36" s="7" t="s">
        <v>125</v>
      </c>
      <c r="B36" s="7" t="s">
        <v>28</v>
      </c>
      <c r="C36" s="7" t="s">
        <v>126</v>
      </c>
      <c r="D36" s="7" t="s">
        <v>123</v>
      </c>
      <c r="E36" s="7"/>
      <c r="F36" s="8" t="n">
        <v>0</v>
      </c>
      <c r="G36" s="8" t="n">
        <v>0</v>
      </c>
      <c r="H36" s="7" t="n">
        <v>0</v>
      </c>
      <c r="I36" s="7"/>
      <c r="J36" s="7" t="n">
        <v>0</v>
      </c>
      <c r="K36" s="9" t="s">
        <v>4</v>
      </c>
      <c r="L36" s="7" t="s">
        <v>35</v>
      </c>
      <c r="M36" s="7"/>
      <c r="N36" s="10" t="n">
        <f aca="false">IF(AND(ISNUMBER(F36),ISNUMBER(G36)),ABS(G36-F36),"")</f>
        <v>0</v>
      </c>
      <c r="O36" s="4" t="str">
        <f aca="false">IF(AND(ISNUMBER(N36),ISNUMBER(J36)),IF(N36&lt;=J36,"PASS","FAIL"),"n/a")</f>
        <v>PASS</v>
      </c>
    </row>
    <row r="37" customFormat="false" ht="23.85" hidden="false" customHeight="false" outlineLevel="0" collapsed="false">
      <c r="A37" s="7" t="s">
        <v>127</v>
      </c>
      <c r="B37" s="7" t="s">
        <v>28</v>
      </c>
      <c r="C37" s="7" t="s">
        <v>128</v>
      </c>
      <c r="D37" s="7" t="s">
        <v>123</v>
      </c>
      <c r="E37" s="7"/>
      <c r="F37" s="8" t="n">
        <v>0</v>
      </c>
      <c r="G37" s="8" t="n">
        <v>0</v>
      </c>
      <c r="H37" s="7" t="n">
        <v>0</v>
      </c>
      <c r="I37" s="7"/>
      <c r="J37" s="7" t="n">
        <v>0.01</v>
      </c>
      <c r="K37" s="9" t="s">
        <v>4</v>
      </c>
      <c r="L37" s="7" t="s">
        <v>129</v>
      </c>
      <c r="M37" s="7"/>
      <c r="N37" s="10" t="n">
        <f aca="false">IF(AND(ISNUMBER(F37),ISNUMBER(G37)),ABS(G37-F37),"")</f>
        <v>0</v>
      </c>
      <c r="O37" s="4" t="str">
        <f aca="false">IF(AND(ISNUMBER(N37),ISNUMBER(J37)),IF(N37&lt;=J37,"PASS","FAIL"),"n/a")</f>
        <v>PASS</v>
      </c>
    </row>
    <row r="38" customFormat="false" ht="23.85" hidden="false" customHeight="false" outlineLevel="0" collapsed="false">
      <c r="A38" s="7" t="s">
        <v>130</v>
      </c>
      <c r="B38" s="7" t="s">
        <v>28</v>
      </c>
      <c r="C38" s="7" t="s">
        <v>131</v>
      </c>
      <c r="D38" s="7" t="s">
        <v>123</v>
      </c>
      <c r="E38" s="7"/>
      <c r="F38" s="8" t="n">
        <v>0</v>
      </c>
      <c r="G38" s="8" t="n">
        <v>0</v>
      </c>
      <c r="H38" s="7" t="n">
        <v>0</v>
      </c>
      <c r="I38" s="7"/>
      <c r="J38" s="7" t="n">
        <v>0.01</v>
      </c>
      <c r="K38" s="9" t="s">
        <v>4</v>
      </c>
      <c r="L38" s="7" t="s">
        <v>56</v>
      </c>
      <c r="M38" s="7"/>
      <c r="N38" s="10" t="n">
        <f aca="false">IF(AND(ISNUMBER(F38),ISNUMBER(G38)),ABS(G38-F38),"")</f>
        <v>0</v>
      </c>
      <c r="O38" s="4" t="str">
        <f aca="false">IF(AND(ISNUMBER(N38),ISNUMBER(J38)),IF(N38&lt;=J38,"PASS","FAIL"),"n/a")</f>
        <v>PASS</v>
      </c>
    </row>
    <row r="39" customFormat="false" ht="23.85" hidden="false" customHeight="false" outlineLevel="0" collapsed="false">
      <c r="A39" s="7" t="s">
        <v>132</v>
      </c>
      <c r="B39" s="7" t="s">
        <v>28</v>
      </c>
      <c r="C39" s="7" t="s">
        <v>133</v>
      </c>
      <c r="D39" s="7" t="s">
        <v>123</v>
      </c>
      <c r="E39" s="7"/>
      <c r="F39" s="8" t="n">
        <v>0</v>
      </c>
      <c r="G39" s="8" t="n">
        <v>0</v>
      </c>
      <c r="H39" s="7" t="n">
        <v>0</v>
      </c>
      <c r="I39" s="7"/>
      <c r="J39" s="7" t="n">
        <v>0.01</v>
      </c>
      <c r="K39" s="9" t="s">
        <v>4</v>
      </c>
      <c r="L39" s="7" t="s">
        <v>134</v>
      </c>
      <c r="M39" s="7"/>
      <c r="N39" s="10" t="n">
        <f aca="false">IF(AND(ISNUMBER(F39),ISNUMBER(G39)),ABS(G39-F39),"")</f>
        <v>0</v>
      </c>
      <c r="O39" s="4" t="str">
        <f aca="false">IF(AND(ISNUMBER(N39),ISNUMBER(J39)),IF(N39&lt;=J39,"PASS","FAIL"),"n/a")</f>
        <v>PASS</v>
      </c>
    </row>
    <row r="40" customFormat="false" ht="23.85" hidden="false" customHeight="false" outlineLevel="0" collapsed="false">
      <c r="A40" s="7" t="s">
        <v>135</v>
      </c>
      <c r="B40" s="7" t="s">
        <v>28</v>
      </c>
      <c r="C40" s="7" t="s">
        <v>136</v>
      </c>
      <c r="D40" s="7" t="s">
        <v>137</v>
      </c>
      <c r="E40" s="7" t="s">
        <v>96</v>
      </c>
      <c r="F40" s="8" t="n">
        <v>0</v>
      </c>
      <c r="G40" s="8" t="n">
        <v>0</v>
      </c>
      <c r="H40" s="7" t="n">
        <v>0</v>
      </c>
      <c r="I40" s="7"/>
      <c r="J40" s="7" t="n">
        <v>0</v>
      </c>
      <c r="K40" s="9" t="s">
        <v>4</v>
      </c>
      <c r="L40" s="7"/>
      <c r="M40" s="7"/>
      <c r="N40" s="10" t="n">
        <f aca="false">IF(AND(ISNUMBER(F40),ISNUMBER(G40)),ABS(G40-F40),"")</f>
        <v>0</v>
      </c>
      <c r="O40" s="4" t="str">
        <f aca="false">IF(AND(ISNUMBER(N40),ISNUMBER(J40)),IF(N40&lt;=J40,"PASS","FAIL"),"n/a")</f>
        <v>PASS</v>
      </c>
    </row>
    <row r="41" customFormat="false" ht="35.05" hidden="false" customHeight="false" outlineLevel="0" collapsed="false">
      <c r="A41" s="7" t="s">
        <v>138</v>
      </c>
      <c r="B41" s="7" t="s">
        <v>28</v>
      </c>
      <c r="C41" s="7" t="s">
        <v>139</v>
      </c>
      <c r="D41" s="7" t="s">
        <v>137</v>
      </c>
      <c r="E41" s="7" t="s">
        <v>140</v>
      </c>
      <c r="F41" s="8" t="n">
        <v>0</v>
      </c>
      <c r="G41" s="8" t="n">
        <v>0</v>
      </c>
      <c r="H41" s="7" t="n">
        <v>0</v>
      </c>
      <c r="I41" s="7"/>
      <c r="J41" s="7" t="n">
        <v>0</v>
      </c>
      <c r="K41" s="9" t="s">
        <v>4</v>
      </c>
      <c r="L41" s="7" t="s">
        <v>35</v>
      </c>
      <c r="M41" s="7"/>
      <c r="N41" s="10" t="n">
        <f aca="false">IF(AND(ISNUMBER(F41),ISNUMBER(G41)),ABS(G41-F41),"")</f>
        <v>0</v>
      </c>
      <c r="O41" s="4" t="str">
        <f aca="false">IF(AND(ISNUMBER(N41),ISNUMBER(J41)),IF(N41&lt;=J41,"PASS","FAIL"),"n/a")</f>
        <v>PASS</v>
      </c>
    </row>
    <row r="42" customFormat="false" ht="35.05" hidden="false" customHeight="false" outlineLevel="0" collapsed="false">
      <c r="A42" s="7" t="s">
        <v>141</v>
      </c>
      <c r="B42" s="7" t="s">
        <v>28</v>
      </c>
      <c r="C42" s="7" t="s">
        <v>142</v>
      </c>
      <c r="D42" s="7" t="s">
        <v>137</v>
      </c>
      <c r="E42" s="7" t="s">
        <v>140</v>
      </c>
      <c r="F42" s="8" t="n">
        <v>0</v>
      </c>
      <c r="G42" s="8" t="n">
        <v>0</v>
      </c>
      <c r="H42" s="7" t="n">
        <v>0</v>
      </c>
      <c r="I42" s="7"/>
      <c r="J42" s="7" t="n">
        <v>0.01</v>
      </c>
      <c r="K42" s="9" t="s">
        <v>4</v>
      </c>
      <c r="L42" s="7" t="s">
        <v>143</v>
      </c>
      <c r="M42" s="7"/>
      <c r="N42" s="10" t="n">
        <f aca="false">IF(AND(ISNUMBER(F42),ISNUMBER(G42)),ABS(G42-F42),"")</f>
        <v>0</v>
      </c>
      <c r="O42" s="4" t="str">
        <f aca="false">IF(AND(ISNUMBER(N42),ISNUMBER(J42)),IF(N42&lt;=J42,"PASS","FAIL"),"n/a")</f>
        <v>PASS</v>
      </c>
    </row>
    <row r="43" customFormat="false" ht="35.05" hidden="false" customHeight="false" outlineLevel="0" collapsed="false">
      <c r="A43" s="7" t="s">
        <v>144</v>
      </c>
      <c r="B43" s="7" t="s">
        <v>28</v>
      </c>
      <c r="C43" s="7" t="s">
        <v>145</v>
      </c>
      <c r="D43" s="7" t="s">
        <v>137</v>
      </c>
      <c r="E43" s="7" t="s">
        <v>140</v>
      </c>
      <c r="F43" s="8" t="n">
        <v>0</v>
      </c>
      <c r="G43" s="8" t="n">
        <v>0</v>
      </c>
      <c r="H43" s="7" t="n">
        <v>0</v>
      </c>
      <c r="I43" s="7"/>
      <c r="J43" s="7" t="n">
        <v>0.01</v>
      </c>
      <c r="K43" s="9" t="s">
        <v>4</v>
      </c>
      <c r="L43" s="7" t="s">
        <v>146</v>
      </c>
      <c r="M43" s="7"/>
      <c r="N43" s="10" t="n">
        <f aca="false">IF(AND(ISNUMBER(F43),ISNUMBER(G43)),ABS(G43-F43),"")</f>
        <v>0</v>
      </c>
      <c r="O43" s="4" t="str">
        <f aca="false">IF(AND(ISNUMBER(N43),ISNUMBER(J43)),IF(N43&lt;=J43,"PASS","FAIL"),"n/a")</f>
        <v>PASS</v>
      </c>
    </row>
    <row r="44" customFormat="false" ht="35.05" hidden="false" customHeight="false" outlineLevel="0" collapsed="false">
      <c r="A44" s="7" t="s">
        <v>147</v>
      </c>
      <c r="B44" s="7" t="s">
        <v>28</v>
      </c>
      <c r="C44" s="7" t="s">
        <v>148</v>
      </c>
      <c r="D44" s="7" t="s">
        <v>137</v>
      </c>
      <c r="E44" s="7" t="s">
        <v>140</v>
      </c>
      <c r="F44" s="8" t="n">
        <v>0</v>
      </c>
      <c r="G44" s="8" t="n">
        <v>0</v>
      </c>
      <c r="H44" s="7" t="n">
        <v>0</v>
      </c>
      <c r="I44" s="7"/>
      <c r="J44" s="7" t="n">
        <v>0.01</v>
      </c>
      <c r="K44" s="9" t="s">
        <v>4</v>
      </c>
      <c r="L44" s="7" t="s">
        <v>149</v>
      </c>
      <c r="M44" s="7"/>
      <c r="N44" s="10" t="n">
        <f aca="false">IF(AND(ISNUMBER(F44),ISNUMBER(G44)),ABS(G44-F44),"")</f>
        <v>0</v>
      </c>
      <c r="O44" s="4" t="str">
        <f aca="false">IF(AND(ISNUMBER(N44),ISNUMBER(J44)),IF(N44&lt;=J44,"PASS","FAIL"),"n/a")</f>
        <v>PASS</v>
      </c>
    </row>
    <row r="45" customFormat="false" ht="35.05" hidden="false" customHeight="false" outlineLevel="0" collapsed="false">
      <c r="A45" s="7" t="s">
        <v>150</v>
      </c>
      <c r="B45" s="7" t="s">
        <v>28</v>
      </c>
      <c r="C45" s="7" t="s">
        <v>151</v>
      </c>
      <c r="D45" s="7" t="s">
        <v>137</v>
      </c>
      <c r="E45" s="7" t="s">
        <v>140</v>
      </c>
      <c r="F45" s="8" t="n">
        <v>0</v>
      </c>
      <c r="G45" s="8" t="n">
        <v>0</v>
      </c>
      <c r="H45" s="7" t="n">
        <v>0</v>
      </c>
      <c r="I45" s="7"/>
      <c r="J45" s="7" t="n">
        <v>0.01</v>
      </c>
      <c r="K45" s="9" t="s">
        <v>4</v>
      </c>
      <c r="L45" s="7" t="s">
        <v>56</v>
      </c>
      <c r="M45" s="7"/>
      <c r="N45" s="10" t="n">
        <f aca="false">IF(AND(ISNUMBER(F45),ISNUMBER(G45)),ABS(G45-F45),"")</f>
        <v>0</v>
      </c>
      <c r="O45" s="4" t="str">
        <f aca="false">IF(AND(ISNUMBER(N45),ISNUMBER(J45)),IF(N45&lt;=J45,"PASS","FAIL"),"n/a")</f>
        <v>PASS</v>
      </c>
    </row>
    <row r="46" customFormat="false" ht="35.05" hidden="false" customHeight="false" outlineLevel="0" collapsed="false">
      <c r="A46" s="7" t="s">
        <v>152</v>
      </c>
      <c r="B46" s="7" t="s">
        <v>28</v>
      </c>
      <c r="C46" s="7" t="s">
        <v>153</v>
      </c>
      <c r="D46" s="7" t="s">
        <v>137</v>
      </c>
      <c r="E46" s="7" t="s">
        <v>140</v>
      </c>
      <c r="F46" s="8" t="n">
        <v>0</v>
      </c>
      <c r="G46" s="8" t="n">
        <v>0</v>
      </c>
      <c r="H46" s="7" t="n">
        <v>0</v>
      </c>
      <c r="I46" s="7"/>
      <c r="J46" s="7" t="n">
        <v>0.01</v>
      </c>
      <c r="K46" s="9" t="s">
        <v>4</v>
      </c>
      <c r="L46" s="7" t="s">
        <v>154</v>
      </c>
      <c r="M46" s="7"/>
      <c r="N46" s="10" t="n">
        <f aca="false">IF(AND(ISNUMBER(F46),ISNUMBER(G46)),ABS(G46-F46),"")</f>
        <v>0</v>
      </c>
      <c r="O46" s="4" t="str">
        <f aca="false">IF(AND(ISNUMBER(N46),ISNUMBER(J46)),IF(N46&lt;=J46,"PASS","FAIL"),"n/a")</f>
        <v>PASS</v>
      </c>
    </row>
    <row r="47" customFormat="false" ht="35.05" hidden="false" customHeight="false" outlineLevel="0" collapsed="false">
      <c r="A47" s="7" t="s">
        <v>155</v>
      </c>
      <c r="B47" s="7" t="s">
        <v>28</v>
      </c>
      <c r="C47" s="7" t="s">
        <v>156</v>
      </c>
      <c r="D47" s="7" t="s">
        <v>137</v>
      </c>
      <c r="E47" s="7" t="s">
        <v>140</v>
      </c>
      <c r="F47" s="8" t="n">
        <v>0</v>
      </c>
      <c r="G47" s="8" t="n">
        <v>0</v>
      </c>
      <c r="H47" s="7" t="n">
        <v>0</v>
      </c>
      <c r="I47" s="7"/>
      <c r="J47" s="7" t="n">
        <v>1E-009</v>
      </c>
      <c r="K47" s="9" t="s">
        <v>4</v>
      </c>
      <c r="L47" s="7" t="s">
        <v>157</v>
      </c>
      <c r="M47" s="7"/>
      <c r="N47" s="10" t="n">
        <f aca="false">IF(AND(ISNUMBER(F47),ISNUMBER(G47)),ABS(G47-F47),"")</f>
        <v>0</v>
      </c>
      <c r="O47" s="4" t="str">
        <f aca="false">IF(AND(ISNUMBER(N47),ISNUMBER(J47)),IF(N47&lt;=J47,"PASS","FAIL"),"n/a")</f>
        <v>PASS</v>
      </c>
    </row>
    <row r="48" customFormat="false" ht="35.05" hidden="false" customHeight="false" outlineLevel="0" collapsed="false">
      <c r="A48" s="7" t="s">
        <v>158</v>
      </c>
      <c r="B48" s="7" t="s">
        <v>28</v>
      </c>
      <c r="C48" s="7" t="s">
        <v>159</v>
      </c>
      <c r="D48" s="7" t="s">
        <v>137</v>
      </c>
      <c r="E48" s="7" t="s">
        <v>140</v>
      </c>
      <c r="F48" s="8" t="n">
        <v>0</v>
      </c>
      <c r="G48" s="8" t="n">
        <v>0</v>
      </c>
      <c r="H48" s="7" t="n">
        <v>0</v>
      </c>
      <c r="I48" s="7"/>
      <c r="J48" s="7" t="n">
        <v>1E-009</v>
      </c>
      <c r="K48" s="9" t="s">
        <v>4</v>
      </c>
      <c r="L48" s="7" t="s">
        <v>160</v>
      </c>
      <c r="M48" s="7"/>
      <c r="N48" s="10" t="n">
        <f aca="false">IF(AND(ISNUMBER(F48),ISNUMBER(G48)),ABS(G48-F48),"")</f>
        <v>0</v>
      </c>
      <c r="O48" s="4" t="str">
        <f aca="false">IF(AND(ISNUMBER(N48),ISNUMBER(J48)),IF(N48&lt;=J48,"PASS","FAIL"),"n/a")</f>
        <v>PASS</v>
      </c>
    </row>
    <row r="49" customFormat="false" ht="23.85" hidden="false" customHeight="false" outlineLevel="0" collapsed="false">
      <c r="A49" s="7" t="s">
        <v>161</v>
      </c>
      <c r="B49" s="7" t="s">
        <v>28</v>
      </c>
      <c r="C49" s="7" t="s">
        <v>162</v>
      </c>
      <c r="D49" s="7" t="s">
        <v>163</v>
      </c>
      <c r="E49" s="7" t="s">
        <v>164</v>
      </c>
      <c r="F49" s="8" t="n">
        <v>0</v>
      </c>
      <c r="G49" s="8" t="n">
        <v>0</v>
      </c>
      <c r="H49" s="7" t="n">
        <v>0</v>
      </c>
      <c r="I49" s="7"/>
      <c r="J49" s="7" t="n">
        <v>0</v>
      </c>
      <c r="K49" s="9" t="s">
        <v>4</v>
      </c>
      <c r="L49" s="7"/>
      <c r="M49" s="7"/>
      <c r="N49" s="10" t="n">
        <f aca="false">IF(AND(ISNUMBER(F49),ISNUMBER(G49)),ABS(G49-F49),"")</f>
        <v>0</v>
      </c>
      <c r="O49" s="4" t="str">
        <f aca="false">IF(AND(ISNUMBER(N49),ISNUMBER(J49)),IF(N49&lt;=J49,"PASS","FAIL"),"n/a")</f>
        <v>PASS</v>
      </c>
    </row>
    <row r="50" customFormat="false" ht="23.85" hidden="false" customHeight="false" outlineLevel="0" collapsed="false">
      <c r="A50" s="7" t="s">
        <v>165</v>
      </c>
      <c r="B50" s="7" t="s">
        <v>28</v>
      </c>
      <c r="C50" s="7" t="s">
        <v>166</v>
      </c>
      <c r="D50" s="7" t="s">
        <v>163</v>
      </c>
      <c r="E50" s="7" t="s">
        <v>167</v>
      </c>
      <c r="F50" s="8" t="n">
        <v>0</v>
      </c>
      <c r="G50" s="8" t="n">
        <v>0</v>
      </c>
      <c r="H50" s="7" t="n">
        <v>0</v>
      </c>
      <c r="I50" s="7"/>
      <c r="J50" s="7" t="n">
        <v>0</v>
      </c>
      <c r="K50" s="9" t="s">
        <v>4</v>
      </c>
      <c r="L50" s="7" t="s">
        <v>35</v>
      </c>
      <c r="M50" s="7"/>
      <c r="N50" s="10" t="n">
        <f aca="false">IF(AND(ISNUMBER(F50),ISNUMBER(G50)),ABS(G50-F50),"")</f>
        <v>0</v>
      </c>
      <c r="O50" s="4" t="str">
        <f aca="false">IF(AND(ISNUMBER(N50),ISNUMBER(J50)),IF(N50&lt;=J50,"PASS","FAIL"),"n/a")</f>
        <v>PASS</v>
      </c>
    </row>
    <row r="51" customFormat="false" ht="23.85" hidden="false" customHeight="false" outlineLevel="0" collapsed="false">
      <c r="A51" s="7" t="s">
        <v>168</v>
      </c>
      <c r="B51" s="7" t="s">
        <v>28</v>
      </c>
      <c r="C51" s="7" t="s">
        <v>169</v>
      </c>
      <c r="D51" s="7" t="s">
        <v>163</v>
      </c>
      <c r="E51" s="7" t="s">
        <v>167</v>
      </c>
      <c r="F51" s="8" t="n">
        <v>0</v>
      </c>
      <c r="G51" s="8" t="n">
        <v>0</v>
      </c>
      <c r="H51" s="7" t="n">
        <v>0</v>
      </c>
      <c r="I51" s="7"/>
      <c r="J51" s="7" t="n">
        <v>0.01</v>
      </c>
      <c r="K51" s="9" t="s">
        <v>4</v>
      </c>
      <c r="L51" s="7" t="s">
        <v>170</v>
      </c>
      <c r="M51" s="7"/>
      <c r="N51" s="10" t="n">
        <f aca="false">IF(AND(ISNUMBER(F51),ISNUMBER(G51)),ABS(G51-F51),"")</f>
        <v>0</v>
      </c>
      <c r="O51" s="4" t="str">
        <f aca="false">IF(AND(ISNUMBER(N51),ISNUMBER(J51)),IF(N51&lt;=J51,"PASS","FAIL"),"n/a")</f>
        <v>PASS</v>
      </c>
    </row>
    <row r="52" customFormat="false" ht="23.85" hidden="false" customHeight="false" outlineLevel="0" collapsed="false">
      <c r="A52" s="7" t="s">
        <v>171</v>
      </c>
      <c r="B52" s="7" t="s">
        <v>28</v>
      </c>
      <c r="C52" s="7" t="s">
        <v>172</v>
      </c>
      <c r="D52" s="7" t="s">
        <v>163</v>
      </c>
      <c r="E52" s="7" t="s">
        <v>167</v>
      </c>
      <c r="F52" s="8" t="n">
        <v>0</v>
      </c>
      <c r="G52" s="8" t="n">
        <v>0</v>
      </c>
      <c r="H52" s="7" t="n">
        <v>0</v>
      </c>
      <c r="I52" s="7"/>
      <c r="J52" s="7" t="n">
        <v>0.01</v>
      </c>
      <c r="K52" s="9" t="s">
        <v>4</v>
      </c>
      <c r="L52" s="7" t="s">
        <v>173</v>
      </c>
      <c r="M52" s="7"/>
      <c r="N52" s="10" t="n">
        <f aca="false">IF(AND(ISNUMBER(F52),ISNUMBER(G52)),ABS(G52-F52),"")</f>
        <v>0</v>
      </c>
      <c r="O52" s="4" t="str">
        <f aca="false">IF(AND(ISNUMBER(N52),ISNUMBER(J52)),IF(N52&lt;=J52,"PASS","FAIL"),"n/a")</f>
        <v>PASS</v>
      </c>
    </row>
    <row r="53" customFormat="false" ht="23.85" hidden="false" customHeight="false" outlineLevel="0" collapsed="false">
      <c r="A53" s="7" t="s">
        <v>174</v>
      </c>
      <c r="B53" s="7" t="s">
        <v>28</v>
      </c>
      <c r="C53" s="7" t="s">
        <v>175</v>
      </c>
      <c r="D53" s="7" t="s">
        <v>163</v>
      </c>
      <c r="E53" s="7" t="s">
        <v>167</v>
      </c>
      <c r="F53" s="8" t="n">
        <v>0</v>
      </c>
      <c r="G53" s="8" t="n">
        <v>0</v>
      </c>
      <c r="H53" s="7" t="n">
        <v>0</v>
      </c>
      <c r="I53" s="7"/>
      <c r="J53" s="7" t="n">
        <v>0.01</v>
      </c>
      <c r="K53" s="9" t="s">
        <v>4</v>
      </c>
      <c r="L53" s="7" t="s">
        <v>176</v>
      </c>
      <c r="M53" s="7"/>
      <c r="N53" s="10" t="n">
        <f aca="false">IF(AND(ISNUMBER(F53),ISNUMBER(G53)),ABS(G53-F53),"")</f>
        <v>0</v>
      </c>
      <c r="O53" s="4" t="str">
        <f aca="false">IF(AND(ISNUMBER(N53),ISNUMBER(J53)),IF(N53&lt;=J53,"PASS","FAIL"),"n/a")</f>
        <v>PASS</v>
      </c>
    </row>
    <row r="54" customFormat="false" ht="35.05" hidden="false" customHeight="false" outlineLevel="0" collapsed="false">
      <c r="A54" s="7" t="s">
        <v>177</v>
      </c>
      <c r="B54" s="7" t="s">
        <v>28</v>
      </c>
      <c r="C54" s="7" t="s">
        <v>178</v>
      </c>
      <c r="D54" s="7" t="s">
        <v>163</v>
      </c>
      <c r="E54" s="7" t="s">
        <v>167</v>
      </c>
      <c r="F54" s="8" t="n">
        <v>0</v>
      </c>
      <c r="G54" s="8" t="n">
        <v>0</v>
      </c>
      <c r="H54" s="7" t="n">
        <v>0</v>
      </c>
      <c r="I54" s="7"/>
      <c r="J54" s="7" t="n">
        <v>1E-009</v>
      </c>
      <c r="K54" s="9" t="s">
        <v>4</v>
      </c>
      <c r="L54" s="7" t="s">
        <v>179</v>
      </c>
      <c r="M54" s="7"/>
      <c r="N54" s="10" t="n">
        <f aca="false">IF(AND(ISNUMBER(F54),ISNUMBER(G54)),ABS(G54-F54),"")</f>
        <v>0</v>
      </c>
      <c r="O54" s="4" t="str">
        <f aca="false">IF(AND(ISNUMBER(N54),ISNUMBER(J54)),IF(N54&lt;=J54,"PASS","FAIL"),"n/a")</f>
        <v>PASS</v>
      </c>
    </row>
    <row r="55" customFormat="false" ht="23.85" hidden="false" customHeight="false" outlineLevel="0" collapsed="false">
      <c r="A55" s="7" t="s">
        <v>180</v>
      </c>
      <c r="B55" s="7" t="s">
        <v>28</v>
      </c>
      <c r="C55" s="7" t="s">
        <v>181</v>
      </c>
      <c r="D55" s="7" t="s">
        <v>182</v>
      </c>
      <c r="E55" s="7" t="s">
        <v>183</v>
      </c>
      <c r="F55" s="8" t="n">
        <v>0</v>
      </c>
      <c r="G55" s="8" t="n">
        <v>0</v>
      </c>
      <c r="H55" s="7" t="n">
        <v>0</v>
      </c>
      <c r="I55" s="7"/>
      <c r="J55" s="7" t="n">
        <v>0</v>
      </c>
      <c r="K55" s="9" t="s">
        <v>4</v>
      </c>
      <c r="L55" s="7"/>
      <c r="M55" s="7"/>
      <c r="N55" s="10" t="n">
        <f aca="false">IF(AND(ISNUMBER(F55),ISNUMBER(G55)),ABS(G55-F55),"")</f>
        <v>0</v>
      </c>
      <c r="O55" s="4" t="str">
        <f aca="false">IF(AND(ISNUMBER(N55),ISNUMBER(J55)),IF(N55&lt;=J55,"PASS","FAIL"),"n/a")</f>
        <v>PASS</v>
      </c>
    </row>
    <row r="56" customFormat="false" ht="23.85" hidden="false" customHeight="false" outlineLevel="0" collapsed="false">
      <c r="A56" s="7" t="s">
        <v>184</v>
      </c>
      <c r="B56" s="7" t="s">
        <v>28</v>
      </c>
      <c r="C56" s="7" t="s">
        <v>185</v>
      </c>
      <c r="D56" s="7" t="s">
        <v>182</v>
      </c>
      <c r="E56" s="7" t="s">
        <v>186</v>
      </c>
      <c r="F56" s="8" t="n">
        <v>0</v>
      </c>
      <c r="G56" s="8" t="n">
        <v>0</v>
      </c>
      <c r="H56" s="7" t="n">
        <v>0</v>
      </c>
      <c r="I56" s="7"/>
      <c r="J56" s="7" t="n">
        <v>0</v>
      </c>
      <c r="K56" s="9" t="s">
        <v>4</v>
      </c>
      <c r="L56" s="7" t="s">
        <v>35</v>
      </c>
      <c r="M56" s="7"/>
      <c r="N56" s="10" t="n">
        <f aca="false">IF(AND(ISNUMBER(F56),ISNUMBER(G56)),ABS(G56-F56),"")</f>
        <v>0</v>
      </c>
      <c r="O56" s="4" t="str">
        <f aca="false">IF(AND(ISNUMBER(N56),ISNUMBER(J56)),IF(N56&lt;=J56,"PASS","FAIL"),"n/a")</f>
        <v>PASS</v>
      </c>
    </row>
    <row r="57" customFormat="false" ht="23.85" hidden="false" customHeight="false" outlineLevel="0" collapsed="false">
      <c r="A57" s="7" t="s">
        <v>187</v>
      </c>
      <c r="B57" s="7" t="s">
        <v>28</v>
      </c>
      <c r="C57" s="7" t="s">
        <v>188</v>
      </c>
      <c r="D57" s="7" t="s">
        <v>182</v>
      </c>
      <c r="E57" s="7" t="s">
        <v>186</v>
      </c>
      <c r="F57" s="8" t="n">
        <v>0</v>
      </c>
      <c r="G57" s="8" t="n">
        <v>0</v>
      </c>
      <c r="H57" s="7" t="n">
        <v>0</v>
      </c>
      <c r="I57" s="7"/>
      <c r="J57" s="7" t="n">
        <v>0.01</v>
      </c>
      <c r="K57" s="9" t="s">
        <v>4</v>
      </c>
      <c r="L57" s="7" t="s">
        <v>189</v>
      </c>
      <c r="M57" s="7"/>
      <c r="N57" s="10" t="n">
        <f aca="false">IF(AND(ISNUMBER(F57),ISNUMBER(G57)),ABS(G57-F57),"")</f>
        <v>0</v>
      </c>
      <c r="O57" s="4" t="str">
        <f aca="false">IF(AND(ISNUMBER(N57),ISNUMBER(J57)),IF(N57&lt;=J57,"PASS","FAIL"),"n/a")</f>
        <v>PASS</v>
      </c>
    </row>
    <row r="58" customFormat="false" ht="23.85" hidden="false" customHeight="false" outlineLevel="0" collapsed="false">
      <c r="A58" s="7" t="s">
        <v>190</v>
      </c>
      <c r="B58" s="7" t="s">
        <v>28</v>
      </c>
      <c r="C58" s="7" t="s">
        <v>191</v>
      </c>
      <c r="D58" s="7" t="s">
        <v>182</v>
      </c>
      <c r="E58" s="7" t="s">
        <v>186</v>
      </c>
      <c r="F58" s="8" t="n">
        <v>0</v>
      </c>
      <c r="G58" s="8" t="n">
        <v>0</v>
      </c>
      <c r="H58" s="7" t="n">
        <v>0</v>
      </c>
      <c r="I58" s="7"/>
      <c r="J58" s="7" t="n">
        <v>0.01</v>
      </c>
      <c r="K58" s="9" t="s">
        <v>4</v>
      </c>
      <c r="L58" s="7" t="s">
        <v>192</v>
      </c>
      <c r="M58" s="7"/>
      <c r="N58" s="10" t="n">
        <f aca="false">IF(AND(ISNUMBER(F58),ISNUMBER(G58)),ABS(G58-F58),"")</f>
        <v>0</v>
      </c>
      <c r="O58" s="4" t="str">
        <f aca="false">IF(AND(ISNUMBER(N58),ISNUMBER(J58)),IF(N58&lt;=J58,"PASS","FAIL"),"n/a")</f>
        <v>PASS</v>
      </c>
    </row>
    <row r="59" customFormat="false" ht="23.85" hidden="false" customHeight="false" outlineLevel="0" collapsed="false">
      <c r="A59" s="7" t="s">
        <v>193</v>
      </c>
      <c r="B59" s="7" t="s">
        <v>28</v>
      </c>
      <c r="C59" s="7" t="s">
        <v>194</v>
      </c>
      <c r="D59" s="7" t="s">
        <v>182</v>
      </c>
      <c r="E59" s="7" t="s">
        <v>186</v>
      </c>
      <c r="F59" s="8" t="n">
        <v>0</v>
      </c>
      <c r="G59" s="8" t="n">
        <v>0</v>
      </c>
      <c r="H59" s="7" t="n">
        <v>0</v>
      </c>
      <c r="I59" s="7"/>
      <c r="J59" s="7" t="n">
        <v>0.01</v>
      </c>
      <c r="K59" s="9" t="s">
        <v>4</v>
      </c>
      <c r="L59" s="7" t="s">
        <v>195</v>
      </c>
      <c r="M59" s="7"/>
      <c r="N59" s="10" t="n">
        <f aca="false">IF(AND(ISNUMBER(F59),ISNUMBER(G59)),ABS(G59-F59),"")</f>
        <v>0</v>
      </c>
      <c r="O59" s="4" t="str">
        <f aca="false">IF(AND(ISNUMBER(N59),ISNUMBER(J59)),IF(N59&lt;=J59,"PASS","FAIL"),"n/a")</f>
        <v>PASS</v>
      </c>
    </row>
    <row r="60" customFormat="false" ht="23.85" hidden="false" customHeight="false" outlineLevel="0" collapsed="false">
      <c r="A60" s="7" t="s">
        <v>196</v>
      </c>
      <c r="B60" s="7" t="s">
        <v>28</v>
      </c>
      <c r="C60" s="7" t="s">
        <v>197</v>
      </c>
      <c r="D60" s="7" t="s">
        <v>182</v>
      </c>
      <c r="E60" s="7" t="s">
        <v>186</v>
      </c>
      <c r="F60" s="8" t="n">
        <v>0</v>
      </c>
      <c r="G60" s="8" t="n">
        <v>0</v>
      </c>
      <c r="H60" s="7" t="n">
        <v>0</v>
      </c>
      <c r="I60" s="7"/>
      <c r="J60" s="7" t="n">
        <v>1E-009</v>
      </c>
      <c r="K60" s="9" t="s">
        <v>4</v>
      </c>
      <c r="L60" s="7" t="s">
        <v>198</v>
      </c>
      <c r="M60" s="7"/>
      <c r="N60" s="10" t="n">
        <f aca="false">IF(AND(ISNUMBER(F60),ISNUMBER(G60)),ABS(G60-F60),"")</f>
        <v>0</v>
      </c>
      <c r="O60" s="4" t="str">
        <f aca="false">IF(AND(ISNUMBER(N60),ISNUMBER(J60)),IF(N60&lt;=J60,"PASS","FAIL"),"n/a")</f>
        <v>PASS</v>
      </c>
    </row>
    <row r="61" customFormat="false" ht="23.85" hidden="false" customHeight="false" outlineLevel="0" collapsed="false">
      <c r="A61" s="7" t="s">
        <v>199</v>
      </c>
      <c r="B61" s="7" t="s">
        <v>28</v>
      </c>
      <c r="C61" s="7" t="s">
        <v>200</v>
      </c>
      <c r="D61" s="7"/>
      <c r="E61" s="7"/>
      <c r="F61" s="8" t="n">
        <v>3</v>
      </c>
      <c r="G61" s="8" t="n">
        <v>3</v>
      </c>
      <c r="H61" s="7" t="n">
        <v>0</v>
      </c>
      <c r="I61" s="7" t="n">
        <v>0</v>
      </c>
      <c r="J61" s="7" t="n">
        <v>0</v>
      </c>
      <c r="K61" s="9" t="s">
        <v>4</v>
      </c>
      <c r="L61" s="7" t="s">
        <v>201</v>
      </c>
      <c r="M61" s="7"/>
      <c r="N61" s="10" t="n">
        <f aca="false">IF(AND(ISNUMBER(F61),ISNUMBER(G61)),ABS(G61-F61),"")</f>
        <v>0</v>
      </c>
      <c r="O61" s="4" t="str">
        <f aca="false">IF(AND(ISNUMBER(N61),ISNUMBER(J61)),IF(N61&lt;=J61,"PASS","FAIL"),"n/a")</f>
        <v>PASS</v>
      </c>
    </row>
    <row r="62" customFormat="false" ht="23.85" hidden="false" customHeight="false" outlineLevel="0" collapsed="false">
      <c r="A62" s="7" t="s">
        <v>202</v>
      </c>
      <c r="B62" s="7" t="s">
        <v>28</v>
      </c>
      <c r="C62" s="7" t="s">
        <v>203</v>
      </c>
      <c r="D62" s="7"/>
      <c r="E62" s="7"/>
      <c r="F62" s="7"/>
      <c r="G62" s="8" t="n">
        <v>10820</v>
      </c>
      <c r="H62" s="7"/>
      <c r="I62" s="7"/>
      <c r="J62" s="7"/>
      <c r="K62" s="11" t="s">
        <v>8</v>
      </c>
      <c r="L62" s="7" t="s">
        <v>204</v>
      </c>
      <c r="M62" s="7"/>
      <c r="N62" s="10" t="str">
        <f aca="false">IF(AND(ISNUMBER(F62),ISNUMBER(G62)),ABS(G62-F62),"")</f>
        <v/>
      </c>
      <c r="O62" s="4" t="str">
        <f aca="false">IF(AND(ISNUMBER(N62),ISNUMBER(J62)),IF(N62&lt;=J62,"PASS","FAIL"),"n/a")</f>
        <v>n/a</v>
      </c>
    </row>
    <row r="63" customFormat="false" ht="23.85" hidden="false" customHeight="false" outlineLevel="0" collapsed="false">
      <c r="A63" s="7" t="s">
        <v>205</v>
      </c>
      <c r="B63" s="7" t="s">
        <v>28</v>
      </c>
      <c r="C63" s="7" t="s">
        <v>206</v>
      </c>
      <c r="D63" s="7" t="s">
        <v>207</v>
      </c>
      <c r="E63" s="7" t="s">
        <v>208</v>
      </c>
      <c r="F63" s="8" t="n">
        <v>0</v>
      </c>
      <c r="G63" s="8" t="n">
        <v>0</v>
      </c>
      <c r="H63" s="7" t="n">
        <v>0</v>
      </c>
      <c r="I63" s="7"/>
      <c r="J63" s="7" t="n">
        <v>0</v>
      </c>
      <c r="K63" s="9" t="s">
        <v>4</v>
      </c>
      <c r="L63" s="7"/>
      <c r="M63" s="7"/>
      <c r="N63" s="10" t="n">
        <f aca="false">IF(AND(ISNUMBER(F63),ISNUMBER(G63)),ABS(G63-F63),"")</f>
        <v>0</v>
      </c>
      <c r="O63" s="4" t="str">
        <f aca="false">IF(AND(ISNUMBER(N63),ISNUMBER(J63)),IF(N63&lt;=J63,"PASS","FAIL"),"n/a")</f>
        <v>PASS</v>
      </c>
    </row>
    <row r="64" customFormat="false" ht="23.85" hidden="false" customHeight="false" outlineLevel="0" collapsed="false">
      <c r="A64" s="7" t="s">
        <v>209</v>
      </c>
      <c r="B64" s="7" t="s">
        <v>28</v>
      </c>
      <c r="C64" s="7" t="s">
        <v>210</v>
      </c>
      <c r="D64" s="7" t="s">
        <v>207</v>
      </c>
      <c r="E64" s="7" t="s">
        <v>211</v>
      </c>
      <c r="F64" s="8" t="n">
        <v>0</v>
      </c>
      <c r="G64" s="8" t="n">
        <v>0</v>
      </c>
      <c r="H64" s="7" t="n">
        <v>0</v>
      </c>
      <c r="I64" s="7"/>
      <c r="J64" s="7" t="n">
        <v>0</v>
      </c>
      <c r="K64" s="9" t="s">
        <v>4</v>
      </c>
      <c r="L64" s="7" t="s">
        <v>35</v>
      </c>
      <c r="M64" s="7"/>
      <c r="N64" s="10" t="n">
        <f aca="false">IF(AND(ISNUMBER(F64),ISNUMBER(G64)),ABS(G64-F64),"")</f>
        <v>0</v>
      </c>
      <c r="O64" s="4" t="str">
        <f aca="false">IF(AND(ISNUMBER(N64),ISNUMBER(J64)),IF(N64&lt;=J64,"PASS","FAIL"),"n/a")</f>
        <v>PASS</v>
      </c>
    </row>
    <row r="65" customFormat="false" ht="23.85" hidden="false" customHeight="false" outlineLevel="0" collapsed="false">
      <c r="A65" s="7" t="s">
        <v>212</v>
      </c>
      <c r="B65" s="7" t="s">
        <v>28</v>
      </c>
      <c r="C65" s="7" t="s">
        <v>213</v>
      </c>
      <c r="D65" s="7" t="s">
        <v>207</v>
      </c>
      <c r="E65" s="7" t="s">
        <v>211</v>
      </c>
      <c r="F65" s="8" t="n">
        <v>0</v>
      </c>
      <c r="G65" s="8" t="n">
        <v>0</v>
      </c>
      <c r="H65" s="7" t="n">
        <v>0</v>
      </c>
      <c r="I65" s="7"/>
      <c r="J65" s="7" t="n">
        <v>0.01</v>
      </c>
      <c r="K65" s="9" t="s">
        <v>4</v>
      </c>
      <c r="L65" s="7" t="s">
        <v>214</v>
      </c>
      <c r="M65" s="7"/>
      <c r="N65" s="10" t="n">
        <f aca="false">IF(AND(ISNUMBER(F65),ISNUMBER(G65)),ABS(G65-F65),"")</f>
        <v>0</v>
      </c>
      <c r="O65" s="4" t="str">
        <f aca="false">IF(AND(ISNUMBER(N65),ISNUMBER(J65)),IF(N65&lt;=J65,"PASS","FAIL"),"n/a")</f>
        <v>PASS</v>
      </c>
    </row>
    <row r="66" customFormat="false" ht="23.85" hidden="false" customHeight="false" outlineLevel="0" collapsed="false">
      <c r="A66" s="7" t="s">
        <v>215</v>
      </c>
      <c r="B66" s="7" t="s">
        <v>28</v>
      </c>
      <c r="C66" s="7" t="s">
        <v>216</v>
      </c>
      <c r="D66" s="7" t="s">
        <v>207</v>
      </c>
      <c r="E66" s="7" t="s">
        <v>211</v>
      </c>
      <c r="F66" s="8" t="n">
        <v>0</v>
      </c>
      <c r="G66" s="8" t="n">
        <v>0</v>
      </c>
      <c r="H66" s="7" t="n">
        <v>0</v>
      </c>
      <c r="I66" s="7"/>
      <c r="J66" s="7" t="n">
        <v>0.01</v>
      </c>
      <c r="K66" s="9" t="s">
        <v>4</v>
      </c>
      <c r="L66" s="7" t="s">
        <v>217</v>
      </c>
      <c r="M66" s="7"/>
      <c r="N66" s="10" t="n">
        <f aca="false">IF(AND(ISNUMBER(F66),ISNUMBER(G66)),ABS(G66-F66),"")</f>
        <v>0</v>
      </c>
      <c r="O66" s="4" t="str">
        <f aca="false">IF(AND(ISNUMBER(N66),ISNUMBER(J66)),IF(N66&lt;=J66,"PASS","FAIL"),"n/a")</f>
        <v>PASS</v>
      </c>
    </row>
    <row r="67" customFormat="false" ht="23.85" hidden="false" customHeight="false" outlineLevel="0" collapsed="false">
      <c r="A67" s="7" t="s">
        <v>218</v>
      </c>
      <c r="B67" s="7" t="s">
        <v>28</v>
      </c>
      <c r="C67" s="7" t="s">
        <v>219</v>
      </c>
      <c r="D67" s="7" t="s">
        <v>207</v>
      </c>
      <c r="E67" s="7" t="s">
        <v>211</v>
      </c>
      <c r="F67" s="8" t="n">
        <v>0</v>
      </c>
      <c r="G67" s="8" t="n">
        <v>0</v>
      </c>
      <c r="H67" s="7" t="n">
        <v>0</v>
      </c>
      <c r="I67" s="7"/>
      <c r="J67" s="7" t="n">
        <v>1E-009</v>
      </c>
      <c r="K67" s="9" t="s">
        <v>4</v>
      </c>
      <c r="L67" s="7" t="s">
        <v>220</v>
      </c>
      <c r="M67" s="7"/>
      <c r="N67" s="10" t="n">
        <f aca="false">IF(AND(ISNUMBER(F67),ISNUMBER(G67)),ABS(G67-F67),"")</f>
        <v>0</v>
      </c>
      <c r="O67" s="4" t="str">
        <f aca="false">IF(AND(ISNUMBER(N67),ISNUMBER(J67)),IF(N67&lt;=J67,"PASS","FAIL"),"n/a")</f>
        <v>PASS</v>
      </c>
    </row>
    <row r="68" customFormat="false" ht="23.85" hidden="false" customHeight="false" outlineLevel="0" collapsed="false">
      <c r="A68" s="7" t="s">
        <v>221</v>
      </c>
      <c r="B68" s="7" t="s">
        <v>28</v>
      </c>
      <c r="C68" s="7" t="s">
        <v>222</v>
      </c>
      <c r="D68" s="7" t="s">
        <v>207</v>
      </c>
      <c r="E68" s="7" t="s">
        <v>211</v>
      </c>
      <c r="F68" s="8" t="n">
        <v>0</v>
      </c>
      <c r="G68" s="8" t="n">
        <v>0</v>
      </c>
      <c r="H68" s="7" t="n">
        <v>0</v>
      </c>
      <c r="I68" s="7"/>
      <c r="J68" s="7" t="n">
        <v>1E-009</v>
      </c>
      <c r="K68" s="9" t="s">
        <v>4</v>
      </c>
      <c r="L68" s="7" t="s">
        <v>220</v>
      </c>
      <c r="M68" s="7"/>
      <c r="N68" s="10" t="n">
        <f aca="false">IF(AND(ISNUMBER(F68),ISNUMBER(G68)),ABS(G68-F68),"")</f>
        <v>0</v>
      </c>
      <c r="O68" s="4" t="str">
        <f aca="false">IF(AND(ISNUMBER(N68),ISNUMBER(J68)),IF(N68&lt;=J68,"PASS","FAIL"),"n/a")</f>
        <v>PASS</v>
      </c>
    </row>
    <row r="69" customFormat="false" ht="23.85" hidden="false" customHeight="false" outlineLevel="0" collapsed="false">
      <c r="A69" s="7" t="s">
        <v>223</v>
      </c>
      <c r="B69" s="7" t="s">
        <v>28</v>
      </c>
      <c r="C69" s="7" t="s">
        <v>224</v>
      </c>
      <c r="D69" s="7" t="s">
        <v>207</v>
      </c>
      <c r="E69" s="7" t="s">
        <v>211</v>
      </c>
      <c r="F69" s="8" t="n">
        <v>0</v>
      </c>
      <c r="G69" s="8" t="n">
        <v>0</v>
      </c>
      <c r="H69" s="7" t="n">
        <v>0</v>
      </c>
      <c r="I69" s="7"/>
      <c r="J69" s="7" t="n">
        <v>0.01</v>
      </c>
      <c r="K69" s="9" t="s">
        <v>4</v>
      </c>
      <c r="L69" s="7" t="s">
        <v>35</v>
      </c>
      <c r="M69" s="7"/>
      <c r="N69" s="10" t="n">
        <f aca="false">IF(AND(ISNUMBER(F69),ISNUMBER(G69)),ABS(G69-F69),"")</f>
        <v>0</v>
      </c>
      <c r="O69" s="4" t="str">
        <f aca="false">IF(AND(ISNUMBER(N69),ISNUMBER(J69)),IF(N69&lt;=J69,"PASS","FAIL"),"n/a")</f>
        <v>PASS</v>
      </c>
    </row>
    <row r="70" customFormat="false" ht="23.85" hidden="false" customHeight="false" outlineLevel="0" collapsed="false">
      <c r="A70" s="7" t="s">
        <v>225</v>
      </c>
      <c r="B70" s="7" t="s">
        <v>28</v>
      </c>
      <c r="C70" s="7" t="s">
        <v>226</v>
      </c>
      <c r="D70" s="7" t="s">
        <v>227</v>
      </c>
      <c r="E70" s="7" t="s">
        <v>228</v>
      </c>
      <c r="F70" s="8" t="n">
        <v>0</v>
      </c>
      <c r="G70" s="8" t="n">
        <v>0</v>
      </c>
      <c r="H70" s="7" t="n">
        <v>0</v>
      </c>
      <c r="I70" s="7"/>
      <c r="J70" s="7" t="n">
        <v>0</v>
      </c>
      <c r="K70" s="9" t="s">
        <v>4</v>
      </c>
      <c r="L70" s="7"/>
      <c r="M70" s="7"/>
      <c r="N70" s="10" t="n">
        <f aca="false">IF(AND(ISNUMBER(F70),ISNUMBER(G70)),ABS(G70-F70),"")</f>
        <v>0</v>
      </c>
      <c r="O70" s="4" t="str">
        <f aca="false">IF(AND(ISNUMBER(N70),ISNUMBER(J70)),IF(N70&lt;=J70,"PASS","FAIL"),"n/a")</f>
        <v>PASS</v>
      </c>
    </row>
    <row r="71" customFormat="false" ht="23.85" hidden="false" customHeight="false" outlineLevel="0" collapsed="false">
      <c r="A71" s="7" t="s">
        <v>229</v>
      </c>
      <c r="B71" s="7" t="s">
        <v>28</v>
      </c>
      <c r="C71" s="7" t="s">
        <v>230</v>
      </c>
      <c r="D71" s="7" t="s">
        <v>227</v>
      </c>
      <c r="E71" s="7" t="s">
        <v>231</v>
      </c>
      <c r="F71" s="8" t="n">
        <v>0</v>
      </c>
      <c r="G71" s="8" t="n">
        <v>0</v>
      </c>
      <c r="H71" s="7" t="n">
        <v>0</v>
      </c>
      <c r="I71" s="7"/>
      <c r="J71" s="7" t="n">
        <v>0.01</v>
      </c>
      <c r="K71" s="9" t="s">
        <v>4</v>
      </c>
      <c r="L71" s="7" t="s">
        <v>35</v>
      </c>
      <c r="M71" s="7"/>
      <c r="N71" s="10" t="n">
        <f aca="false">IF(AND(ISNUMBER(F71),ISNUMBER(G71)),ABS(G71-F71),"")</f>
        <v>0</v>
      </c>
      <c r="O71" s="4" t="str">
        <f aca="false">IF(AND(ISNUMBER(N71),ISNUMBER(J71)),IF(N71&lt;=J71,"PASS","FAIL"),"n/a")</f>
        <v>PASS</v>
      </c>
    </row>
    <row r="72" customFormat="false" ht="23.85" hidden="false" customHeight="false" outlineLevel="0" collapsed="false">
      <c r="A72" s="7" t="s">
        <v>232</v>
      </c>
      <c r="B72" s="7" t="s">
        <v>28</v>
      </c>
      <c r="C72" s="7" t="s">
        <v>233</v>
      </c>
      <c r="D72" s="7" t="s">
        <v>227</v>
      </c>
      <c r="E72" s="7" t="s">
        <v>231</v>
      </c>
      <c r="F72" s="8" t="n">
        <v>0</v>
      </c>
      <c r="G72" s="8" t="n">
        <v>0</v>
      </c>
      <c r="H72" s="7" t="n">
        <v>0</v>
      </c>
      <c r="I72" s="7"/>
      <c r="J72" s="7" t="n">
        <v>1E-009</v>
      </c>
      <c r="K72" s="9" t="s">
        <v>4</v>
      </c>
      <c r="L72" s="7" t="s">
        <v>234</v>
      </c>
      <c r="M72" s="7"/>
      <c r="N72" s="10" t="n">
        <f aca="false">IF(AND(ISNUMBER(F72),ISNUMBER(G72)),ABS(G72-F72),"")</f>
        <v>0</v>
      </c>
      <c r="O72" s="4" t="str">
        <f aca="false">IF(AND(ISNUMBER(N72),ISNUMBER(J72)),IF(N72&lt;=J72,"PASS","FAIL"),"n/a")</f>
        <v>PASS</v>
      </c>
    </row>
    <row r="73" customFormat="false" ht="23.85" hidden="false" customHeight="false" outlineLevel="0" collapsed="false">
      <c r="A73" s="7" t="s">
        <v>235</v>
      </c>
      <c r="B73" s="7" t="s">
        <v>28</v>
      </c>
      <c r="C73" s="7" t="s">
        <v>236</v>
      </c>
      <c r="D73" s="7" t="s">
        <v>227</v>
      </c>
      <c r="E73" s="7" t="s">
        <v>231</v>
      </c>
      <c r="F73" s="8" t="n">
        <v>0</v>
      </c>
      <c r="G73" s="8" t="n">
        <v>0</v>
      </c>
      <c r="H73" s="7" t="n">
        <v>0</v>
      </c>
      <c r="I73" s="7"/>
      <c r="J73" s="7" t="n">
        <v>1E-009</v>
      </c>
      <c r="K73" s="9" t="s">
        <v>4</v>
      </c>
      <c r="L73" s="7" t="s">
        <v>237</v>
      </c>
      <c r="M73" s="7"/>
      <c r="N73" s="10" t="n">
        <f aca="false">IF(AND(ISNUMBER(F73),ISNUMBER(G73)),ABS(G73-F73),"")</f>
        <v>0</v>
      </c>
      <c r="O73" s="4" t="str">
        <f aca="false">IF(AND(ISNUMBER(N73),ISNUMBER(J73)),IF(N73&lt;=J73,"PASS","FAIL"),"n/a")</f>
        <v>PASS</v>
      </c>
    </row>
    <row r="74" customFormat="false" ht="23.85" hidden="false" customHeight="false" outlineLevel="0" collapsed="false">
      <c r="A74" s="7" t="s">
        <v>238</v>
      </c>
      <c r="B74" s="7" t="s">
        <v>28</v>
      </c>
      <c r="C74" s="7" t="s">
        <v>239</v>
      </c>
      <c r="D74" s="7" t="s">
        <v>227</v>
      </c>
      <c r="E74" s="7" t="s">
        <v>231</v>
      </c>
      <c r="F74" s="8" t="n">
        <v>0</v>
      </c>
      <c r="G74" s="8" t="n">
        <v>0</v>
      </c>
      <c r="H74" s="7" t="n">
        <v>0</v>
      </c>
      <c r="I74" s="7"/>
      <c r="J74" s="7" t="n">
        <v>1E-009</v>
      </c>
      <c r="K74" s="9" t="s">
        <v>4</v>
      </c>
      <c r="L74" s="7" t="s">
        <v>237</v>
      </c>
      <c r="M74" s="7"/>
      <c r="N74" s="10" t="n">
        <f aca="false">IF(AND(ISNUMBER(F74),ISNUMBER(G74)),ABS(G74-F74),"")</f>
        <v>0</v>
      </c>
      <c r="O74" s="4" t="str">
        <f aca="false">IF(AND(ISNUMBER(N74),ISNUMBER(J74)),IF(N74&lt;=J74,"PASS","FAIL"),"n/a")</f>
        <v>PASS</v>
      </c>
    </row>
    <row r="75" customFormat="false" ht="35.05" hidden="false" customHeight="false" outlineLevel="0" collapsed="false">
      <c r="A75" s="7" t="s">
        <v>240</v>
      </c>
      <c r="B75" s="7" t="s">
        <v>28</v>
      </c>
      <c r="C75" s="7" t="s">
        <v>241</v>
      </c>
      <c r="D75" s="7" t="s">
        <v>227</v>
      </c>
      <c r="E75" s="7" t="s">
        <v>231</v>
      </c>
      <c r="F75" s="8" t="n">
        <v>0</v>
      </c>
      <c r="G75" s="8" t="n">
        <v>0</v>
      </c>
      <c r="H75" s="7" t="n">
        <v>0</v>
      </c>
      <c r="I75" s="7"/>
      <c r="J75" s="7" t="n">
        <v>1E-009</v>
      </c>
      <c r="K75" s="9" t="s">
        <v>4</v>
      </c>
      <c r="L75" s="7" t="s">
        <v>242</v>
      </c>
      <c r="M75" s="7"/>
      <c r="N75" s="10" t="n">
        <f aca="false">IF(AND(ISNUMBER(F75),ISNUMBER(G75)),ABS(G75-F75),"")</f>
        <v>0</v>
      </c>
      <c r="O75" s="4" t="str">
        <f aca="false">IF(AND(ISNUMBER(N75),ISNUMBER(J75)),IF(N75&lt;=J75,"PASS","FAIL"),"n/a")</f>
        <v>PASS</v>
      </c>
    </row>
    <row r="76" customFormat="false" ht="23.85" hidden="false" customHeight="false" outlineLevel="0" collapsed="false">
      <c r="A76" s="7" t="s">
        <v>243</v>
      </c>
      <c r="B76" s="7" t="s">
        <v>28</v>
      </c>
      <c r="C76" s="7" t="s">
        <v>244</v>
      </c>
      <c r="D76" s="7"/>
      <c r="E76" s="7"/>
      <c r="F76" s="8" t="n">
        <v>0</v>
      </c>
      <c r="G76" s="8" t="n">
        <v>0</v>
      </c>
      <c r="H76" s="7" t="n">
        <v>0</v>
      </c>
      <c r="I76" s="7"/>
      <c r="J76" s="7" t="n">
        <v>0</v>
      </c>
      <c r="K76" s="9" t="s">
        <v>4</v>
      </c>
      <c r="L76" s="7" t="s">
        <v>245</v>
      </c>
      <c r="M76" s="7"/>
      <c r="N76" s="10" t="n">
        <f aca="false">IF(AND(ISNUMBER(F76),ISNUMBER(G76)),ABS(G76-F76),"")</f>
        <v>0</v>
      </c>
      <c r="O76" s="4" t="str">
        <f aca="false">IF(AND(ISNUMBER(N76),ISNUMBER(J76)),IF(N76&lt;=J76,"PASS","FAIL"),"n/a")</f>
        <v>PASS</v>
      </c>
    </row>
    <row r="77" customFormat="false" ht="23.85" hidden="false" customHeight="false" outlineLevel="0" collapsed="false">
      <c r="A77" s="7" t="s">
        <v>246</v>
      </c>
      <c r="B77" s="7" t="s">
        <v>28</v>
      </c>
      <c r="C77" s="7" t="s">
        <v>247</v>
      </c>
      <c r="D77" s="7" t="s">
        <v>248</v>
      </c>
      <c r="E77" s="7" t="s">
        <v>249</v>
      </c>
      <c r="F77" s="8" t="n">
        <v>0</v>
      </c>
      <c r="G77" s="8" t="n">
        <v>0</v>
      </c>
      <c r="H77" s="7" t="n">
        <v>0</v>
      </c>
      <c r="I77" s="7"/>
      <c r="J77" s="7" t="n">
        <v>0</v>
      </c>
      <c r="K77" s="9" t="s">
        <v>4</v>
      </c>
      <c r="L77" s="7"/>
      <c r="M77" s="7"/>
      <c r="N77" s="10" t="n">
        <f aca="false">IF(AND(ISNUMBER(F77),ISNUMBER(G77)),ABS(G77-F77),"")</f>
        <v>0</v>
      </c>
      <c r="O77" s="4" t="str">
        <f aca="false">IF(AND(ISNUMBER(N77),ISNUMBER(J77)),IF(N77&lt;=J77,"PASS","FAIL"),"n/a")</f>
        <v>PASS</v>
      </c>
    </row>
    <row r="78" customFormat="false" ht="23.85" hidden="false" customHeight="false" outlineLevel="0" collapsed="false">
      <c r="A78" s="7" t="s">
        <v>250</v>
      </c>
      <c r="B78" s="7" t="s">
        <v>28</v>
      </c>
      <c r="C78" s="7" t="s">
        <v>251</v>
      </c>
      <c r="D78" s="7" t="s">
        <v>248</v>
      </c>
      <c r="E78" s="7" t="s">
        <v>252</v>
      </c>
      <c r="F78" s="8" t="n">
        <v>0</v>
      </c>
      <c r="G78" s="8" t="n">
        <v>0</v>
      </c>
      <c r="H78" s="7" t="n">
        <v>0</v>
      </c>
      <c r="I78" s="7"/>
      <c r="J78" s="7" t="n">
        <v>0</v>
      </c>
      <c r="K78" s="9" t="s">
        <v>4</v>
      </c>
      <c r="L78" s="7" t="s">
        <v>35</v>
      </c>
      <c r="M78" s="7"/>
      <c r="N78" s="10" t="n">
        <f aca="false">IF(AND(ISNUMBER(F78),ISNUMBER(G78)),ABS(G78-F78),"")</f>
        <v>0</v>
      </c>
      <c r="O78" s="4" t="str">
        <f aca="false">IF(AND(ISNUMBER(N78),ISNUMBER(J78)),IF(N78&lt;=J78,"PASS","FAIL"),"n/a")</f>
        <v>PASS</v>
      </c>
    </row>
    <row r="79" customFormat="false" ht="23.85" hidden="false" customHeight="false" outlineLevel="0" collapsed="false">
      <c r="A79" s="7" t="s">
        <v>253</v>
      </c>
      <c r="B79" s="7" t="s">
        <v>28</v>
      </c>
      <c r="C79" s="7" t="s">
        <v>254</v>
      </c>
      <c r="D79" s="7" t="s">
        <v>248</v>
      </c>
      <c r="E79" s="7" t="s">
        <v>252</v>
      </c>
      <c r="F79" s="8" t="n">
        <v>0</v>
      </c>
      <c r="G79" s="8" t="n">
        <v>0</v>
      </c>
      <c r="H79" s="7" t="n">
        <v>0</v>
      </c>
      <c r="I79" s="7"/>
      <c r="J79" s="7" t="n">
        <v>0.01</v>
      </c>
      <c r="K79" s="9" t="s">
        <v>4</v>
      </c>
      <c r="L79" s="7" t="s">
        <v>255</v>
      </c>
      <c r="M79" s="7"/>
      <c r="N79" s="10" t="n">
        <f aca="false">IF(AND(ISNUMBER(F79),ISNUMBER(G79)),ABS(G79-F79),"")</f>
        <v>0</v>
      </c>
      <c r="O79" s="4" t="str">
        <f aca="false">IF(AND(ISNUMBER(N79),ISNUMBER(J79)),IF(N79&lt;=J79,"PASS","FAIL"),"n/a")</f>
        <v>PASS</v>
      </c>
    </row>
    <row r="80" customFormat="false" ht="23.85" hidden="false" customHeight="false" outlineLevel="0" collapsed="false">
      <c r="A80" s="7" t="s">
        <v>256</v>
      </c>
      <c r="B80" s="7" t="s">
        <v>28</v>
      </c>
      <c r="C80" s="7" t="s">
        <v>257</v>
      </c>
      <c r="D80" s="7" t="s">
        <v>248</v>
      </c>
      <c r="E80" s="7" t="s">
        <v>252</v>
      </c>
      <c r="F80" s="8" t="n">
        <v>0</v>
      </c>
      <c r="G80" s="8" t="n">
        <v>0</v>
      </c>
      <c r="H80" s="7" t="n">
        <v>0</v>
      </c>
      <c r="I80" s="7"/>
      <c r="J80" s="7" t="n">
        <v>0.01</v>
      </c>
      <c r="K80" s="9" t="s">
        <v>4</v>
      </c>
      <c r="L80" s="7" t="s">
        <v>258</v>
      </c>
      <c r="M80" s="7"/>
      <c r="N80" s="10" t="n">
        <f aca="false">IF(AND(ISNUMBER(F80),ISNUMBER(G80)),ABS(G80-F80),"")</f>
        <v>0</v>
      </c>
      <c r="O80" s="4" t="str">
        <f aca="false">IF(AND(ISNUMBER(N80),ISNUMBER(J80)),IF(N80&lt;=J80,"PASS","FAIL"),"n/a")</f>
        <v>PASS</v>
      </c>
    </row>
    <row r="81" customFormat="false" ht="23.85" hidden="false" customHeight="false" outlineLevel="0" collapsed="false">
      <c r="A81" s="7" t="s">
        <v>259</v>
      </c>
      <c r="B81" s="7" t="s">
        <v>28</v>
      </c>
      <c r="C81" s="7" t="s">
        <v>260</v>
      </c>
      <c r="D81" s="7" t="s">
        <v>248</v>
      </c>
      <c r="E81" s="7" t="s">
        <v>252</v>
      </c>
      <c r="F81" s="8" t="n">
        <v>0</v>
      </c>
      <c r="G81" s="8" t="n">
        <v>0</v>
      </c>
      <c r="H81" s="7" t="n">
        <v>0</v>
      </c>
      <c r="I81" s="7"/>
      <c r="J81" s="7" t="n">
        <v>0.01</v>
      </c>
      <c r="K81" s="9" t="s">
        <v>4</v>
      </c>
      <c r="L81" s="7" t="s">
        <v>261</v>
      </c>
      <c r="M81" s="7"/>
      <c r="N81" s="10" t="n">
        <f aca="false">IF(AND(ISNUMBER(F81),ISNUMBER(G81)),ABS(G81-F81),"")</f>
        <v>0</v>
      </c>
      <c r="O81" s="4" t="str">
        <f aca="false">IF(AND(ISNUMBER(N81),ISNUMBER(J81)),IF(N81&lt;=J81,"PASS","FAIL"),"n/a")</f>
        <v>PASS</v>
      </c>
    </row>
    <row r="82" customFormat="false" ht="23.85" hidden="false" customHeight="false" outlineLevel="0" collapsed="false">
      <c r="A82" s="7" t="s">
        <v>262</v>
      </c>
      <c r="B82" s="7" t="s">
        <v>28</v>
      </c>
      <c r="C82" s="7" t="s">
        <v>263</v>
      </c>
      <c r="D82" s="7"/>
      <c r="E82" s="7"/>
      <c r="F82" s="8" t="n">
        <v>136330</v>
      </c>
      <c r="G82" s="8" t="n">
        <v>136330</v>
      </c>
      <c r="H82" s="7" t="n">
        <v>0</v>
      </c>
      <c r="I82" s="7" t="n">
        <v>0</v>
      </c>
      <c r="J82" s="7" t="n">
        <v>0</v>
      </c>
      <c r="K82" s="9" t="s">
        <v>4</v>
      </c>
      <c r="L82" s="7"/>
      <c r="M82" s="7"/>
      <c r="N82" s="10" t="n">
        <f aca="false">IF(AND(ISNUMBER(F82),ISNUMBER(G82)),ABS(G82-F82),"")</f>
        <v>0</v>
      </c>
      <c r="O82" s="4" t="str">
        <f aca="false">IF(AND(ISNUMBER(N82),ISNUMBER(J82)),IF(N82&lt;=J82,"PASS","FAIL"),"n/a")</f>
        <v>PASS</v>
      </c>
    </row>
    <row r="83" customFormat="false" ht="23.85" hidden="false" customHeight="false" outlineLevel="0" collapsed="false">
      <c r="A83" s="7" t="s">
        <v>264</v>
      </c>
      <c r="B83" s="7" t="s">
        <v>28</v>
      </c>
      <c r="C83" s="7" t="s">
        <v>265</v>
      </c>
      <c r="D83" s="7"/>
      <c r="E83" s="7"/>
      <c r="F83" s="8" t="n">
        <v>0</v>
      </c>
      <c r="G83" s="8" t="n">
        <v>0</v>
      </c>
      <c r="H83" s="7" t="n">
        <v>0</v>
      </c>
      <c r="I83" s="7"/>
      <c r="J83" s="7" t="n">
        <v>0</v>
      </c>
      <c r="K83" s="9" t="s">
        <v>4</v>
      </c>
      <c r="L83" s="7"/>
      <c r="M83" s="7"/>
      <c r="N83" s="10" t="n">
        <f aca="false">IF(AND(ISNUMBER(F83),ISNUMBER(G83)),ABS(G83-F83),"")</f>
        <v>0</v>
      </c>
      <c r="O83" s="4" t="str">
        <f aca="false">IF(AND(ISNUMBER(N83),ISNUMBER(J83)),IF(N83&lt;=J83,"PASS","FAIL"),"n/a")</f>
        <v>PASS</v>
      </c>
    </row>
    <row r="84" customFormat="false" ht="23.85" hidden="false" customHeight="false" outlineLevel="0" collapsed="false">
      <c r="A84" s="7" t="s">
        <v>266</v>
      </c>
      <c r="B84" s="7" t="s">
        <v>28</v>
      </c>
      <c r="C84" s="7" t="s">
        <v>267</v>
      </c>
      <c r="D84" s="7" t="s">
        <v>268</v>
      </c>
      <c r="E84" s="7" t="s">
        <v>269</v>
      </c>
      <c r="F84" s="8" t="n">
        <v>0</v>
      </c>
      <c r="G84" s="8" t="n">
        <v>0</v>
      </c>
      <c r="H84" s="7" t="n">
        <v>0</v>
      </c>
      <c r="I84" s="7"/>
      <c r="J84" s="7" t="n">
        <v>0</v>
      </c>
      <c r="K84" s="9" t="s">
        <v>4</v>
      </c>
      <c r="L84" s="7"/>
      <c r="M84" s="7"/>
      <c r="N84" s="10" t="n">
        <f aca="false">IF(AND(ISNUMBER(F84),ISNUMBER(G84)),ABS(G84-F84),"")</f>
        <v>0</v>
      </c>
      <c r="O84" s="4" t="str">
        <f aca="false">IF(AND(ISNUMBER(N84),ISNUMBER(J84)),IF(N84&lt;=J84,"PASS","FAIL"),"n/a")</f>
        <v>PASS</v>
      </c>
    </row>
    <row r="85" customFormat="false" ht="23.85" hidden="false" customHeight="false" outlineLevel="0" collapsed="false">
      <c r="A85" s="7" t="s">
        <v>270</v>
      </c>
      <c r="B85" s="7" t="s">
        <v>28</v>
      </c>
      <c r="C85" s="7" t="s">
        <v>271</v>
      </c>
      <c r="D85" s="7" t="s">
        <v>268</v>
      </c>
      <c r="E85" s="7"/>
      <c r="F85" s="8" t="n">
        <v>0</v>
      </c>
      <c r="G85" s="8" t="n">
        <v>0</v>
      </c>
      <c r="H85" s="7" t="n">
        <v>0</v>
      </c>
      <c r="I85" s="7"/>
      <c r="J85" s="7" t="n">
        <v>0</v>
      </c>
      <c r="K85" s="9" t="s">
        <v>4</v>
      </c>
      <c r="L85" s="7" t="s">
        <v>35</v>
      </c>
      <c r="M85" s="7"/>
      <c r="N85" s="10" t="n">
        <f aca="false">IF(AND(ISNUMBER(F85),ISNUMBER(G85)),ABS(G85-F85),"")</f>
        <v>0</v>
      </c>
      <c r="O85" s="4" t="str">
        <f aca="false">IF(AND(ISNUMBER(N85),ISNUMBER(J85)),IF(N85&lt;=J85,"PASS","FAIL"),"n/a")</f>
        <v>PASS</v>
      </c>
    </row>
    <row r="86" customFormat="false" ht="23.85" hidden="false" customHeight="false" outlineLevel="0" collapsed="false">
      <c r="A86" s="7" t="s">
        <v>272</v>
      </c>
      <c r="B86" s="7" t="s">
        <v>28</v>
      </c>
      <c r="C86" s="7" t="s">
        <v>273</v>
      </c>
      <c r="D86" s="7" t="s">
        <v>268</v>
      </c>
      <c r="E86" s="7"/>
      <c r="F86" s="8" t="n">
        <v>0</v>
      </c>
      <c r="G86" s="8" t="n">
        <v>0</v>
      </c>
      <c r="H86" s="7" t="n">
        <v>0</v>
      </c>
      <c r="I86" s="7"/>
      <c r="J86" s="7" t="n">
        <v>0.01</v>
      </c>
      <c r="K86" s="9" t="s">
        <v>4</v>
      </c>
      <c r="L86" s="7" t="s">
        <v>274</v>
      </c>
      <c r="M86" s="7"/>
      <c r="N86" s="10" t="n">
        <f aca="false">IF(AND(ISNUMBER(F86),ISNUMBER(G86)),ABS(G86-F86),"")</f>
        <v>0</v>
      </c>
      <c r="O86" s="4" t="str">
        <f aca="false">IF(AND(ISNUMBER(N86),ISNUMBER(J86)),IF(N86&lt;=J86,"PASS","FAIL"),"n/a")</f>
        <v>PASS</v>
      </c>
    </row>
    <row r="87" customFormat="false" ht="23.85" hidden="false" customHeight="false" outlineLevel="0" collapsed="false">
      <c r="A87" s="7" t="s">
        <v>275</v>
      </c>
      <c r="B87" s="7" t="s">
        <v>28</v>
      </c>
      <c r="C87" s="7" t="s">
        <v>276</v>
      </c>
      <c r="D87" s="7" t="s">
        <v>268</v>
      </c>
      <c r="E87" s="7"/>
      <c r="F87" s="8" t="n">
        <v>0</v>
      </c>
      <c r="G87" s="8" t="n">
        <v>0</v>
      </c>
      <c r="H87" s="7" t="n">
        <v>0</v>
      </c>
      <c r="I87" s="7"/>
      <c r="J87" s="7" t="n">
        <v>0.01</v>
      </c>
      <c r="K87" s="9" t="s">
        <v>4</v>
      </c>
      <c r="L87" s="7" t="s">
        <v>277</v>
      </c>
      <c r="M87" s="7"/>
      <c r="N87" s="10" t="n">
        <f aca="false">IF(AND(ISNUMBER(F87),ISNUMBER(G87)),ABS(G87-F87),"")</f>
        <v>0</v>
      </c>
      <c r="O87" s="4" t="str">
        <f aca="false">IF(AND(ISNUMBER(N87),ISNUMBER(J87)),IF(N87&lt;=J87,"PASS","FAIL"),"n/a")</f>
        <v>PASS</v>
      </c>
    </row>
    <row r="88" customFormat="false" ht="35.05" hidden="false" customHeight="false" outlineLevel="0" collapsed="false">
      <c r="A88" s="7" t="s">
        <v>278</v>
      </c>
      <c r="B88" s="7" t="s">
        <v>28</v>
      </c>
      <c r="C88" s="7" t="s">
        <v>279</v>
      </c>
      <c r="D88" s="7" t="s">
        <v>268</v>
      </c>
      <c r="E88" s="7"/>
      <c r="F88" s="8" t="n">
        <v>0</v>
      </c>
      <c r="G88" s="8" t="n">
        <v>0</v>
      </c>
      <c r="H88" s="7" t="n">
        <v>0</v>
      </c>
      <c r="I88" s="7"/>
      <c r="J88" s="7" t="n">
        <v>1E-009</v>
      </c>
      <c r="K88" s="9" t="s">
        <v>4</v>
      </c>
      <c r="L88" s="7" t="s">
        <v>280</v>
      </c>
      <c r="M88" s="7"/>
      <c r="N88" s="10" t="n">
        <f aca="false">IF(AND(ISNUMBER(F88),ISNUMBER(G88)),ABS(G88-F88),"")</f>
        <v>0</v>
      </c>
      <c r="O88" s="4" t="str">
        <f aca="false">IF(AND(ISNUMBER(N88),ISNUMBER(J88)),IF(N88&lt;=J88,"PASS","FAIL"),"n/a")</f>
        <v>PASS</v>
      </c>
    </row>
    <row r="89" customFormat="false" ht="23.85" hidden="false" customHeight="false" outlineLevel="0" collapsed="false">
      <c r="A89" s="7" t="s">
        <v>281</v>
      </c>
      <c r="B89" s="7" t="s">
        <v>28</v>
      </c>
      <c r="C89" s="7" t="s">
        <v>282</v>
      </c>
      <c r="D89" s="7"/>
      <c r="E89" s="7"/>
      <c r="F89" s="7"/>
      <c r="G89" s="7"/>
      <c r="H89" s="7"/>
      <c r="I89" s="7"/>
      <c r="J89" s="7"/>
      <c r="K89" s="11" t="s">
        <v>8</v>
      </c>
      <c r="L89" s="7" t="s">
        <v>283</v>
      </c>
      <c r="M89" s="7"/>
      <c r="N89" s="10" t="str">
        <f aca="false">IF(AND(ISNUMBER(F89),ISNUMBER(G89)),ABS(G89-F89),"")</f>
        <v/>
      </c>
      <c r="O89" s="4" t="str">
        <f aca="false">IF(AND(ISNUMBER(N89),ISNUMBER(J89)),IF(N89&lt;=J89,"PASS","FAIL"),"n/a")</f>
        <v>n/a</v>
      </c>
    </row>
    <row r="90" customFormat="false" ht="23.85" hidden="false" customHeight="false" outlineLevel="0" collapsed="false">
      <c r="A90" s="7" t="s">
        <v>284</v>
      </c>
      <c r="B90" s="7" t="s">
        <v>28</v>
      </c>
      <c r="C90" s="7" t="s">
        <v>285</v>
      </c>
      <c r="D90" s="7"/>
      <c r="E90" s="7"/>
      <c r="F90" s="8" t="n">
        <v>0</v>
      </c>
      <c r="G90" s="8" t="n">
        <v>0</v>
      </c>
      <c r="H90" s="7" t="n">
        <v>0</v>
      </c>
      <c r="I90" s="7"/>
      <c r="J90" s="7" t="n">
        <v>0</v>
      </c>
      <c r="K90" s="9" t="s">
        <v>4</v>
      </c>
      <c r="L90" s="7" t="s">
        <v>286</v>
      </c>
      <c r="M90" s="7"/>
      <c r="N90" s="10" t="n">
        <f aca="false">IF(AND(ISNUMBER(F90),ISNUMBER(G90)),ABS(G90-F90),"")</f>
        <v>0</v>
      </c>
      <c r="O90" s="4" t="str">
        <f aca="false">IF(AND(ISNUMBER(N90),ISNUMBER(J90)),IF(N90&lt;=J90,"PASS","FAIL"),"n/a")</f>
        <v>PASS</v>
      </c>
    </row>
    <row r="91" customFormat="false" ht="23.85" hidden="false" customHeight="false" outlineLevel="0" collapsed="false">
      <c r="A91" s="7" t="s">
        <v>287</v>
      </c>
      <c r="B91" s="7" t="s">
        <v>288</v>
      </c>
      <c r="C91" s="7" t="s">
        <v>289</v>
      </c>
      <c r="D91" s="7"/>
      <c r="E91" s="7"/>
      <c r="F91" s="8" t="n">
        <v>1</v>
      </c>
      <c r="G91" s="8" t="n">
        <v>1</v>
      </c>
      <c r="H91" s="7" t="n">
        <v>0</v>
      </c>
      <c r="I91" s="7" t="n">
        <v>0</v>
      </c>
      <c r="J91" s="7" t="n">
        <v>0</v>
      </c>
      <c r="K91" s="9" t="s">
        <v>4</v>
      </c>
      <c r="L91" s="7"/>
      <c r="M91" s="7"/>
      <c r="N91" s="10" t="n">
        <f aca="false">IF(AND(ISNUMBER(F91),ISNUMBER(G91)),ABS(G91-F91),"")</f>
        <v>0</v>
      </c>
      <c r="O91" s="4" t="str">
        <f aca="false">IF(AND(ISNUMBER(N91),ISNUMBER(J91)),IF(N91&lt;=J91,"PASS","FAIL"),"n/a")</f>
        <v>PASS</v>
      </c>
    </row>
    <row r="92" customFormat="false" ht="23.85" hidden="false" customHeight="false" outlineLevel="0" collapsed="false">
      <c r="A92" s="7" t="s">
        <v>290</v>
      </c>
      <c r="B92" s="7" t="s">
        <v>288</v>
      </c>
      <c r="C92" s="7" t="s">
        <v>291</v>
      </c>
      <c r="D92" s="7"/>
      <c r="E92" s="7"/>
      <c r="F92" s="8" t="n">
        <v>152682</v>
      </c>
      <c r="G92" s="8" t="n">
        <v>152682</v>
      </c>
      <c r="H92" s="7" t="n">
        <v>0</v>
      </c>
      <c r="I92" s="7" t="n">
        <v>0</v>
      </c>
      <c r="J92" s="7" t="n">
        <v>0</v>
      </c>
      <c r="K92" s="9" t="s">
        <v>4</v>
      </c>
      <c r="L92" s="7"/>
      <c r="M92" s="7"/>
      <c r="N92" s="10" t="n">
        <f aca="false">IF(AND(ISNUMBER(F92),ISNUMBER(G92)),ABS(G92-F92),"")</f>
        <v>0</v>
      </c>
      <c r="O92" s="4" t="str">
        <f aca="false">IF(AND(ISNUMBER(N92),ISNUMBER(J92)),IF(N92&lt;=J92,"PASS","FAIL"),"n/a")</f>
        <v>PASS</v>
      </c>
    </row>
    <row r="93" customFormat="false" ht="23.85" hidden="false" customHeight="false" outlineLevel="0" collapsed="false">
      <c r="A93" s="7" t="s">
        <v>292</v>
      </c>
      <c r="B93" s="7" t="s">
        <v>288</v>
      </c>
      <c r="C93" s="7" t="s">
        <v>293</v>
      </c>
      <c r="D93" s="7"/>
      <c r="E93" s="7"/>
      <c r="F93" s="8" t="n">
        <v>192</v>
      </c>
      <c r="G93" s="8" t="n">
        <v>192</v>
      </c>
      <c r="H93" s="7" t="n">
        <v>0</v>
      </c>
      <c r="I93" s="7" t="n">
        <v>0</v>
      </c>
      <c r="J93" s="7" t="n">
        <v>0</v>
      </c>
      <c r="K93" s="9" t="s">
        <v>4</v>
      </c>
      <c r="L93" s="7"/>
      <c r="M93" s="7"/>
      <c r="N93" s="10" t="n">
        <f aca="false">IF(AND(ISNUMBER(F93),ISNUMBER(G93)),ABS(G93-F93),"")</f>
        <v>0</v>
      </c>
      <c r="O93" s="4" t="str">
        <f aca="false">IF(AND(ISNUMBER(N93),ISNUMBER(J93)),IF(N93&lt;=J93,"PASS","FAIL"),"n/a")</f>
        <v>PASS</v>
      </c>
    </row>
    <row r="94" customFormat="false" ht="23.85" hidden="false" customHeight="false" outlineLevel="0" collapsed="false">
      <c r="A94" s="7" t="s">
        <v>294</v>
      </c>
      <c r="B94" s="7" t="s">
        <v>288</v>
      </c>
      <c r="C94" s="7" t="s">
        <v>295</v>
      </c>
      <c r="D94" s="7"/>
      <c r="E94" s="7"/>
      <c r="F94" s="8" t="n">
        <v>0</v>
      </c>
      <c r="G94" s="8" t="n">
        <v>0</v>
      </c>
      <c r="H94" s="7" t="n">
        <v>0</v>
      </c>
      <c r="I94" s="7"/>
      <c r="J94" s="7" t="n">
        <v>0</v>
      </c>
      <c r="K94" s="9" t="s">
        <v>4</v>
      </c>
      <c r="L94" s="7"/>
      <c r="M94" s="7"/>
      <c r="N94" s="10" t="n">
        <f aca="false">IF(AND(ISNUMBER(F94),ISNUMBER(G94)),ABS(G94-F94),"")</f>
        <v>0</v>
      </c>
      <c r="O94" s="4" t="str">
        <f aca="false">IF(AND(ISNUMBER(N94),ISNUMBER(J94)),IF(N94&lt;=J94,"PASS","FAIL"),"n/a")</f>
        <v>PASS</v>
      </c>
    </row>
    <row r="95" customFormat="false" ht="23.85" hidden="false" customHeight="false" outlineLevel="0" collapsed="false">
      <c r="A95" s="7" t="s">
        <v>296</v>
      </c>
      <c r="B95" s="7" t="s">
        <v>288</v>
      </c>
      <c r="C95" s="7" t="s">
        <v>297</v>
      </c>
      <c r="D95" s="7"/>
      <c r="E95" s="7"/>
      <c r="F95" s="8" t="n">
        <v>152682</v>
      </c>
      <c r="G95" s="8" t="n">
        <v>152682</v>
      </c>
      <c r="H95" s="7" t="n">
        <v>0</v>
      </c>
      <c r="I95" s="7" t="n">
        <v>0</v>
      </c>
      <c r="J95" s="7" t="n">
        <v>0</v>
      </c>
      <c r="K95" s="9" t="s">
        <v>4</v>
      </c>
      <c r="L95" s="7"/>
      <c r="M95" s="7"/>
      <c r="N95" s="10" t="n">
        <f aca="false">IF(AND(ISNUMBER(F95),ISNUMBER(G95)),ABS(G95-F95),"")</f>
        <v>0</v>
      </c>
      <c r="O95" s="4" t="str">
        <f aca="false">IF(AND(ISNUMBER(N95),ISNUMBER(J95)),IF(N95&lt;=J95,"PASS","FAIL"),"n/a")</f>
        <v>PASS</v>
      </c>
    </row>
    <row r="96" customFormat="false" ht="23.85" hidden="false" customHeight="false" outlineLevel="0" collapsed="false">
      <c r="A96" s="7" t="s">
        <v>298</v>
      </c>
      <c r="B96" s="7" t="s">
        <v>288</v>
      </c>
      <c r="C96" s="7" t="s">
        <v>299</v>
      </c>
      <c r="D96" s="7"/>
      <c r="E96" s="7"/>
      <c r="F96" s="8" t="n">
        <v>0</v>
      </c>
      <c r="G96" s="8" t="n">
        <v>0</v>
      </c>
      <c r="H96" s="7" t="n">
        <v>0</v>
      </c>
      <c r="I96" s="7"/>
      <c r="J96" s="7" t="n">
        <v>0</v>
      </c>
      <c r="K96" s="9" t="s">
        <v>4</v>
      </c>
      <c r="L96" s="7"/>
      <c r="M96" s="7"/>
      <c r="N96" s="10" t="n">
        <f aca="false">IF(AND(ISNUMBER(F96),ISNUMBER(G96)),ABS(G96-F96),"")</f>
        <v>0</v>
      </c>
      <c r="O96" s="4" t="str">
        <f aca="false">IF(AND(ISNUMBER(N96),ISNUMBER(J96)),IF(N96&lt;=J96,"PASS","FAIL"),"n/a")</f>
        <v>PASS</v>
      </c>
    </row>
    <row r="97" customFormat="false" ht="23.85" hidden="false" customHeight="false" outlineLevel="0" collapsed="false">
      <c r="A97" s="7" t="s">
        <v>300</v>
      </c>
      <c r="B97" s="7" t="s">
        <v>288</v>
      </c>
      <c r="C97" s="7" t="s">
        <v>301</v>
      </c>
      <c r="D97" s="7"/>
      <c r="E97" s="7"/>
      <c r="F97" s="8" t="n">
        <v>0</v>
      </c>
      <c r="G97" s="8" t="n">
        <v>0</v>
      </c>
      <c r="H97" s="7" t="n">
        <v>0</v>
      </c>
      <c r="I97" s="7"/>
      <c r="J97" s="7" t="n">
        <v>0</v>
      </c>
      <c r="K97" s="9" t="s">
        <v>4</v>
      </c>
      <c r="L97" s="7"/>
      <c r="M97" s="7"/>
      <c r="N97" s="10" t="n">
        <f aca="false">IF(AND(ISNUMBER(F97),ISNUMBER(G97)),ABS(G97-F97),"")</f>
        <v>0</v>
      </c>
      <c r="O97" s="4" t="str">
        <f aca="false">IF(AND(ISNUMBER(N97),ISNUMBER(J97)),IF(N97&lt;=J97,"PASS","FAIL"),"n/a")</f>
        <v>PASS</v>
      </c>
    </row>
    <row r="98" customFormat="false" ht="23.85" hidden="false" customHeight="false" outlineLevel="0" collapsed="false">
      <c r="A98" s="7" t="s">
        <v>302</v>
      </c>
      <c r="B98" s="7" t="s">
        <v>288</v>
      </c>
      <c r="C98" s="7" t="s">
        <v>303</v>
      </c>
      <c r="D98" s="7"/>
      <c r="E98" s="7"/>
      <c r="F98" s="8" t="n">
        <v>58340</v>
      </c>
      <c r="G98" s="8" t="n">
        <v>58340</v>
      </c>
      <c r="H98" s="7" t="n">
        <v>0</v>
      </c>
      <c r="I98" s="7" t="n">
        <v>0</v>
      </c>
      <c r="J98" s="7" t="n">
        <v>0</v>
      </c>
      <c r="K98" s="9" t="s">
        <v>4</v>
      </c>
      <c r="L98" s="7"/>
      <c r="M98" s="7"/>
      <c r="N98" s="10" t="n">
        <f aca="false">IF(AND(ISNUMBER(F98),ISNUMBER(G98)),ABS(G98-F98),"")</f>
        <v>0</v>
      </c>
      <c r="O98" s="4" t="str">
        <f aca="false">IF(AND(ISNUMBER(N98),ISNUMBER(J98)),IF(N98&lt;=J98,"PASS","FAIL"),"n/a")</f>
        <v>PASS</v>
      </c>
    </row>
    <row r="99" customFormat="false" ht="23.85" hidden="false" customHeight="false" outlineLevel="0" collapsed="false">
      <c r="A99" s="7" t="s">
        <v>304</v>
      </c>
      <c r="B99" s="7" t="s">
        <v>288</v>
      </c>
      <c r="C99" s="7" t="s">
        <v>305</v>
      </c>
      <c r="D99" s="7"/>
      <c r="E99" s="7"/>
      <c r="F99" s="8" t="n">
        <v>136330</v>
      </c>
      <c r="G99" s="8" t="n">
        <v>136330</v>
      </c>
      <c r="H99" s="7" t="n">
        <v>0</v>
      </c>
      <c r="I99" s="7" t="n">
        <v>0</v>
      </c>
      <c r="J99" s="7" t="n">
        <v>0</v>
      </c>
      <c r="K99" s="9" t="s">
        <v>4</v>
      </c>
      <c r="L99" s="7"/>
      <c r="M99" s="7"/>
      <c r="N99" s="10" t="n">
        <f aca="false">IF(AND(ISNUMBER(F99),ISNUMBER(G99)),ABS(G99-F99),"")</f>
        <v>0</v>
      </c>
      <c r="O99" s="4" t="str">
        <f aca="false">IF(AND(ISNUMBER(N99),ISNUMBER(J99)),IF(N99&lt;=J99,"PASS","FAIL"),"n/a")</f>
        <v>PASS</v>
      </c>
    </row>
    <row r="100" customFormat="false" ht="23.85" hidden="false" customHeight="false" outlineLevel="0" collapsed="false">
      <c r="A100" s="7" t="s">
        <v>306</v>
      </c>
      <c r="B100" s="7" t="s">
        <v>288</v>
      </c>
      <c r="C100" s="7" t="s">
        <v>307</v>
      </c>
      <c r="D100" s="7"/>
      <c r="E100" s="7"/>
      <c r="F100" s="8" t="n">
        <v>0</v>
      </c>
      <c r="G100" s="8" t="n">
        <v>0</v>
      </c>
      <c r="H100" s="7" t="n">
        <v>0</v>
      </c>
      <c r="I100" s="7"/>
      <c r="J100" s="7" t="n">
        <v>0</v>
      </c>
      <c r="K100" s="9" t="s">
        <v>4</v>
      </c>
      <c r="L100" s="7"/>
      <c r="M100" s="7"/>
      <c r="N100" s="10" t="n">
        <f aca="false">IF(AND(ISNUMBER(F100),ISNUMBER(G100)),ABS(G100-F100),"")</f>
        <v>0</v>
      </c>
      <c r="O100" s="4" t="str">
        <f aca="false">IF(AND(ISNUMBER(N100),ISNUMBER(J100)),IF(N100&lt;=J100,"PASS","FAIL"),"n/a")</f>
        <v>PASS</v>
      </c>
    </row>
    <row r="101" customFormat="false" ht="23.85" hidden="false" customHeight="false" outlineLevel="0" collapsed="false">
      <c r="A101" s="7" t="s">
        <v>308</v>
      </c>
      <c r="B101" s="7" t="s">
        <v>288</v>
      </c>
      <c r="C101" s="7" t="s">
        <v>309</v>
      </c>
      <c r="D101" s="7"/>
      <c r="E101" s="7"/>
      <c r="F101" s="8" t="n">
        <v>0</v>
      </c>
      <c r="G101" s="8" t="n">
        <v>0</v>
      </c>
      <c r="H101" s="7" t="n">
        <v>0</v>
      </c>
      <c r="I101" s="7"/>
      <c r="J101" s="7" t="n">
        <v>0</v>
      </c>
      <c r="K101" s="9" t="s">
        <v>4</v>
      </c>
      <c r="L101" s="7"/>
      <c r="M101" s="7"/>
      <c r="N101" s="10" t="n">
        <f aca="false">IF(AND(ISNUMBER(F101),ISNUMBER(G101)),ABS(G101-F101),"")</f>
        <v>0</v>
      </c>
      <c r="O101" s="4" t="str">
        <f aca="false">IF(AND(ISNUMBER(N101),ISNUMBER(J101)),IF(N101&lt;=J101,"PASS","FAIL"),"n/a")</f>
        <v>PASS</v>
      </c>
    </row>
    <row r="102" customFormat="false" ht="23.85" hidden="false" customHeight="false" outlineLevel="0" collapsed="false">
      <c r="A102" s="7" t="s">
        <v>310</v>
      </c>
      <c r="B102" s="7" t="s">
        <v>288</v>
      </c>
      <c r="C102" s="7" t="s">
        <v>311</v>
      </c>
      <c r="D102" s="7"/>
      <c r="E102" s="7"/>
      <c r="F102" s="8" t="n">
        <v>0</v>
      </c>
      <c r="G102" s="8" t="n">
        <v>0</v>
      </c>
      <c r="H102" s="7" t="n">
        <v>0</v>
      </c>
      <c r="I102" s="7"/>
      <c r="J102" s="7" t="n">
        <v>0</v>
      </c>
      <c r="K102" s="9" t="s">
        <v>4</v>
      </c>
      <c r="L102" s="7"/>
      <c r="M102" s="7"/>
      <c r="N102" s="10" t="n">
        <f aca="false">IF(AND(ISNUMBER(F102),ISNUMBER(G102)),ABS(G102-F102),"")</f>
        <v>0</v>
      </c>
      <c r="O102" s="4" t="str">
        <f aca="false">IF(AND(ISNUMBER(N102),ISNUMBER(J102)),IF(N102&lt;=J102,"PASS","FAIL"),"n/a")</f>
        <v>PASS</v>
      </c>
    </row>
    <row r="103" customFormat="false" ht="23.85" hidden="false" customHeight="false" outlineLevel="0" collapsed="false">
      <c r="A103" s="7" t="s">
        <v>312</v>
      </c>
      <c r="B103" s="7" t="s">
        <v>288</v>
      </c>
      <c r="C103" s="7" t="s">
        <v>313</v>
      </c>
      <c r="D103" s="7"/>
      <c r="E103" s="7"/>
      <c r="F103" s="8" t="n">
        <v>0</v>
      </c>
      <c r="G103" s="8" t="n">
        <v>0</v>
      </c>
      <c r="H103" s="7" t="n">
        <v>0</v>
      </c>
      <c r="I103" s="7"/>
      <c r="J103" s="7" t="n">
        <v>0</v>
      </c>
      <c r="K103" s="9" t="s">
        <v>4</v>
      </c>
      <c r="L103" s="7" t="s">
        <v>314</v>
      </c>
      <c r="M103" s="7"/>
      <c r="N103" s="10" t="n">
        <f aca="false">IF(AND(ISNUMBER(F103),ISNUMBER(G103)),ABS(G103-F103),"")</f>
        <v>0</v>
      </c>
      <c r="O103" s="4" t="str">
        <f aca="false">IF(AND(ISNUMBER(N103),ISNUMBER(J103)),IF(N103&lt;=J103,"PASS","FAIL"),"n/a")</f>
        <v>PASS</v>
      </c>
    </row>
    <row r="104" customFormat="false" ht="23.85" hidden="false" customHeight="false" outlineLevel="0" collapsed="false">
      <c r="A104" s="7" t="s">
        <v>315</v>
      </c>
      <c r="B104" s="7" t="s">
        <v>288</v>
      </c>
      <c r="C104" s="7" t="s">
        <v>316</v>
      </c>
      <c r="D104" s="7"/>
      <c r="E104" s="7"/>
      <c r="F104" s="7"/>
      <c r="G104" s="7"/>
      <c r="H104" s="7"/>
      <c r="I104" s="7"/>
      <c r="J104" s="7"/>
      <c r="K104" s="11" t="s">
        <v>8</v>
      </c>
      <c r="L104" s="7" t="s">
        <v>317</v>
      </c>
      <c r="M104" s="7"/>
      <c r="N104" s="10" t="str">
        <f aca="false">IF(AND(ISNUMBER(F104),ISNUMBER(G104)),ABS(G104-F104),"")</f>
        <v/>
      </c>
      <c r="O104" s="4" t="str">
        <f aca="false">IF(AND(ISNUMBER(N104),ISNUMBER(J104)),IF(N104&lt;=J104,"PASS","FAIL"),"n/a")</f>
        <v>n/a</v>
      </c>
    </row>
    <row r="105" customFormat="false" ht="23.85" hidden="false" customHeight="false" outlineLevel="0" collapsed="false">
      <c r="A105" s="7" t="s">
        <v>318</v>
      </c>
      <c r="B105" s="7" t="s">
        <v>288</v>
      </c>
      <c r="C105" s="7" t="s">
        <v>319</v>
      </c>
      <c r="D105" s="7"/>
      <c r="E105" s="7"/>
      <c r="F105" s="8" t="n">
        <v>0</v>
      </c>
      <c r="G105" s="8" t="n">
        <v>0</v>
      </c>
      <c r="H105" s="7" t="n">
        <v>0</v>
      </c>
      <c r="I105" s="7"/>
      <c r="J105" s="7" t="n">
        <v>0</v>
      </c>
      <c r="K105" s="9" t="s">
        <v>4</v>
      </c>
      <c r="L105" s="7"/>
      <c r="M105" s="7"/>
      <c r="N105" s="10" t="n">
        <f aca="false">IF(AND(ISNUMBER(F105),ISNUMBER(G105)),ABS(G105-F105),"")</f>
        <v>0</v>
      </c>
      <c r="O105" s="4" t="str">
        <f aca="false">IF(AND(ISNUMBER(N105),ISNUMBER(J105)),IF(N105&lt;=J105,"PASS","FAIL"),"n/a")</f>
        <v>PASS</v>
      </c>
    </row>
    <row r="106" customFormat="false" ht="23.85" hidden="false" customHeight="false" outlineLevel="0" collapsed="false">
      <c r="A106" s="7" t="s">
        <v>320</v>
      </c>
      <c r="B106" s="7" t="s">
        <v>288</v>
      </c>
      <c r="C106" s="7" t="s">
        <v>321</v>
      </c>
      <c r="D106" s="7"/>
      <c r="E106" s="7"/>
      <c r="F106" s="12" t="n">
        <v>595918.8704</v>
      </c>
      <c r="G106" s="12" t="n">
        <v>595918.8704</v>
      </c>
      <c r="H106" s="7" t="n">
        <v>1.16415321826935E-010</v>
      </c>
      <c r="I106" s="7" t="n">
        <v>1.95354313497059E-016</v>
      </c>
      <c r="J106" s="7" t="n">
        <v>0.01</v>
      </c>
      <c r="K106" s="9" t="s">
        <v>4</v>
      </c>
      <c r="L106" s="7"/>
      <c r="M106" s="7"/>
      <c r="N106" s="10" t="n">
        <f aca="false">IF(AND(ISNUMBER(F106),ISNUMBER(G106)),ABS(G106-F106),"")</f>
        <v>0</v>
      </c>
      <c r="O106" s="4" t="str">
        <f aca="false">IF(AND(ISNUMBER(N106),ISNUMBER(J106)),IF(N106&lt;=J106,"PASS","FAIL"),"n/a")</f>
        <v>PASS</v>
      </c>
    </row>
    <row r="107" customFormat="false" ht="23.85" hidden="false" customHeight="false" outlineLevel="0" collapsed="false">
      <c r="A107" s="7" t="s">
        <v>322</v>
      </c>
      <c r="B107" s="7" t="s">
        <v>288</v>
      </c>
      <c r="C107" s="7" t="s">
        <v>323</v>
      </c>
      <c r="D107" s="7"/>
      <c r="E107" s="7"/>
      <c r="F107" s="12" t="n">
        <v>92808017.9022</v>
      </c>
      <c r="G107" s="12" t="n">
        <v>92808017.9021998</v>
      </c>
      <c r="H107" s="7" t="n">
        <v>2.08616256713867E-007</v>
      </c>
      <c r="I107" s="7" t="n">
        <v>2.24782579597492E-015</v>
      </c>
      <c r="J107" s="7" t="n">
        <v>0.01</v>
      </c>
      <c r="K107" s="9" t="s">
        <v>4</v>
      </c>
      <c r="L107" s="7"/>
      <c r="M107" s="7"/>
      <c r="N107" s="10" t="n">
        <f aca="false">IF(AND(ISNUMBER(F107),ISNUMBER(G107)),ABS(G107-F107),"")</f>
        <v>0</v>
      </c>
      <c r="O107" s="4" t="str">
        <f aca="false">IF(AND(ISNUMBER(N107),ISNUMBER(J107)),IF(N107&lt;=J107,"PASS","FAIL"),"n/a")</f>
        <v>PASS</v>
      </c>
    </row>
    <row r="108" customFormat="false" ht="23.85" hidden="false" customHeight="false" outlineLevel="0" collapsed="false">
      <c r="A108" s="7" t="s">
        <v>324</v>
      </c>
      <c r="B108" s="7" t="s">
        <v>288</v>
      </c>
      <c r="C108" s="7" t="s">
        <v>325</v>
      </c>
      <c r="D108" s="7"/>
      <c r="E108" s="7"/>
      <c r="F108" s="12" t="n">
        <v>1841552.0637</v>
      </c>
      <c r="G108" s="12" t="n">
        <v>1841552.0637</v>
      </c>
      <c r="H108" s="7" t="n">
        <v>4.65661287307739E-010</v>
      </c>
      <c r="I108" s="7" t="n">
        <v>2.52863492966984E-016</v>
      </c>
      <c r="J108" s="7" t="n">
        <v>0.01</v>
      </c>
      <c r="K108" s="9" t="s">
        <v>4</v>
      </c>
      <c r="L108" s="7"/>
      <c r="M108" s="7"/>
      <c r="N108" s="10" t="n">
        <f aca="false">IF(AND(ISNUMBER(F108),ISNUMBER(G108)),ABS(G108-F108),"")</f>
        <v>0</v>
      </c>
      <c r="O108" s="4" t="str">
        <f aca="false">IF(AND(ISNUMBER(N108),ISNUMBER(J108)),IF(N108&lt;=J108,"PASS","FAIL"),"n/a")</f>
        <v>PASS</v>
      </c>
    </row>
    <row r="109" customFormat="false" ht="23.85" hidden="false" customHeight="false" outlineLevel="0" collapsed="false">
      <c r="A109" s="7" t="s">
        <v>326</v>
      </c>
      <c r="B109" s="7" t="s">
        <v>288</v>
      </c>
      <c r="C109" s="7" t="s">
        <v>327</v>
      </c>
      <c r="D109" s="7"/>
      <c r="E109" s="7"/>
      <c r="F109" s="12" t="n">
        <v>43812798.7776</v>
      </c>
      <c r="G109" s="12" t="n">
        <v>43812798.7776002</v>
      </c>
      <c r="H109" s="7" t="n">
        <v>1.63912773132324E-007</v>
      </c>
      <c r="I109" s="7" t="n">
        <v>3.741207539933E-015</v>
      </c>
      <c r="J109" s="7" t="n">
        <v>0.01</v>
      </c>
      <c r="K109" s="9" t="s">
        <v>4</v>
      </c>
      <c r="L109" s="7"/>
      <c r="M109" s="7"/>
      <c r="N109" s="10" t="n">
        <f aca="false">IF(AND(ISNUMBER(F109),ISNUMBER(G109)),ABS(G109-F109),"")</f>
        <v>1.63912773132324E-007</v>
      </c>
      <c r="O109" s="4" t="str">
        <f aca="false">IF(AND(ISNUMBER(N109),ISNUMBER(J109)),IF(N109&lt;=J109,"PASS","FAIL"),"n/a")</f>
        <v>PASS</v>
      </c>
    </row>
    <row r="110" customFormat="false" ht="23.85" hidden="false" customHeight="false" outlineLevel="0" collapsed="false">
      <c r="A110" s="7" t="s">
        <v>328</v>
      </c>
      <c r="B110" s="7" t="s">
        <v>288</v>
      </c>
      <c r="C110" s="7" t="s">
        <v>329</v>
      </c>
      <c r="D110" s="7"/>
      <c r="E110" s="7"/>
      <c r="F110" s="12" t="n">
        <v>39708939.3079</v>
      </c>
      <c r="G110" s="12" t="n">
        <v>39708939.3079002</v>
      </c>
      <c r="H110" s="7" t="n">
        <v>1.71363353729248E-007</v>
      </c>
      <c r="I110" s="7" t="n">
        <v>4.3154855484935E-015</v>
      </c>
      <c r="J110" s="7" t="n">
        <v>0.01</v>
      </c>
      <c r="K110" s="9" t="s">
        <v>4</v>
      </c>
      <c r="L110" s="7"/>
      <c r="M110" s="7"/>
      <c r="N110" s="10" t="n">
        <f aca="false">IF(AND(ISNUMBER(F110),ISNUMBER(G110)),ABS(G110-F110),"")</f>
        <v>1.71363353729248E-007</v>
      </c>
      <c r="O110" s="4" t="str">
        <f aca="false">IF(AND(ISNUMBER(N110),ISNUMBER(J110)),IF(N110&lt;=J110,"PASS","FAIL"),"n/a")</f>
        <v>PASS</v>
      </c>
    </row>
    <row r="111" customFormat="false" ht="23.85" hidden="false" customHeight="false" outlineLevel="0" collapsed="false">
      <c r="A111" s="7" t="s">
        <v>330</v>
      </c>
      <c r="B111" s="7" t="s">
        <v>288</v>
      </c>
      <c r="C111" s="7" t="s">
        <v>331</v>
      </c>
      <c r="D111" s="7"/>
      <c r="E111" s="7"/>
      <c r="F111" s="12" t="n">
        <v>202649002.1522</v>
      </c>
      <c r="G111" s="12" t="n">
        <v>202649002.152202</v>
      </c>
      <c r="H111" s="7" t="n">
        <v>1.54972076416016E-006</v>
      </c>
      <c r="I111" s="7" t="n">
        <v>7.64731505066201E-015</v>
      </c>
      <c r="J111" s="7" t="n">
        <v>0.01</v>
      </c>
      <c r="K111" s="9" t="s">
        <v>4</v>
      </c>
      <c r="L111" s="7"/>
      <c r="M111" s="7"/>
      <c r="N111" s="10" t="n">
        <f aca="false">IF(AND(ISNUMBER(F111),ISNUMBER(G111)),ABS(G111-F111),"")</f>
        <v>1.57952308654785E-006</v>
      </c>
      <c r="O111" s="4" t="str">
        <f aca="false">IF(AND(ISNUMBER(N111),ISNUMBER(J111)),IF(N111&lt;=J111,"PASS","FAIL"),"n/a")</f>
        <v>PASS</v>
      </c>
    </row>
    <row r="112" customFormat="false" ht="23.85" hidden="false" customHeight="false" outlineLevel="0" collapsed="false">
      <c r="A112" s="7" t="s">
        <v>332</v>
      </c>
      <c r="B112" s="7" t="s">
        <v>288</v>
      </c>
      <c r="C112" s="7" t="s">
        <v>333</v>
      </c>
      <c r="D112" s="7"/>
      <c r="E112" s="7"/>
      <c r="F112" s="12" t="n">
        <v>2751000.6627</v>
      </c>
      <c r="G112" s="12" t="n">
        <v>2751000.6627</v>
      </c>
      <c r="H112" s="7" t="n">
        <v>2.79396772384644E-009</v>
      </c>
      <c r="I112" s="7" t="n">
        <v>1.0156187025794E-015</v>
      </c>
      <c r="J112" s="7" t="n">
        <v>0.01</v>
      </c>
      <c r="K112" s="9" t="s">
        <v>4</v>
      </c>
      <c r="L112" s="7"/>
      <c r="M112" s="7"/>
      <c r="N112" s="10" t="n">
        <f aca="false">IF(AND(ISNUMBER(F112),ISNUMBER(G112)),ABS(G112-F112),"")</f>
        <v>0</v>
      </c>
      <c r="O112" s="4" t="str">
        <f aca="false">IF(AND(ISNUMBER(N112),ISNUMBER(J112)),IF(N112&lt;=J112,"PASS","FAIL"),"n/a")</f>
        <v>PASS</v>
      </c>
    </row>
    <row r="113" customFormat="false" ht="23.85" hidden="false" customHeight="false" outlineLevel="0" collapsed="false">
      <c r="A113" s="7" t="s">
        <v>334</v>
      </c>
      <c r="B113" s="7" t="s">
        <v>288</v>
      </c>
      <c r="C113" s="7" t="s">
        <v>335</v>
      </c>
      <c r="D113" s="7"/>
      <c r="E113" s="7"/>
      <c r="F113" s="8" t="n">
        <v>0</v>
      </c>
      <c r="G113" s="8" t="n">
        <v>0</v>
      </c>
      <c r="H113" s="7" t="n">
        <v>0</v>
      </c>
      <c r="I113" s="7"/>
      <c r="J113" s="7" t="n">
        <v>0</v>
      </c>
      <c r="K113" s="9" t="s">
        <v>4</v>
      </c>
      <c r="L113" s="7"/>
      <c r="M113" s="7"/>
      <c r="N113" s="10" t="n">
        <f aca="false">IF(AND(ISNUMBER(F113),ISNUMBER(G113)),ABS(G113-F113),"")</f>
        <v>0</v>
      </c>
      <c r="O113" s="4" t="str">
        <f aca="false">IF(AND(ISNUMBER(N113),ISNUMBER(J113)),IF(N113&lt;=J113,"PASS","FAIL"),"n/a")</f>
        <v>PASS</v>
      </c>
    </row>
    <row r="114" customFormat="false" ht="35.05" hidden="false" customHeight="false" outlineLevel="0" collapsed="false">
      <c r="A114" s="7" t="s">
        <v>336</v>
      </c>
      <c r="B114" s="7" t="s">
        <v>288</v>
      </c>
      <c r="C114" s="7" t="s">
        <v>337</v>
      </c>
      <c r="D114" s="7"/>
      <c r="E114" s="7"/>
      <c r="F114" s="8" t="n">
        <v>0</v>
      </c>
      <c r="G114" s="8" t="n">
        <v>0</v>
      </c>
      <c r="H114" s="7" t="n">
        <v>0</v>
      </c>
      <c r="I114" s="7"/>
      <c r="J114" s="7" t="n">
        <v>0</v>
      </c>
      <c r="K114" s="9" t="s">
        <v>4</v>
      </c>
      <c r="L114" s="7" t="s">
        <v>338</v>
      </c>
      <c r="M114" s="7"/>
      <c r="N114" s="10" t="n">
        <f aca="false">IF(AND(ISNUMBER(F114),ISNUMBER(G114)),ABS(G114-F114),"")</f>
        <v>0</v>
      </c>
      <c r="O114" s="4" t="str">
        <f aca="false">IF(AND(ISNUMBER(N114),ISNUMBER(J114)),IF(N114&lt;=J114,"PASS","FAIL"),"n/a")</f>
        <v>PASS</v>
      </c>
    </row>
    <row r="115" customFormat="false" ht="23.85" hidden="false" customHeight="false" outlineLevel="0" collapsed="false">
      <c r="A115" s="7" t="s">
        <v>339</v>
      </c>
      <c r="B115" s="7" t="s">
        <v>288</v>
      </c>
      <c r="C115" s="7" t="s">
        <v>340</v>
      </c>
      <c r="D115" s="7"/>
      <c r="E115" s="7"/>
      <c r="F115" s="8" t="n">
        <v>36</v>
      </c>
      <c r="G115" s="8" t="n">
        <v>36</v>
      </c>
      <c r="H115" s="7" t="n">
        <v>0</v>
      </c>
      <c r="I115" s="7" t="n">
        <v>0</v>
      </c>
      <c r="J115" s="7" t="n">
        <v>0</v>
      </c>
      <c r="K115" s="9" t="s">
        <v>4</v>
      </c>
      <c r="L115" s="7"/>
      <c r="M115" s="7"/>
      <c r="N115" s="10" t="n">
        <f aca="false">IF(AND(ISNUMBER(F115),ISNUMBER(G115)),ABS(G115-F115),"")</f>
        <v>0</v>
      </c>
      <c r="O115" s="4" t="str">
        <f aca="false">IF(AND(ISNUMBER(N115),ISNUMBER(J115)),IF(N115&lt;=J115,"PASS","FAIL"),"n/a")</f>
        <v>PASS</v>
      </c>
    </row>
    <row r="116" customFormat="false" ht="23.85" hidden="false" customHeight="false" outlineLevel="0" collapsed="false">
      <c r="A116" s="7" t="s">
        <v>341</v>
      </c>
      <c r="B116" s="7" t="s">
        <v>288</v>
      </c>
      <c r="C116" s="7" t="s">
        <v>342</v>
      </c>
      <c r="D116" s="7"/>
      <c r="E116" s="7"/>
      <c r="F116" s="8" t="n">
        <v>55043</v>
      </c>
      <c r="G116" s="8" t="n">
        <v>55043</v>
      </c>
      <c r="H116" s="7" t="n">
        <v>0</v>
      </c>
      <c r="I116" s="7" t="n">
        <v>0</v>
      </c>
      <c r="J116" s="7" t="n">
        <v>0</v>
      </c>
      <c r="K116" s="9" t="s">
        <v>4</v>
      </c>
      <c r="L116" s="7"/>
      <c r="M116" s="7"/>
      <c r="N116" s="10" t="n">
        <f aca="false">IF(AND(ISNUMBER(F116),ISNUMBER(G116)),ABS(G116-F116),"")</f>
        <v>0</v>
      </c>
      <c r="O116" s="4" t="str">
        <f aca="false">IF(AND(ISNUMBER(N116),ISNUMBER(J116)),IF(N116&lt;=J116,"PASS","FAIL"),"n/a")</f>
        <v>PASS</v>
      </c>
    </row>
    <row r="117" customFormat="false" ht="23.85" hidden="false" customHeight="false" outlineLevel="0" collapsed="false">
      <c r="A117" s="7" t="s">
        <v>343</v>
      </c>
      <c r="B117" s="7" t="s">
        <v>288</v>
      </c>
      <c r="C117" s="7" t="s">
        <v>344</v>
      </c>
      <c r="D117" s="7"/>
      <c r="E117" s="7"/>
      <c r="F117" s="8" t="n">
        <v>0</v>
      </c>
      <c r="G117" s="8" t="n">
        <v>0</v>
      </c>
      <c r="H117" s="7" t="n">
        <v>0</v>
      </c>
      <c r="I117" s="7"/>
      <c r="J117" s="7" t="n">
        <v>0</v>
      </c>
      <c r="K117" s="9" t="s">
        <v>4</v>
      </c>
      <c r="L117" s="7"/>
      <c r="M117" s="7"/>
      <c r="N117" s="10" t="n">
        <f aca="false">IF(AND(ISNUMBER(F117),ISNUMBER(G117)),ABS(G117-F117),"")</f>
        <v>0</v>
      </c>
      <c r="O117" s="4" t="str">
        <f aca="false">IF(AND(ISNUMBER(N117),ISNUMBER(J117)),IF(N117&lt;=J117,"PASS","FAIL"),"n/a")</f>
        <v>PASS</v>
      </c>
    </row>
    <row r="118" customFormat="false" ht="23.85" hidden="false" customHeight="false" outlineLevel="0" collapsed="false">
      <c r="A118" s="7" t="s">
        <v>345</v>
      </c>
      <c r="B118" s="7" t="s">
        <v>288</v>
      </c>
      <c r="C118" s="7" t="s">
        <v>346</v>
      </c>
      <c r="D118" s="7"/>
      <c r="E118" s="7"/>
      <c r="F118" s="8" t="n">
        <v>0</v>
      </c>
      <c r="G118" s="8" t="n">
        <v>0</v>
      </c>
      <c r="H118" s="7" t="n">
        <v>0</v>
      </c>
      <c r="I118" s="7"/>
      <c r="J118" s="7" t="n">
        <v>0</v>
      </c>
      <c r="K118" s="9" t="s">
        <v>4</v>
      </c>
      <c r="L118" s="7"/>
      <c r="M118" s="7"/>
      <c r="N118" s="10" t="n">
        <f aca="false">IF(AND(ISNUMBER(F118),ISNUMBER(G118)),ABS(G118-F118),"")</f>
        <v>0</v>
      </c>
      <c r="O118" s="4" t="str">
        <f aca="false">IF(AND(ISNUMBER(N118),ISNUMBER(J118)),IF(N118&lt;=J118,"PASS","FAIL"),"n/a")</f>
        <v>PASS</v>
      </c>
    </row>
    <row r="119" customFormat="false" ht="23.85" hidden="false" customHeight="false" outlineLevel="0" collapsed="false">
      <c r="A119" s="7" t="s">
        <v>347</v>
      </c>
      <c r="B119" s="7" t="s">
        <v>288</v>
      </c>
      <c r="C119" s="7" t="s">
        <v>348</v>
      </c>
      <c r="D119" s="7"/>
      <c r="E119" s="7"/>
      <c r="F119" s="8" t="n">
        <v>1</v>
      </c>
      <c r="G119" s="8" t="n">
        <v>1</v>
      </c>
      <c r="H119" s="7" t="n">
        <v>0</v>
      </c>
      <c r="I119" s="7" t="n">
        <v>0</v>
      </c>
      <c r="J119" s="7" t="n">
        <v>0</v>
      </c>
      <c r="K119" s="9" t="s">
        <v>4</v>
      </c>
      <c r="L119" s="7"/>
      <c r="M119" s="7"/>
      <c r="N119" s="10" t="n">
        <f aca="false">IF(AND(ISNUMBER(F119),ISNUMBER(G119)),ABS(G119-F119),"")</f>
        <v>0</v>
      </c>
      <c r="O119" s="4" t="str">
        <f aca="false">IF(AND(ISNUMBER(N119),ISNUMBER(J119)),IF(N119&lt;=J119,"PASS","FAIL"),"n/a")</f>
        <v>PASS</v>
      </c>
    </row>
    <row r="120" customFormat="false" ht="23.85" hidden="false" customHeight="false" outlineLevel="0" collapsed="false">
      <c r="A120" s="7" t="s">
        <v>349</v>
      </c>
      <c r="B120" s="7" t="s">
        <v>288</v>
      </c>
      <c r="C120" s="7" t="s">
        <v>350</v>
      </c>
      <c r="D120" s="7"/>
      <c r="E120" s="7"/>
      <c r="F120" s="8" t="n">
        <v>1</v>
      </c>
      <c r="G120" s="8" t="n">
        <v>1</v>
      </c>
      <c r="H120" s="7" t="n">
        <v>0</v>
      </c>
      <c r="I120" s="7" t="n">
        <v>0</v>
      </c>
      <c r="J120" s="7" t="n">
        <v>0</v>
      </c>
      <c r="K120" s="9" t="s">
        <v>4</v>
      </c>
      <c r="L120" s="7"/>
      <c r="M120" s="7"/>
      <c r="N120" s="10" t="n">
        <f aca="false">IF(AND(ISNUMBER(F120),ISNUMBER(G120)),ABS(G120-F120),"")</f>
        <v>0</v>
      </c>
      <c r="O120" s="4" t="str">
        <f aca="false">IF(AND(ISNUMBER(N120),ISNUMBER(J120)),IF(N120&lt;=J120,"PASS","FAIL"),"n/a")</f>
        <v>PASS</v>
      </c>
    </row>
    <row r="121" customFormat="false" ht="23.85" hidden="false" customHeight="false" outlineLevel="0" collapsed="false">
      <c r="A121" s="7" t="s">
        <v>351</v>
      </c>
      <c r="B121" s="7" t="s">
        <v>288</v>
      </c>
      <c r="C121" s="7" t="s">
        <v>352</v>
      </c>
      <c r="D121" s="7"/>
      <c r="E121" s="7"/>
      <c r="F121" s="8" t="n">
        <v>0</v>
      </c>
      <c r="G121" s="8" t="n">
        <v>0</v>
      </c>
      <c r="H121" s="7" t="n">
        <v>0</v>
      </c>
      <c r="I121" s="7"/>
      <c r="J121" s="7" t="n">
        <v>0</v>
      </c>
      <c r="K121" s="9" t="s">
        <v>4</v>
      </c>
      <c r="L121" s="7" t="s">
        <v>353</v>
      </c>
      <c r="M121" s="7"/>
      <c r="N121" s="10" t="n">
        <f aca="false">IF(AND(ISNUMBER(F121),ISNUMBER(G121)),ABS(G121-F121),"")</f>
        <v>0</v>
      </c>
      <c r="O121" s="4" t="str">
        <f aca="false">IF(AND(ISNUMBER(N121),ISNUMBER(J121)),IF(N121&lt;=J121,"PASS","FAIL"),"n/a")</f>
        <v>PASS</v>
      </c>
    </row>
    <row r="122" customFormat="false" ht="23.85" hidden="false" customHeight="false" outlineLevel="0" collapsed="false">
      <c r="A122" s="7" t="s">
        <v>354</v>
      </c>
      <c r="B122" s="7" t="s">
        <v>288</v>
      </c>
      <c r="C122" s="7" t="s">
        <v>355</v>
      </c>
      <c r="D122" s="7"/>
      <c r="E122" s="7"/>
      <c r="F122" s="8" t="n">
        <v>0</v>
      </c>
      <c r="G122" s="8" t="n">
        <v>0</v>
      </c>
      <c r="H122" s="7" t="n">
        <v>0</v>
      </c>
      <c r="I122" s="7"/>
      <c r="J122" s="7" t="n">
        <v>0</v>
      </c>
      <c r="K122" s="9" t="s">
        <v>4</v>
      </c>
      <c r="L122" s="7" t="s">
        <v>353</v>
      </c>
      <c r="M122" s="7"/>
      <c r="N122" s="10" t="n">
        <f aca="false">IF(AND(ISNUMBER(F122),ISNUMBER(G122)),ABS(G122-F122),"")</f>
        <v>0</v>
      </c>
      <c r="O122" s="4" t="str">
        <f aca="false">IF(AND(ISNUMBER(N122),ISNUMBER(J122)),IF(N122&lt;=J122,"PASS","FAIL"),"n/a")</f>
        <v>PASS</v>
      </c>
    </row>
    <row r="123" customFormat="false" ht="35.05" hidden="false" customHeight="false" outlineLevel="0" collapsed="false">
      <c r="A123" s="7" t="s">
        <v>356</v>
      </c>
      <c r="B123" s="7" t="s">
        <v>288</v>
      </c>
      <c r="C123" s="7" t="s">
        <v>357</v>
      </c>
      <c r="D123" s="7"/>
      <c r="E123" s="7"/>
      <c r="F123" s="8" t="n">
        <v>1</v>
      </c>
      <c r="G123" s="8" t="n">
        <v>1</v>
      </c>
      <c r="H123" s="7" t="n">
        <v>0</v>
      </c>
      <c r="I123" s="7" t="n">
        <v>0</v>
      </c>
      <c r="J123" s="7" t="n">
        <v>0</v>
      </c>
      <c r="K123" s="9" t="s">
        <v>4</v>
      </c>
      <c r="L123" s="7"/>
      <c r="M123" s="7"/>
      <c r="N123" s="10" t="n">
        <f aca="false">IF(AND(ISNUMBER(F123),ISNUMBER(G123)),ABS(G123-F123),"")</f>
        <v>0</v>
      </c>
      <c r="O123" s="4" t="str">
        <f aca="false">IF(AND(ISNUMBER(N123),ISNUMBER(J123)),IF(N123&lt;=J123,"PASS","FAIL"),"n/a")</f>
        <v>PASS</v>
      </c>
    </row>
    <row r="124" customFormat="false" ht="35.05" hidden="false" customHeight="false" outlineLevel="0" collapsed="false">
      <c r="A124" s="7" t="s">
        <v>358</v>
      </c>
      <c r="B124" s="7" t="s">
        <v>288</v>
      </c>
      <c r="C124" s="7" t="s">
        <v>359</v>
      </c>
      <c r="D124" s="7"/>
      <c r="E124" s="7"/>
      <c r="F124" s="8" t="n">
        <v>1</v>
      </c>
      <c r="G124" s="8" t="n">
        <v>1</v>
      </c>
      <c r="H124" s="7" t="n">
        <v>0</v>
      </c>
      <c r="I124" s="7" t="n">
        <v>0</v>
      </c>
      <c r="J124" s="7" t="n">
        <v>0</v>
      </c>
      <c r="K124" s="9" t="s">
        <v>4</v>
      </c>
      <c r="L124" s="7"/>
      <c r="M124" s="7"/>
      <c r="N124" s="10" t="n">
        <f aca="false">IF(AND(ISNUMBER(F124),ISNUMBER(G124)),ABS(G124-F124),"")</f>
        <v>0</v>
      </c>
      <c r="O124" s="4" t="str">
        <f aca="false">IF(AND(ISNUMBER(N124),ISNUMBER(J124)),IF(N124&lt;=J124,"PASS","FAIL"),"n/a")</f>
        <v>PASS</v>
      </c>
    </row>
    <row r="125" customFormat="false" ht="15" hidden="false" customHeight="false" outlineLevel="0" collapsed="false">
      <c r="A125" s="7" t="s">
        <v>360</v>
      </c>
      <c r="B125" s="7" t="s">
        <v>361</v>
      </c>
      <c r="C125" s="7" t="s">
        <v>362</v>
      </c>
      <c r="D125" s="7"/>
      <c r="E125" s="7"/>
      <c r="F125" s="8" t="n">
        <v>1</v>
      </c>
      <c r="G125" s="8" t="n">
        <v>1</v>
      </c>
      <c r="H125" s="7" t="n">
        <v>0</v>
      </c>
      <c r="I125" s="7" t="n">
        <v>0</v>
      </c>
      <c r="J125" s="7" t="n">
        <v>0</v>
      </c>
      <c r="K125" s="9" t="s">
        <v>4</v>
      </c>
      <c r="L125" s="7"/>
      <c r="M125" s="7"/>
      <c r="N125" s="10" t="n">
        <f aca="false">IF(AND(ISNUMBER(F125),ISNUMBER(G125)),ABS(G125-F125),"")</f>
        <v>0</v>
      </c>
      <c r="O125" s="4" t="str">
        <f aca="false">IF(AND(ISNUMBER(N125),ISNUMBER(J125)),IF(N125&lt;=J125,"PASS","FAIL"),"n/a")</f>
        <v>PASS</v>
      </c>
    </row>
    <row r="126" customFormat="false" ht="15" hidden="false" customHeight="false" outlineLevel="0" collapsed="false">
      <c r="A126" s="7" t="s">
        <v>363</v>
      </c>
      <c r="B126" s="7" t="s">
        <v>361</v>
      </c>
      <c r="C126" s="7" t="s">
        <v>364</v>
      </c>
      <c r="D126" s="7"/>
      <c r="E126" s="7"/>
      <c r="F126" s="7"/>
      <c r="G126" s="8" t="n">
        <v>3819</v>
      </c>
      <c r="H126" s="7"/>
      <c r="I126" s="7"/>
      <c r="J126" s="7"/>
      <c r="K126" s="11" t="s">
        <v>8</v>
      </c>
      <c r="L126" s="7"/>
      <c r="M126" s="7"/>
      <c r="N126" s="10" t="str">
        <f aca="false">IF(AND(ISNUMBER(F126),ISNUMBER(G126)),ABS(G126-F126),"")</f>
        <v/>
      </c>
      <c r="O126" s="4" t="str">
        <f aca="false">IF(AND(ISNUMBER(N126),ISNUMBER(J126)),IF(N126&lt;=J126,"PASS","FAIL"),"n/a")</f>
        <v>n/a</v>
      </c>
    </row>
    <row r="127" customFormat="false" ht="29.85" hidden="false" customHeight="false" outlineLevel="0" collapsed="false">
      <c r="A127" s="7" t="s">
        <v>365</v>
      </c>
      <c r="B127" s="7" t="s">
        <v>361</v>
      </c>
      <c r="C127" s="7" t="s">
        <v>366</v>
      </c>
      <c r="D127" s="7"/>
      <c r="E127" s="7"/>
      <c r="F127" s="8" t="n">
        <v>0</v>
      </c>
      <c r="G127" s="8" t="n">
        <v>0</v>
      </c>
      <c r="H127" s="7" t="n">
        <v>0</v>
      </c>
      <c r="I127" s="7"/>
      <c r="J127" s="7" t="n">
        <v>0</v>
      </c>
      <c r="K127" s="9" t="s">
        <v>4</v>
      </c>
      <c r="L127" s="7" t="s">
        <v>353</v>
      </c>
      <c r="M127" s="7"/>
      <c r="N127" s="10" t="n">
        <f aca="false">IF(AND(ISNUMBER(F127),ISNUMBER(G127)),ABS(G127-F127),"")</f>
        <v>0</v>
      </c>
      <c r="O127" s="4" t="str">
        <f aca="false">IF(AND(ISNUMBER(N127),ISNUMBER(J127)),IF(N127&lt;=J127,"PASS","FAIL"),"n/a")</f>
        <v>PASS</v>
      </c>
    </row>
    <row r="128" customFormat="false" ht="15" hidden="false" customHeight="false" outlineLevel="0" collapsed="false">
      <c r="A128" s="7" t="s">
        <v>367</v>
      </c>
      <c r="B128" s="7" t="s">
        <v>361</v>
      </c>
      <c r="C128" s="7" t="s">
        <v>368</v>
      </c>
      <c r="D128" s="7"/>
      <c r="E128" s="7"/>
      <c r="F128" s="8" t="n">
        <v>0</v>
      </c>
      <c r="G128" s="8" t="n">
        <v>0</v>
      </c>
      <c r="H128" s="7" t="n">
        <v>0</v>
      </c>
      <c r="I128" s="7"/>
      <c r="J128" s="7" t="n">
        <v>0</v>
      </c>
      <c r="K128" s="9" t="s">
        <v>4</v>
      </c>
      <c r="L128" s="7"/>
      <c r="M128" s="7"/>
      <c r="N128" s="10" t="n">
        <f aca="false">IF(AND(ISNUMBER(F128),ISNUMBER(G128)),ABS(G128-F128),"")</f>
        <v>0</v>
      </c>
      <c r="O128" s="4" t="str">
        <f aca="false">IF(AND(ISNUMBER(N128),ISNUMBER(J128)),IF(N128&lt;=J128,"PASS","FAIL"),"n/a")</f>
        <v>PASS</v>
      </c>
    </row>
    <row r="129" customFormat="false" ht="23.85" hidden="false" customHeight="false" outlineLevel="0" collapsed="false">
      <c r="A129" s="7" t="s">
        <v>369</v>
      </c>
      <c r="B129" s="7" t="s">
        <v>361</v>
      </c>
      <c r="C129" s="7" t="s">
        <v>370</v>
      </c>
      <c r="D129" s="7"/>
      <c r="E129" s="7"/>
      <c r="F129" s="8" t="n">
        <v>0</v>
      </c>
      <c r="G129" s="8" t="n">
        <v>0</v>
      </c>
      <c r="H129" s="7" t="n">
        <v>0</v>
      </c>
      <c r="I129" s="7"/>
      <c r="J129" s="7" t="s">
        <v>371</v>
      </c>
      <c r="K129" s="9" t="s">
        <v>4</v>
      </c>
      <c r="L129" s="7" t="s">
        <v>353</v>
      </c>
      <c r="M129" s="7"/>
      <c r="N129" s="10" t="n">
        <f aca="false">IF(AND(ISNUMBER(F129),ISNUMBER(G129)),ABS(G129-F129),"")</f>
        <v>0</v>
      </c>
      <c r="O129" s="4" t="str">
        <f aca="false">IF(AND(ISNUMBER(N129),ISNUMBER(J129)),IF(N129&lt;=J129,"PASS","FAIL"),"n/a")</f>
        <v>n/a</v>
      </c>
    </row>
    <row r="130" customFormat="false" ht="23.85" hidden="false" customHeight="false" outlineLevel="0" collapsed="false">
      <c r="A130" s="7" t="s">
        <v>372</v>
      </c>
      <c r="B130" s="7" t="s">
        <v>361</v>
      </c>
      <c r="C130" s="7" t="s">
        <v>373</v>
      </c>
      <c r="D130" s="7"/>
      <c r="E130" s="7"/>
      <c r="F130" s="8" t="n">
        <v>0</v>
      </c>
      <c r="G130" s="8" t="n">
        <v>0</v>
      </c>
      <c r="H130" s="7" t="n">
        <v>0</v>
      </c>
      <c r="I130" s="7"/>
      <c r="J130" s="7" t="n">
        <v>0</v>
      </c>
      <c r="K130" s="9" t="s">
        <v>4</v>
      </c>
      <c r="L130" s="7"/>
      <c r="M130" s="7"/>
      <c r="N130" s="10" t="n">
        <f aca="false">IF(AND(ISNUMBER(F130),ISNUMBER(G130)),ABS(G130-F130),"")</f>
        <v>0</v>
      </c>
      <c r="O130" s="4" t="str">
        <f aca="false">IF(AND(ISNUMBER(N130),ISNUMBER(J130)),IF(N130&lt;=J130,"PASS","FAIL"),"n/a")</f>
        <v>PASS</v>
      </c>
    </row>
    <row r="131" customFormat="false" ht="15" hidden="false" customHeight="false" outlineLevel="0" collapsed="false">
      <c r="A131" s="7" t="s">
        <v>374</v>
      </c>
      <c r="B131" s="7" t="s">
        <v>361</v>
      </c>
      <c r="C131" s="7" t="s">
        <v>375</v>
      </c>
      <c r="D131" s="7"/>
      <c r="E131" s="7"/>
      <c r="F131" s="8" t="n">
        <v>0</v>
      </c>
      <c r="G131" s="8" t="n">
        <v>0</v>
      </c>
      <c r="H131" s="7" t="n">
        <v>0</v>
      </c>
      <c r="I131" s="7"/>
      <c r="J131" s="7" t="n">
        <v>0</v>
      </c>
      <c r="K131" s="9" t="s">
        <v>4</v>
      </c>
      <c r="L131" s="7"/>
      <c r="M131" s="7"/>
      <c r="N131" s="10" t="n">
        <f aca="false">IF(AND(ISNUMBER(F131),ISNUMBER(G131)),ABS(G131-F131),"")</f>
        <v>0</v>
      </c>
      <c r="O131" s="4" t="str">
        <f aca="false">IF(AND(ISNUMBER(N131),ISNUMBER(J131)),IF(N131&lt;=J131,"PASS","FAIL"),"n/a")</f>
        <v>PASS</v>
      </c>
    </row>
    <row r="132" customFormat="false" ht="15" hidden="false" customHeight="false" outlineLevel="0" collapsed="false">
      <c r="A132" s="7" t="s">
        <v>376</v>
      </c>
      <c r="B132" s="7" t="s">
        <v>361</v>
      </c>
      <c r="C132" s="7" t="s">
        <v>377</v>
      </c>
      <c r="D132" s="7"/>
      <c r="E132" s="7"/>
      <c r="F132" s="8" t="n">
        <v>0</v>
      </c>
      <c r="G132" s="8" t="n">
        <v>0</v>
      </c>
      <c r="H132" s="7" t="n">
        <v>0</v>
      </c>
      <c r="I132" s="7"/>
      <c r="J132" s="7" t="n">
        <v>0</v>
      </c>
      <c r="K132" s="9" t="s">
        <v>4</v>
      </c>
      <c r="L132" s="7"/>
      <c r="M132" s="7"/>
      <c r="N132" s="10" t="n">
        <f aca="false">IF(AND(ISNUMBER(F132),ISNUMBER(G132)),ABS(G132-F132),"")</f>
        <v>0</v>
      </c>
      <c r="O132" s="4" t="str">
        <f aca="false">IF(AND(ISNUMBER(N132),ISNUMBER(J132)),IF(N132&lt;=J132,"PASS","FAIL"),"n/a")</f>
        <v>PASS</v>
      </c>
    </row>
    <row r="133" customFormat="false" ht="15" hidden="false" customHeight="false" outlineLevel="0" collapsed="false">
      <c r="A133" s="7" t="s">
        <v>378</v>
      </c>
      <c r="B133" s="7" t="s">
        <v>361</v>
      </c>
      <c r="C133" s="7" t="s">
        <v>379</v>
      </c>
      <c r="D133" s="7"/>
      <c r="E133" s="7"/>
      <c r="F133" s="8" t="n">
        <v>0</v>
      </c>
      <c r="G133" s="8" t="n">
        <v>0</v>
      </c>
      <c r="H133" s="7" t="n">
        <v>0</v>
      </c>
      <c r="I133" s="7"/>
      <c r="J133" s="7" t="n">
        <v>0</v>
      </c>
      <c r="K133" s="9" t="s">
        <v>4</v>
      </c>
      <c r="L133" s="7"/>
      <c r="M133" s="7"/>
      <c r="N133" s="10" t="n">
        <f aca="false">IF(AND(ISNUMBER(F133),ISNUMBER(G133)),ABS(G133-F133),"")</f>
        <v>0</v>
      </c>
      <c r="O133" s="4" t="str">
        <f aca="false">IF(AND(ISNUMBER(N133),ISNUMBER(J133)),IF(N133&lt;=J133,"PASS","FAIL"),"n/a")</f>
        <v>PASS</v>
      </c>
    </row>
    <row r="134" customFormat="false" ht="15" hidden="false" customHeight="false" outlineLevel="0" collapsed="false">
      <c r="A134" s="7" t="s">
        <v>380</v>
      </c>
      <c r="B134" s="7" t="s">
        <v>361</v>
      </c>
      <c r="C134" s="7" t="s">
        <v>381</v>
      </c>
      <c r="D134" s="7"/>
      <c r="E134" s="7"/>
      <c r="F134" s="7"/>
      <c r="G134" s="8" t="n">
        <v>36</v>
      </c>
      <c r="H134" s="7"/>
      <c r="I134" s="7"/>
      <c r="J134" s="7"/>
      <c r="K134" s="11" t="s">
        <v>8</v>
      </c>
      <c r="L134" s="7" t="s">
        <v>382</v>
      </c>
      <c r="M134" s="7"/>
      <c r="N134" s="10" t="str">
        <f aca="false">IF(AND(ISNUMBER(F134),ISNUMBER(G134)),ABS(G134-F134),"")</f>
        <v/>
      </c>
      <c r="O134" s="4" t="str">
        <f aca="false">IF(AND(ISNUMBER(N134),ISNUMBER(J134)),IF(N134&lt;=J134,"PASS","FAIL"),"n/a")</f>
        <v>n/a</v>
      </c>
    </row>
    <row r="135" customFormat="false" ht="15" hidden="false" customHeight="false" outlineLevel="0" collapsed="false">
      <c r="A135" s="7" t="s">
        <v>383</v>
      </c>
      <c r="B135" s="7" t="s">
        <v>361</v>
      </c>
      <c r="C135" s="7" t="s">
        <v>384</v>
      </c>
      <c r="D135" s="7"/>
      <c r="E135" s="7"/>
      <c r="F135" s="8" t="n">
        <v>0</v>
      </c>
      <c r="G135" s="8" t="n">
        <v>0</v>
      </c>
      <c r="H135" s="7" t="n">
        <v>0</v>
      </c>
      <c r="I135" s="7"/>
      <c r="J135" s="7" t="n">
        <v>0</v>
      </c>
      <c r="K135" s="9" t="s">
        <v>4</v>
      </c>
      <c r="L135" s="7" t="s">
        <v>353</v>
      </c>
      <c r="M135" s="7"/>
      <c r="N135" s="10" t="n">
        <f aca="false">IF(AND(ISNUMBER(F135),ISNUMBER(G135)),ABS(G135-F135),"")</f>
        <v>0</v>
      </c>
      <c r="O135" s="4" t="str">
        <f aca="false">IF(AND(ISNUMBER(N135),ISNUMBER(J135)),IF(N135&lt;=J135,"PASS","FAIL"),"n/a")</f>
        <v>PASS</v>
      </c>
    </row>
    <row r="136" customFormat="false" ht="15" hidden="false" customHeight="false" outlineLevel="0" collapsed="false">
      <c r="A136" s="7" t="s">
        <v>385</v>
      </c>
      <c r="B136" s="7" t="s">
        <v>361</v>
      </c>
      <c r="C136" s="7" t="s">
        <v>386</v>
      </c>
      <c r="D136" s="7"/>
      <c r="E136" s="7"/>
      <c r="F136" s="8" t="n">
        <v>36</v>
      </c>
      <c r="G136" s="8" t="n">
        <v>36</v>
      </c>
      <c r="H136" s="7" t="n">
        <v>0</v>
      </c>
      <c r="I136" s="7" t="n">
        <v>0</v>
      </c>
      <c r="J136" s="7" t="n">
        <v>0</v>
      </c>
      <c r="K136" s="9" t="s">
        <v>4</v>
      </c>
      <c r="L136" s="7"/>
      <c r="M136" s="7"/>
      <c r="N136" s="10" t="n">
        <f aca="false">IF(AND(ISNUMBER(F136),ISNUMBER(G136)),ABS(G136-F136),"")</f>
        <v>0</v>
      </c>
      <c r="O136" s="4" t="str">
        <f aca="false">IF(AND(ISNUMBER(N136),ISNUMBER(J136)),IF(N136&lt;=J136,"PASS","FAIL"),"n/a")</f>
        <v>PASS</v>
      </c>
    </row>
    <row r="137" customFormat="false" ht="23.85" hidden="false" customHeight="false" outlineLevel="0" collapsed="false">
      <c r="A137" s="7" t="s">
        <v>387</v>
      </c>
      <c r="B137" s="7" t="s">
        <v>361</v>
      </c>
      <c r="C137" s="7" t="s">
        <v>388</v>
      </c>
      <c r="D137" s="7" t="s">
        <v>47</v>
      </c>
      <c r="E137" s="7"/>
      <c r="F137" s="8" t="n">
        <v>0</v>
      </c>
      <c r="G137" s="8" t="n">
        <v>0</v>
      </c>
      <c r="H137" s="7" t="n">
        <v>0</v>
      </c>
      <c r="I137" s="7"/>
      <c r="J137" s="7" t="s">
        <v>389</v>
      </c>
      <c r="K137" s="9" t="s">
        <v>4</v>
      </c>
      <c r="L137" s="7" t="s">
        <v>390</v>
      </c>
      <c r="M137" s="7"/>
      <c r="N137" s="10" t="n">
        <f aca="false">IF(AND(ISNUMBER(F137),ISNUMBER(G137)),ABS(G137-F137),"")</f>
        <v>0</v>
      </c>
      <c r="O137" s="4" t="str">
        <f aca="false">IF(AND(ISNUMBER(N137),ISNUMBER(J137)),IF(N137&lt;=J137,"PASS","FAIL"),"n/a")</f>
        <v>n/a</v>
      </c>
    </row>
    <row r="138" customFormat="false" ht="15" hidden="false" customHeight="false" outlineLevel="0" collapsed="false">
      <c r="A138" s="7" t="s">
        <v>391</v>
      </c>
      <c r="B138" s="7" t="s">
        <v>361</v>
      </c>
      <c r="C138" s="7" t="s">
        <v>392</v>
      </c>
      <c r="D138" s="7" t="s">
        <v>47</v>
      </c>
      <c r="E138" s="7"/>
      <c r="F138" s="12" t="n">
        <v>202649002.1522</v>
      </c>
      <c r="G138" s="12" t="n">
        <v>202649002.1522</v>
      </c>
      <c r="H138" s="7" t="n">
        <v>2.98023223876953E-008</v>
      </c>
      <c r="I138" s="7" t="n">
        <v>1.47063750974269E-016</v>
      </c>
      <c r="J138" s="7" t="n">
        <v>0.01</v>
      </c>
      <c r="K138" s="9" t="s">
        <v>4</v>
      </c>
      <c r="L138" s="7"/>
      <c r="M138" s="7"/>
      <c r="N138" s="10" t="n">
        <f aca="false">IF(AND(ISNUMBER(F138),ISNUMBER(G138)),ABS(G138-F138),"")</f>
        <v>0</v>
      </c>
      <c r="O138" s="4" t="str">
        <f aca="false">IF(AND(ISNUMBER(N138),ISNUMBER(J138)),IF(N138&lt;=J138,"PASS","FAIL"),"n/a")</f>
        <v>PASS</v>
      </c>
    </row>
    <row r="139" customFormat="false" ht="23.85" hidden="false" customHeight="false" outlineLevel="0" collapsed="false">
      <c r="A139" s="7" t="s">
        <v>393</v>
      </c>
      <c r="B139" s="7" t="s">
        <v>361</v>
      </c>
      <c r="C139" s="7" t="s">
        <v>394</v>
      </c>
      <c r="D139" s="7" t="s">
        <v>47</v>
      </c>
      <c r="E139" s="7"/>
      <c r="F139" s="12" t="n">
        <v>109840984.25</v>
      </c>
      <c r="G139" s="12" t="n">
        <v>109840984.25</v>
      </c>
      <c r="H139" s="7" t="n">
        <v>0</v>
      </c>
      <c r="I139" s="7" t="n">
        <v>0</v>
      </c>
      <c r="J139" s="7" t="n">
        <v>0.01</v>
      </c>
      <c r="K139" s="9" t="s">
        <v>4</v>
      </c>
      <c r="L139" s="7"/>
      <c r="M139" s="7"/>
      <c r="N139" s="10" t="n">
        <f aca="false">IF(AND(ISNUMBER(F139),ISNUMBER(G139)),ABS(G139-F139),"")</f>
        <v>0</v>
      </c>
      <c r="O139" s="4" t="str">
        <f aca="false">IF(AND(ISNUMBER(N139),ISNUMBER(J139)),IF(N139&lt;=J139,"PASS","FAIL"),"n/a")</f>
        <v>PASS</v>
      </c>
    </row>
    <row r="140" customFormat="false" ht="15" hidden="false" customHeight="false" outlineLevel="0" collapsed="false">
      <c r="A140" s="7" t="s">
        <v>395</v>
      </c>
      <c r="B140" s="7" t="s">
        <v>361</v>
      </c>
      <c r="C140" s="7" t="s">
        <v>396</v>
      </c>
      <c r="D140" s="7" t="s">
        <v>47</v>
      </c>
      <c r="E140" s="7"/>
      <c r="F140" s="12" t="n">
        <v>0.542025783909381</v>
      </c>
      <c r="G140" s="12" t="n">
        <v>0.542025783909381</v>
      </c>
      <c r="H140" s="7" t="n">
        <v>2.22044604925031E-016</v>
      </c>
      <c r="I140" s="7" t="n">
        <v>4.09656904738971E-016</v>
      </c>
      <c r="J140" s="7" t="n">
        <v>1E-009</v>
      </c>
      <c r="K140" s="9" t="s">
        <v>4</v>
      </c>
      <c r="L140" s="7"/>
      <c r="M140" s="7"/>
      <c r="N140" s="10" t="n">
        <f aca="false">IF(AND(ISNUMBER(F140),ISNUMBER(G140)),ABS(G140-F140),"")</f>
        <v>0</v>
      </c>
      <c r="O140" s="4" t="str">
        <f aca="false">IF(AND(ISNUMBER(N140),ISNUMBER(J140)),IF(N140&lt;=J140,"PASS","FAIL"),"n/a")</f>
        <v>PASS</v>
      </c>
    </row>
    <row r="141" customFormat="false" ht="23.85" hidden="false" customHeight="false" outlineLevel="0" collapsed="false">
      <c r="A141" s="7" t="s">
        <v>397</v>
      </c>
      <c r="B141" s="7" t="s">
        <v>361</v>
      </c>
      <c r="C141" s="7" t="s">
        <v>398</v>
      </c>
      <c r="D141" s="7" t="s">
        <v>47</v>
      </c>
      <c r="E141" s="7"/>
      <c r="F141" s="12" t="n">
        <v>26319246.1645</v>
      </c>
      <c r="G141" s="12" t="n">
        <v>26319246.1645001</v>
      </c>
      <c r="H141" s="7" t="n">
        <v>1.00582838058472E-007</v>
      </c>
      <c r="I141" s="7" t="n">
        <v>3.82164585679282E-015</v>
      </c>
      <c r="J141" s="7" t="n">
        <v>0.01</v>
      </c>
      <c r="K141" s="9" t="s">
        <v>4</v>
      </c>
      <c r="L141" s="7"/>
      <c r="M141" s="7"/>
      <c r="N141" s="10" t="n">
        <f aca="false">IF(AND(ISNUMBER(F141),ISNUMBER(G141)),ABS(G141-F141),"")</f>
        <v>9.68575477600098E-008</v>
      </c>
      <c r="O141" s="4" t="str">
        <f aca="false">IF(AND(ISNUMBER(N141),ISNUMBER(J141)),IF(N141&lt;=J141,"PASS","FAIL"),"n/a")</f>
        <v>PASS</v>
      </c>
    </row>
    <row r="142" customFormat="false" ht="15" hidden="false" customHeight="false" outlineLevel="0" collapsed="false">
      <c r="A142" s="7" t="s">
        <v>399</v>
      </c>
      <c r="B142" s="7" t="s">
        <v>361</v>
      </c>
      <c r="C142" s="7" t="s">
        <v>400</v>
      </c>
      <c r="D142" s="7" t="s">
        <v>47</v>
      </c>
      <c r="E142" s="7"/>
      <c r="F142" s="12" t="n">
        <v>0.129876021519873</v>
      </c>
      <c r="G142" s="12" t="n">
        <v>0.129876021519874</v>
      </c>
      <c r="H142" s="7" t="n">
        <v>6.10622663543836E-016</v>
      </c>
      <c r="I142" s="7" t="n">
        <v>4.70158121875022E-015</v>
      </c>
      <c r="J142" s="7" t="n">
        <v>1E-009</v>
      </c>
      <c r="K142" s="9" t="s">
        <v>4</v>
      </c>
      <c r="L142" s="7"/>
      <c r="M142" s="7"/>
      <c r="N142" s="10" t="n">
        <f aca="false">IF(AND(ISNUMBER(F142),ISNUMBER(G142)),ABS(G142-F142),"")</f>
        <v>6.10622663543836E-016</v>
      </c>
      <c r="O142" s="4" t="str">
        <f aca="false">IF(AND(ISNUMBER(N142),ISNUMBER(J142)),IF(N142&lt;=J142,"PASS","FAIL"),"n/a")</f>
        <v>PASS</v>
      </c>
    </row>
    <row r="143" customFormat="false" ht="15" hidden="false" customHeight="false" outlineLevel="0" collapsed="false">
      <c r="A143" s="7" t="s">
        <v>401</v>
      </c>
      <c r="B143" s="7" t="s">
        <v>361</v>
      </c>
      <c r="C143" s="7" t="s">
        <v>402</v>
      </c>
      <c r="D143" s="7" t="s">
        <v>47</v>
      </c>
      <c r="E143" s="7"/>
      <c r="F143" s="8" t="n">
        <v>58340</v>
      </c>
      <c r="G143" s="8" t="n">
        <v>58340</v>
      </c>
      <c r="H143" s="7" t="n">
        <v>0</v>
      </c>
      <c r="I143" s="7" t="n">
        <v>0</v>
      </c>
      <c r="J143" s="7" t="n">
        <v>0</v>
      </c>
      <c r="K143" s="9" t="s">
        <v>4</v>
      </c>
      <c r="L143" s="7"/>
      <c r="M143" s="7"/>
      <c r="N143" s="10" t="n">
        <f aca="false">IF(AND(ISNUMBER(F143),ISNUMBER(G143)),ABS(G143-F143),"")</f>
        <v>0</v>
      </c>
      <c r="O143" s="4" t="str">
        <f aca="false">IF(AND(ISNUMBER(N143),ISNUMBER(J143)),IF(N143&lt;=J143,"PASS","FAIL"),"n/a")</f>
        <v>PASS</v>
      </c>
    </row>
    <row r="144" customFormat="false" ht="15" hidden="false" customHeight="false" outlineLevel="0" collapsed="false">
      <c r="A144" s="7" t="s">
        <v>403</v>
      </c>
      <c r="B144" s="7" t="s">
        <v>361</v>
      </c>
      <c r="C144" s="7" t="s">
        <v>404</v>
      </c>
      <c r="D144" s="7"/>
      <c r="E144" s="7"/>
      <c r="F144" s="12" t="n">
        <v>0.147921677634962</v>
      </c>
      <c r="G144" s="12" t="n">
        <v>0.147921677634962</v>
      </c>
      <c r="H144" s="7" t="n">
        <v>1.11022302462516E-016</v>
      </c>
      <c r="I144" s="7" t="n">
        <v>7.50547886135352E-016</v>
      </c>
      <c r="J144" s="7" t="n">
        <v>1E-009</v>
      </c>
      <c r="K144" s="9" t="s">
        <v>4</v>
      </c>
      <c r="L144" s="7"/>
      <c r="M144" s="7"/>
      <c r="N144" s="10" t="n">
        <f aca="false">IF(AND(ISNUMBER(F144),ISNUMBER(G144)),ABS(G144-F144),"")</f>
        <v>0</v>
      </c>
      <c r="O144" s="4" t="str">
        <f aca="false">IF(AND(ISNUMBER(N144),ISNUMBER(J144)),IF(N144&lt;=J144,"PASS","FAIL"),"n/a")</f>
        <v>PASS</v>
      </c>
    </row>
    <row r="145" customFormat="false" ht="15" hidden="false" customHeight="false" outlineLevel="0" collapsed="false">
      <c r="A145" s="7" t="s">
        <v>405</v>
      </c>
      <c r="B145" s="7" t="s">
        <v>361</v>
      </c>
      <c r="C145" s="7" t="s">
        <v>406</v>
      </c>
      <c r="D145" s="7"/>
      <c r="E145" s="7"/>
      <c r="F145" s="12" t="n">
        <v>0.00892809786238757</v>
      </c>
      <c r="G145" s="12" t="n">
        <v>0.0089280978623878</v>
      </c>
      <c r="H145" s="7" t="n">
        <v>2.25514051876985E-016</v>
      </c>
      <c r="I145" s="7" t="n">
        <v>2.52589135281586E-014</v>
      </c>
      <c r="J145" s="7" t="n">
        <v>1E-009</v>
      </c>
      <c r="K145" s="9" t="s">
        <v>4</v>
      </c>
      <c r="L145" s="7"/>
      <c r="M145" s="7"/>
      <c r="N145" s="10" t="n">
        <f aca="false">IF(AND(ISNUMBER(F145),ISNUMBER(G145)),ABS(G145-F145),"")</f>
        <v>2.25514051876985E-016</v>
      </c>
      <c r="O145" s="4" t="str">
        <f aca="false">IF(AND(ISNUMBER(N145),ISNUMBER(J145)),IF(N145&lt;=J145,"PASS","FAIL"),"n/a")</f>
        <v>PASS</v>
      </c>
    </row>
    <row r="146" customFormat="false" ht="23.85" hidden="false" customHeight="false" outlineLevel="0" collapsed="false">
      <c r="A146" s="7" t="s">
        <v>407</v>
      </c>
      <c r="B146" s="7" t="s">
        <v>361</v>
      </c>
      <c r="C146" s="7" t="s">
        <v>408</v>
      </c>
      <c r="D146" s="7"/>
      <c r="E146" s="7" t="s">
        <v>409</v>
      </c>
      <c r="F146" s="12" t="n">
        <v>-0.0355741366235505</v>
      </c>
      <c r="G146" s="12" t="n">
        <v>-0.0355741366235475</v>
      </c>
      <c r="H146" s="7" t="n">
        <v>3.02535774210355E-015</v>
      </c>
      <c r="I146" s="7" t="n">
        <v>8.50437432710799E-014</v>
      </c>
      <c r="J146" s="7" t="n">
        <v>1E-009</v>
      </c>
      <c r="K146" s="9" t="s">
        <v>4</v>
      </c>
      <c r="L146" s="7"/>
      <c r="M146" s="7"/>
      <c r="N146" s="10" t="n">
        <f aca="false">IF(AND(ISNUMBER(F146),ISNUMBER(G146)),ABS(G146-F146),"")</f>
        <v>3.02535774210355E-015</v>
      </c>
      <c r="O146" s="4" t="str">
        <f aca="false">IF(AND(ISNUMBER(N146),ISNUMBER(J146)),IF(N146&lt;=J146,"PASS","FAIL"),"n/a")</f>
        <v>PASS</v>
      </c>
    </row>
    <row r="147" customFormat="false" ht="23.85" hidden="false" customHeight="false" outlineLevel="0" collapsed="false">
      <c r="A147" s="7" t="s">
        <v>410</v>
      </c>
      <c r="B147" s="7" t="s">
        <v>361</v>
      </c>
      <c r="C147" s="7" t="s">
        <v>411</v>
      </c>
      <c r="D147" s="7"/>
      <c r="E147" s="7" t="s">
        <v>409</v>
      </c>
      <c r="F147" s="12" t="n">
        <v>0.0641864653122161</v>
      </c>
      <c r="G147" s="12" t="n">
        <v>0.0641864653122166</v>
      </c>
      <c r="H147" s="7" t="n">
        <v>4.9960036108132E-016</v>
      </c>
      <c r="I147" s="7" t="n">
        <v>7.78357802772223E-015</v>
      </c>
      <c r="J147" s="7" t="n">
        <v>1E-009</v>
      </c>
      <c r="K147" s="9" t="s">
        <v>4</v>
      </c>
      <c r="L147" s="7"/>
      <c r="M147" s="7"/>
      <c r="N147" s="10" t="n">
        <f aca="false">IF(AND(ISNUMBER(F147),ISNUMBER(G147)),ABS(G147-F147),"")</f>
        <v>4.9960036108132E-016</v>
      </c>
      <c r="O147" s="4" t="str">
        <f aca="false">IF(AND(ISNUMBER(N147),ISNUMBER(J147)),IF(N147&lt;=J147,"PASS","FAIL"),"n/a")</f>
        <v>PASS</v>
      </c>
    </row>
    <row r="148" customFormat="false" ht="23.85" hidden="false" customHeight="false" outlineLevel="0" collapsed="false">
      <c r="A148" s="7" t="s">
        <v>412</v>
      </c>
      <c r="B148" s="7" t="s">
        <v>361</v>
      </c>
      <c r="C148" s="7" t="s">
        <v>413</v>
      </c>
      <c r="D148" s="7"/>
      <c r="E148" s="7" t="s">
        <v>409</v>
      </c>
      <c r="F148" s="12" t="n">
        <v>0.0637402322924515</v>
      </c>
      <c r="G148" s="12" t="n">
        <v>0.0637402322924516</v>
      </c>
      <c r="H148" s="7" t="n">
        <v>6.93889390390723E-017</v>
      </c>
      <c r="I148" s="7" t="n">
        <v>1.08862074302936E-015</v>
      </c>
      <c r="J148" s="7" t="n">
        <v>1E-009</v>
      </c>
      <c r="K148" s="9" t="s">
        <v>4</v>
      </c>
      <c r="L148" s="7"/>
      <c r="M148" s="7"/>
      <c r="N148" s="10" t="n">
        <f aca="false">IF(AND(ISNUMBER(F148),ISNUMBER(G148)),ABS(G148-F148),"")</f>
        <v>0</v>
      </c>
      <c r="O148" s="4" t="str">
        <f aca="false">IF(AND(ISNUMBER(N148),ISNUMBER(J148)),IF(N148&lt;=J148,"PASS","FAIL"),"n/a")</f>
        <v>PASS</v>
      </c>
    </row>
    <row r="149" customFormat="false" ht="23.85" hidden="false" customHeight="false" outlineLevel="0" collapsed="false">
      <c r="A149" s="7" t="s">
        <v>414</v>
      </c>
      <c r="B149" s="7" t="s">
        <v>361</v>
      </c>
      <c r="C149" s="7" t="s">
        <v>415</v>
      </c>
      <c r="D149" s="7"/>
      <c r="E149" s="7" t="s">
        <v>409</v>
      </c>
      <c r="F149" s="12" t="n">
        <v>0.064129826560762</v>
      </c>
      <c r="G149" s="12" t="n">
        <v>0.0641298265607633</v>
      </c>
      <c r="H149" s="7" t="n">
        <v>1.29063426612674E-015</v>
      </c>
      <c r="I149" s="7" t="n">
        <v>2.01253353601992E-014</v>
      </c>
      <c r="J149" s="7" t="n">
        <v>1E-009</v>
      </c>
      <c r="K149" s="9" t="s">
        <v>4</v>
      </c>
      <c r="L149" s="7"/>
      <c r="M149" s="7"/>
      <c r="N149" s="10" t="n">
        <f aca="false">IF(AND(ISNUMBER(F149),ISNUMBER(G149)),ABS(G149-F149),"")</f>
        <v>1.29063426612674E-015</v>
      </c>
      <c r="O149" s="4" t="str">
        <f aca="false">IF(AND(ISNUMBER(N149),ISNUMBER(J149)),IF(N149&lt;=J149,"PASS","FAIL"),"n/a")</f>
        <v>PASS</v>
      </c>
    </row>
    <row r="150" customFormat="false" ht="15" hidden="false" customHeight="false" outlineLevel="0" collapsed="false">
      <c r="A150" s="7" t="s">
        <v>416</v>
      </c>
      <c r="B150" s="7" t="s">
        <v>361</v>
      </c>
      <c r="C150" s="7" t="s">
        <v>417</v>
      </c>
      <c r="D150" s="7"/>
      <c r="E150" s="7"/>
      <c r="F150" s="12" t="n">
        <v>-7023037.2615</v>
      </c>
      <c r="G150" s="12" t="n">
        <v>-7023037.26149941</v>
      </c>
      <c r="H150" s="7" t="n">
        <v>5.91389834880829E-007</v>
      </c>
      <c r="I150" s="7" t="n">
        <v>8.420713330439E-014</v>
      </c>
      <c r="J150" s="7" t="n">
        <v>0.01</v>
      </c>
      <c r="K150" s="9" t="s">
        <v>4</v>
      </c>
      <c r="L150" s="7"/>
      <c r="M150" s="7"/>
      <c r="N150" s="10" t="n">
        <f aca="false">IF(AND(ISNUMBER(F150),ISNUMBER(G150)),ABS(G150-F150),"")</f>
        <v>5.91389834880829E-007</v>
      </c>
      <c r="O150" s="4" t="str">
        <f aca="false">IF(AND(ISNUMBER(N150),ISNUMBER(J150)),IF(N150&lt;=J150,"PASS","FAIL"),"n/a")</f>
        <v>PASS</v>
      </c>
    </row>
    <row r="151" customFormat="false" ht="15" hidden="false" customHeight="false" outlineLevel="0" collapsed="false">
      <c r="A151" s="7" t="s">
        <v>418</v>
      </c>
      <c r="B151" s="7" t="s">
        <v>361</v>
      </c>
      <c r="C151" s="7" t="s">
        <v>419</v>
      </c>
      <c r="D151" s="7"/>
      <c r="E151" s="7"/>
      <c r="F151" s="8" t="n">
        <v>24</v>
      </c>
      <c r="G151" s="8" t="n">
        <v>24</v>
      </c>
      <c r="H151" s="7" t="n">
        <v>0</v>
      </c>
      <c r="I151" s="7" t="n">
        <v>0</v>
      </c>
      <c r="J151" s="7" t="n">
        <v>0</v>
      </c>
      <c r="K151" s="9" t="s">
        <v>4</v>
      </c>
      <c r="L151" s="7"/>
      <c r="M151" s="7"/>
      <c r="N151" s="10" t="n">
        <f aca="false">IF(AND(ISNUMBER(F151),ISNUMBER(G151)),ABS(G151-F151),"")</f>
        <v>0</v>
      </c>
      <c r="O151" s="4" t="str">
        <f aca="false">IF(AND(ISNUMBER(N151),ISNUMBER(J151)),IF(N151&lt;=J151,"PASS","FAIL"),"n/a")</f>
        <v>PASS</v>
      </c>
    </row>
    <row r="152" customFormat="false" ht="23.85" hidden="false" customHeight="false" outlineLevel="0" collapsed="false">
      <c r="A152" s="7" t="s">
        <v>420</v>
      </c>
      <c r="B152" s="7" t="s">
        <v>361</v>
      </c>
      <c r="C152" s="7" t="s">
        <v>421</v>
      </c>
      <c r="D152" s="7"/>
      <c r="E152" s="7"/>
      <c r="F152" s="8" t="n">
        <v>0</v>
      </c>
      <c r="G152" s="8" t="n">
        <v>0</v>
      </c>
      <c r="H152" s="7" t="n">
        <v>0</v>
      </c>
      <c r="I152" s="7"/>
      <c r="J152" s="7" t="n">
        <v>0</v>
      </c>
      <c r="K152" s="9" t="s">
        <v>4</v>
      </c>
      <c r="L152" s="7"/>
      <c r="M152" s="7"/>
      <c r="N152" s="10" t="n">
        <f aca="false">IF(AND(ISNUMBER(F152),ISNUMBER(G152)),ABS(G152-F152),"")</f>
        <v>0</v>
      </c>
      <c r="O152" s="4" t="str">
        <f aca="false">IF(AND(ISNUMBER(N152),ISNUMBER(J152)),IF(N152&lt;=J152,"PASS","FAIL"),"n/a")</f>
        <v>PASS</v>
      </c>
    </row>
    <row r="153" customFormat="false" ht="15" hidden="false" customHeight="false" outlineLevel="0" collapsed="false">
      <c r="A153" s="7" t="s">
        <v>422</v>
      </c>
      <c r="B153" s="7" t="s">
        <v>361</v>
      </c>
      <c r="C153" s="7" t="s">
        <v>423</v>
      </c>
      <c r="D153" s="7"/>
      <c r="E153" s="7"/>
      <c r="F153" s="8" t="n">
        <v>11</v>
      </c>
      <c r="G153" s="8" t="n">
        <v>11</v>
      </c>
      <c r="H153" s="7" t="n">
        <v>0</v>
      </c>
      <c r="I153" s="7" t="n">
        <v>0</v>
      </c>
      <c r="J153" s="7" t="n">
        <v>0</v>
      </c>
      <c r="K153" s="9" t="s">
        <v>4</v>
      </c>
      <c r="L153" s="7"/>
      <c r="M153" s="7"/>
      <c r="N153" s="10" t="n">
        <f aca="false">IF(AND(ISNUMBER(F153),ISNUMBER(G153)),ABS(G153-F153),"")</f>
        <v>0</v>
      </c>
      <c r="O153" s="4" t="str">
        <f aca="false">IF(AND(ISNUMBER(N153),ISNUMBER(J153)),IF(N153&lt;=J153,"PASS","FAIL"),"n/a")</f>
        <v>PASS</v>
      </c>
    </row>
    <row r="154" customFormat="false" ht="23.85" hidden="false" customHeight="false" outlineLevel="0" collapsed="false">
      <c r="A154" s="7" t="s">
        <v>424</v>
      </c>
      <c r="B154" s="7" t="s">
        <v>361</v>
      </c>
      <c r="C154" s="7" t="s">
        <v>425</v>
      </c>
      <c r="D154" s="7"/>
      <c r="E154" s="7"/>
      <c r="F154" s="8" t="n">
        <v>0</v>
      </c>
      <c r="G154" s="8" t="n">
        <v>0</v>
      </c>
      <c r="H154" s="7" t="n">
        <v>0</v>
      </c>
      <c r="I154" s="7"/>
      <c r="J154" s="7" t="n">
        <v>0</v>
      </c>
      <c r="K154" s="9" t="s">
        <v>4</v>
      </c>
      <c r="L154" s="7"/>
      <c r="M154" s="7"/>
      <c r="N154" s="10" t="n">
        <f aca="false">IF(AND(ISNUMBER(F154),ISNUMBER(G154)),ABS(G154-F154),"")</f>
        <v>0</v>
      </c>
      <c r="O154" s="4" t="str">
        <f aca="false">IF(AND(ISNUMBER(N154),ISNUMBER(J154)),IF(N154&lt;=J154,"PASS","FAIL"),"n/a")</f>
        <v>PASS</v>
      </c>
    </row>
    <row r="155" customFormat="false" ht="15" hidden="false" customHeight="false" outlineLevel="0" collapsed="false">
      <c r="A155" s="7" t="s">
        <v>426</v>
      </c>
      <c r="B155" s="7" t="s">
        <v>361</v>
      </c>
      <c r="C155" s="7" t="s">
        <v>427</v>
      </c>
      <c r="D155" s="7"/>
      <c r="E155" s="7"/>
      <c r="F155" s="8" t="n">
        <v>24</v>
      </c>
      <c r="G155" s="8" t="n">
        <v>24</v>
      </c>
      <c r="H155" s="7" t="n">
        <v>0</v>
      </c>
      <c r="I155" s="7" t="n">
        <v>0</v>
      </c>
      <c r="J155" s="7" t="n">
        <v>0</v>
      </c>
      <c r="K155" s="9" t="s">
        <v>4</v>
      </c>
      <c r="L155" s="7"/>
      <c r="M155" s="7"/>
      <c r="N155" s="10" t="n">
        <f aca="false">IF(AND(ISNUMBER(F155),ISNUMBER(G155)),ABS(G155-F155),"")</f>
        <v>0</v>
      </c>
      <c r="O155" s="4" t="str">
        <f aca="false">IF(AND(ISNUMBER(N155),ISNUMBER(J155)),IF(N155&lt;=J155,"PASS","FAIL"),"n/a")</f>
        <v>PASS</v>
      </c>
    </row>
    <row r="156" customFormat="false" ht="23.85" hidden="false" customHeight="false" outlineLevel="0" collapsed="false">
      <c r="A156" s="7" t="s">
        <v>428</v>
      </c>
      <c r="B156" s="7" t="s">
        <v>361</v>
      </c>
      <c r="C156" s="7" t="s">
        <v>429</v>
      </c>
      <c r="D156" s="7"/>
      <c r="E156" s="7"/>
      <c r="F156" s="8" t="n">
        <v>0</v>
      </c>
      <c r="G156" s="8" t="n">
        <v>0</v>
      </c>
      <c r="H156" s="7" t="n">
        <v>0</v>
      </c>
      <c r="I156" s="7"/>
      <c r="J156" s="7" t="n">
        <v>0</v>
      </c>
      <c r="K156" s="9" t="s">
        <v>4</v>
      </c>
      <c r="L156" s="7"/>
      <c r="M156" s="7"/>
      <c r="N156" s="10" t="n">
        <f aca="false">IF(AND(ISNUMBER(F156),ISNUMBER(G156)),ABS(G156-F156),"")</f>
        <v>0</v>
      </c>
      <c r="O156" s="4" t="str">
        <f aca="false">IF(AND(ISNUMBER(N156),ISNUMBER(J156)),IF(N156&lt;=J156,"PASS","FAIL"),"n/a")</f>
        <v>PASS</v>
      </c>
    </row>
    <row r="157" customFormat="false" ht="15" hidden="false" customHeight="false" outlineLevel="0" collapsed="false">
      <c r="A157" s="7" t="s">
        <v>430</v>
      </c>
      <c r="B157" s="7" t="s">
        <v>361</v>
      </c>
      <c r="C157" s="7" t="s">
        <v>431</v>
      </c>
      <c r="D157" s="7"/>
      <c r="E157" s="7"/>
      <c r="F157" s="8" t="n">
        <v>0</v>
      </c>
      <c r="G157" s="8" t="n">
        <v>0</v>
      </c>
      <c r="H157" s="7" t="n">
        <v>0</v>
      </c>
      <c r="I157" s="7"/>
      <c r="J157" s="7" t="n">
        <v>0</v>
      </c>
      <c r="K157" s="9" t="s">
        <v>4</v>
      </c>
      <c r="L157" s="7" t="s">
        <v>432</v>
      </c>
      <c r="M157" s="7"/>
      <c r="N157" s="10" t="n">
        <f aca="false">IF(AND(ISNUMBER(F157),ISNUMBER(G157)),ABS(G157-F157),"")</f>
        <v>0</v>
      </c>
      <c r="O157" s="4" t="str">
        <f aca="false">IF(AND(ISNUMBER(N157),ISNUMBER(J157)),IF(N157&lt;=J157,"PASS","FAIL"),"n/a")</f>
        <v>PASS</v>
      </c>
    </row>
    <row r="158" customFormat="false" ht="23.85" hidden="false" customHeight="false" outlineLevel="0" collapsed="false">
      <c r="A158" s="7" t="s">
        <v>433</v>
      </c>
      <c r="B158" s="7" t="s">
        <v>361</v>
      </c>
      <c r="C158" s="7" t="s">
        <v>434</v>
      </c>
      <c r="D158" s="7"/>
      <c r="E158" s="7"/>
      <c r="F158" s="7"/>
      <c r="G158" s="7" t="s">
        <v>435</v>
      </c>
      <c r="H158" s="7"/>
      <c r="I158" s="7"/>
      <c r="J158" s="7"/>
      <c r="K158" s="11" t="s">
        <v>8</v>
      </c>
      <c r="L158" s="7"/>
      <c r="M158" s="7"/>
      <c r="N158" s="10" t="str">
        <f aca="false">IF(AND(ISNUMBER(F158),ISNUMBER(G158)),ABS(G158-F158),"")</f>
        <v/>
      </c>
      <c r="O158" s="4" t="str">
        <f aca="false">IF(AND(ISNUMBER(N158),ISNUMBER(J158)),IF(N158&lt;=J158,"PASS","FAIL"),"n/a")</f>
        <v>n/a</v>
      </c>
    </row>
    <row r="159" customFormat="false" ht="23.85" hidden="false" customHeight="false" outlineLevel="0" collapsed="false">
      <c r="A159" s="7" t="s">
        <v>436</v>
      </c>
      <c r="B159" s="7" t="s">
        <v>437</v>
      </c>
      <c r="C159" s="7" t="s">
        <v>438</v>
      </c>
      <c r="D159" s="7"/>
      <c r="E159" s="7"/>
      <c r="F159" s="7"/>
      <c r="G159" s="12" t="n">
        <v>0.71</v>
      </c>
      <c r="H159" s="7"/>
      <c r="I159" s="7"/>
      <c r="J159" s="7"/>
      <c r="K159" s="11" t="s">
        <v>8</v>
      </c>
      <c r="L159" s="7"/>
      <c r="M159" s="7"/>
      <c r="N159" s="10" t="str">
        <f aca="false">IF(AND(ISNUMBER(F159),ISNUMBER(G159)),ABS(G159-F159),"")</f>
        <v/>
      </c>
      <c r="O159" s="4" t="str">
        <f aca="false">IF(AND(ISNUMBER(N159),ISNUMBER(J159)),IF(N159&lt;=J159,"PASS","FAIL"),"n/a")</f>
        <v>n/a</v>
      </c>
    </row>
    <row r="160" customFormat="false" ht="23.85" hidden="false" customHeight="false" outlineLevel="0" collapsed="false">
      <c r="A160" s="7" t="s">
        <v>439</v>
      </c>
      <c r="B160" s="7" t="s">
        <v>437</v>
      </c>
      <c r="C160" s="7" t="s">
        <v>440</v>
      </c>
      <c r="D160" s="7"/>
      <c r="E160" s="7"/>
      <c r="F160" s="8" t="n">
        <v>0</v>
      </c>
      <c r="G160" s="8" t="n">
        <v>0</v>
      </c>
      <c r="H160" s="7" t="n">
        <v>0</v>
      </c>
      <c r="I160" s="7"/>
      <c r="J160" s="7" t="n">
        <v>0</v>
      </c>
      <c r="K160" s="9" t="s">
        <v>4</v>
      </c>
      <c r="L160" s="7" t="s">
        <v>353</v>
      </c>
      <c r="M160" s="7"/>
      <c r="N160" s="10" t="n">
        <f aca="false">IF(AND(ISNUMBER(F160),ISNUMBER(G160)),ABS(G160-F160),"")</f>
        <v>0</v>
      </c>
      <c r="O160" s="4" t="str">
        <f aca="false">IF(AND(ISNUMBER(N160),ISNUMBER(J160)),IF(N160&lt;=J160,"PASS","FAIL"),"n/a")</f>
        <v>PASS</v>
      </c>
    </row>
    <row r="161" customFormat="false" ht="23.85" hidden="false" customHeight="false" outlineLevel="0" collapsed="false">
      <c r="A161" s="7" t="s">
        <v>441</v>
      </c>
      <c r="B161" s="7" t="s">
        <v>437</v>
      </c>
      <c r="C161" s="7" t="s">
        <v>442</v>
      </c>
      <c r="D161" s="7" t="s">
        <v>443</v>
      </c>
      <c r="E161" s="7"/>
      <c r="F161" s="8" t="n">
        <v>58340</v>
      </c>
      <c r="G161" s="8" t="n">
        <v>58340</v>
      </c>
      <c r="H161" s="7" t="n">
        <v>0</v>
      </c>
      <c r="I161" s="7" t="n">
        <v>0</v>
      </c>
      <c r="J161" s="7" t="n">
        <v>0</v>
      </c>
      <c r="K161" s="9" t="s">
        <v>4</v>
      </c>
      <c r="L161" s="7"/>
      <c r="M161" s="7"/>
      <c r="N161" s="10" t="n">
        <f aca="false">IF(AND(ISNUMBER(F161),ISNUMBER(G161)),ABS(G161-F161),"")</f>
        <v>0</v>
      </c>
      <c r="O161" s="4" t="str">
        <f aca="false">IF(AND(ISNUMBER(N161),ISNUMBER(J161)),IF(N161&lt;=J161,"PASS","FAIL"),"n/a")</f>
        <v>PASS</v>
      </c>
    </row>
    <row r="162" customFormat="false" ht="23.85" hidden="false" customHeight="false" outlineLevel="0" collapsed="false">
      <c r="A162" s="7" t="s">
        <v>444</v>
      </c>
      <c r="B162" s="7" t="s">
        <v>437</v>
      </c>
      <c r="C162" s="7" t="s">
        <v>445</v>
      </c>
      <c r="D162" s="7" t="s">
        <v>443</v>
      </c>
      <c r="E162" s="7"/>
      <c r="F162" s="12" t="n">
        <v>202649002.1522</v>
      </c>
      <c r="G162" s="12" t="n">
        <v>202649002.152202</v>
      </c>
      <c r="H162" s="7" t="n">
        <v>1.57952308654785E-006</v>
      </c>
      <c r="I162" s="7" t="n">
        <v>7.79437880163628E-015</v>
      </c>
      <c r="J162" s="7" t="n">
        <v>0.01</v>
      </c>
      <c r="K162" s="9" t="s">
        <v>4</v>
      </c>
      <c r="L162" s="7"/>
      <c r="M162" s="7"/>
      <c r="N162" s="10" t="n">
        <f aca="false">IF(AND(ISNUMBER(F162),ISNUMBER(G162)),ABS(G162-F162),"")</f>
        <v>1.57952308654785E-006</v>
      </c>
      <c r="O162" s="4" t="str">
        <f aca="false">IF(AND(ISNUMBER(N162),ISNUMBER(J162)),IF(N162&lt;=J162,"PASS","FAIL"),"n/a")</f>
        <v>PASS</v>
      </c>
    </row>
    <row r="163" customFormat="false" ht="23.85" hidden="false" customHeight="false" outlineLevel="0" collapsed="false">
      <c r="A163" s="7" t="s">
        <v>446</v>
      </c>
      <c r="B163" s="7" t="s">
        <v>437</v>
      </c>
      <c r="C163" s="7" t="s">
        <v>447</v>
      </c>
      <c r="D163" s="7" t="s">
        <v>443</v>
      </c>
      <c r="E163" s="7"/>
      <c r="F163" s="12" t="n">
        <v>176329755.9877</v>
      </c>
      <c r="G163" s="12" t="n">
        <v>176329755.9877</v>
      </c>
      <c r="H163" s="7" t="n">
        <v>1.49011611938477E-007</v>
      </c>
      <c r="I163" s="7" t="n">
        <v>8.45073544755946E-016</v>
      </c>
      <c r="J163" s="7" t="n">
        <v>0.01</v>
      </c>
      <c r="K163" s="9" t="s">
        <v>4</v>
      </c>
      <c r="L163" s="7"/>
      <c r="M163" s="7"/>
      <c r="N163" s="10" t="n">
        <f aca="false">IF(AND(ISNUMBER(F163),ISNUMBER(G163)),ABS(G163-F163),"")</f>
        <v>0</v>
      </c>
      <c r="O163" s="4" t="str">
        <f aca="false">IF(AND(ISNUMBER(N163),ISNUMBER(J163)),IF(N163&lt;=J163,"PASS","FAIL"),"n/a")</f>
        <v>PASS</v>
      </c>
    </row>
    <row r="164" customFormat="false" ht="23.85" hidden="false" customHeight="false" outlineLevel="0" collapsed="false">
      <c r="A164" s="7" t="s">
        <v>448</v>
      </c>
      <c r="B164" s="7" t="s">
        <v>437</v>
      </c>
      <c r="C164" s="7" t="s">
        <v>449</v>
      </c>
      <c r="D164" s="7" t="s">
        <v>443</v>
      </c>
      <c r="E164" s="7"/>
      <c r="F164" s="12" t="n">
        <v>26319246.1645</v>
      </c>
      <c r="G164" s="12" t="n">
        <v>26319246.1645014</v>
      </c>
      <c r="H164" s="7" t="n">
        <v>1.43051147460938E-006</v>
      </c>
      <c r="I164" s="7" t="n">
        <v>5.43522966299423E-014</v>
      </c>
      <c r="J164" s="7" t="n">
        <v>0.01</v>
      </c>
      <c r="K164" s="9" t="s">
        <v>4</v>
      </c>
      <c r="L164" s="7"/>
      <c r="M164" s="7"/>
      <c r="N164" s="10" t="n">
        <f aca="false">IF(AND(ISNUMBER(F164),ISNUMBER(G164)),ABS(G164-F164),"")</f>
        <v>1.42678618431091E-006</v>
      </c>
      <c r="O164" s="4" t="str">
        <f aca="false">IF(AND(ISNUMBER(N164),ISNUMBER(J164)),IF(N164&lt;=J164,"PASS","FAIL"),"n/a")</f>
        <v>PASS</v>
      </c>
    </row>
    <row r="165" customFormat="false" ht="23.85" hidden="false" customHeight="false" outlineLevel="0" collapsed="false">
      <c r="A165" s="7" t="s">
        <v>450</v>
      </c>
      <c r="B165" s="7" t="s">
        <v>437</v>
      </c>
      <c r="C165" s="7" t="s">
        <v>451</v>
      </c>
      <c r="D165" s="7" t="s">
        <v>443</v>
      </c>
      <c r="E165" s="7"/>
      <c r="F165" s="12" t="n">
        <v>202649002.1522</v>
      </c>
      <c r="G165" s="12" t="n">
        <v>202649002.152202</v>
      </c>
      <c r="H165" s="7" t="n">
        <v>1.57952308654785E-006</v>
      </c>
      <c r="I165" s="7" t="n">
        <v>7.79437880163628E-015</v>
      </c>
      <c r="J165" s="7" t="n">
        <v>0.01</v>
      </c>
      <c r="K165" s="9" t="s">
        <v>4</v>
      </c>
      <c r="L165" s="7"/>
      <c r="M165" s="7"/>
      <c r="N165" s="10" t="n">
        <f aca="false">IF(AND(ISNUMBER(F165),ISNUMBER(G165)),ABS(G165-F165),"")</f>
        <v>1.57952308654785E-006</v>
      </c>
      <c r="O165" s="4" t="str">
        <f aca="false">IF(AND(ISNUMBER(N165),ISNUMBER(J165)),IF(N165&lt;=J165,"PASS","FAIL"),"n/a")</f>
        <v>PASS</v>
      </c>
    </row>
    <row r="166" customFormat="false" ht="23.85" hidden="false" customHeight="false" outlineLevel="0" collapsed="false">
      <c r="A166" s="7" t="s">
        <v>452</v>
      </c>
      <c r="B166" s="7" t="s">
        <v>437</v>
      </c>
      <c r="C166" s="7" t="s">
        <v>453</v>
      </c>
      <c r="D166" s="7" t="s">
        <v>443</v>
      </c>
      <c r="E166" s="7"/>
      <c r="F166" s="12" t="n">
        <v>92808017.9022</v>
      </c>
      <c r="G166" s="12" t="n">
        <v>92808017.9021998</v>
      </c>
      <c r="H166" s="7" t="n">
        <v>2.08616256713867E-007</v>
      </c>
      <c r="I166" s="7" t="n">
        <v>2.24782579597492E-015</v>
      </c>
      <c r="J166" s="7" t="n">
        <v>0.01</v>
      </c>
      <c r="K166" s="9" t="s">
        <v>4</v>
      </c>
      <c r="L166" s="7"/>
      <c r="M166" s="7"/>
      <c r="N166" s="10" t="n">
        <f aca="false">IF(AND(ISNUMBER(F166),ISNUMBER(G166)),ABS(G166-F166),"")</f>
        <v>0</v>
      </c>
      <c r="O166" s="4" t="str">
        <f aca="false">IF(AND(ISNUMBER(N166),ISNUMBER(J166)),IF(N166&lt;=J166,"PASS","FAIL"),"n/a")</f>
        <v>PASS</v>
      </c>
    </row>
    <row r="167" customFormat="false" ht="23.85" hidden="false" customHeight="false" outlineLevel="0" collapsed="false">
      <c r="A167" s="7" t="s">
        <v>454</v>
      </c>
      <c r="B167" s="7" t="s">
        <v>437</v>
      </c>
      <c r="C167" s="7" t="s">
        <v>455</v>
      </c>
      <c r="D167" s="7" t="s">
        <v>443</v>
      </c>
      <c r="E167" s="7"/>
      <c r="F167" s="12" t="n">
        <v>39708939.3079</v>
      </c>
      <c r="G167" s="12" t="n">
        <v>39708939.3079002</v>
      </c>
      <c r="H167" s="7" t="n">
        <v>1.63912773132324E-007</v>
      </c>
      <c r="I167" s="7" t="n">
        <v>4.12785574203726E-015</v>
      </c>
      <c r="J167" s="7" t="n">
        <v>0.01</v>
      </c>
      <c r="K167" s="9" t="s">
        <v>4</v>
      </c>
      <c r="L167" s="7"/>
      <c r="M167" s="7"/>
      <c r="N167" s="10" t="n">
        <f aca="false">IF(AND(ISNUMBER(F167),ISNUMBER(G167)),ABS(G167-F167),"")</f>
        <v>1.71363353729248E-007</v>
      </c>
      <c r="O167" s="4" t="str">
        <f aca="false">IF(AND(ISNUMBER(N167),ISNUMBER(J167)),IF(N167&lt;=J167,"PASS","FAIL"),"n/a")</f>
        <v>PASS</v>
      </c>
    </row>
    <row r="168" customFormat="false" ht="23.85" hidden="false" customHeight="false" outlineLevel="0" collapsed="false">
      <c r="A168" s="7" t="s">
        <v>456</v>
      </c>
      <c r="B168" s="7" t="s">
        <v>437</v>
      </c>
      <c r="C168" s="7" t="s">
        <v>457</v>
      </c>
      <c r="D168" s="7" t="s">
        <v>443</v>
      </c>
      <c r="E168" s="7"/>
      <c r="F168" s="12" t="n">
        <v>43812798.7776</v>
      </c>
      <c r="G168" s="12" t="n">
        <v>43812798.7776002</v>
      </c>
      <c r="H168" s="7" t="n">
        <v>1.63912773132324E-007</v>
      </c>
      <c r="I168" s="7" t="n">
        <v>3.741207539933E-015</v>
      </c>
      <c r="J168" s="7" t="n">
        <v>0.01</v>
      </c>
      <c r="K168" s="9" t="s">
        <v>4</v>
      </c>
      <c r="L168" s="7"/>
      <c r="M168" s="7"/>
      <c r="N168" s="10" t="n">
        <f aca="false">IF(AND(ISNUMBER(F168),ISNUMBER(G168)),ABS(G168-F168),"")</f>
        <v>1.63912773132324E-007</v>
      </c>
      <c r="O168" s="4" t="str">
        <f aca="false">IF(AND(ISNUMBER(N168),ISNUMBER(J168)),IF(N168&lt;=J168,"PASS","FAIL"),"n/a")</f>
        <v>PASS</v>
      </c>
    </row>
    <row r="169" customFormat="false" ht="23.85" hidden="false" customHeight="false" outlineLevel="0" collapsed="false">
      <c r="A169" s="7" t="s">
        <v>458</v>
      </c>
      <c r="B169" s="7" t="s">
        <v>437</v>
      </c>
      <c r="C169" s="7" t="s">
        <v>459</v>
      </c>
      <c r="D169" s="7" t="s">
        <v>443</v>
      </c>
      <c r="E169" s="7"/>
      <c r="F169" s="12" t="n">
        <v>1841552.0637</v>
      </c>
      <c r="G169" s="12" t="n">
        <v>1841552.0637</v>
      </c>
      <c r="H169" s="7" t="n">
        <v>4.65661287307739E-010</v>
      </c>
      <c r="I169" s="7" t="n">
        <v>2.52863492966984E-016</v>
      </c>
      <c r="J169" s="7" t="n">
        <v>0.01</v>
      </c>
      <c r="K169" s="9" t="s">
        <v>4</v>
      </c>
      <c r="L169" s="7"/>
      <c r="M169" s="7"/>
      <c r="N169" s="10" t="n">
        <f aca="false">IF(AND(ISNUMBER(F169),ISNUMBER(G169)),ABS(G169-F169),"")</f>
        <v>0</v>
      </c>
      <c r="O169" s="4" t="str">
        <f aca="false">IF(AND(ISNUMBER(N169),ISNUMBER(J169)),IF(N169&lt;=J169,"PASS","FAIL"),"n/a")</f>
        <v>PASS</v>
      </c>
    </row>
    <row r="170" customFormat="false" ht="23.85" hidden="false" customHeight="false" outlineLevel="0" collapsed="false">
      <c r="A170" s="7" t="s">
        <v>460</v>
      </c>
      <c r="B170" s="7" t="s">
        <v>437</v>
      </c>
      <c r="C170" s="7" t="s">
        <v>461</v>
      </c>
      <c r="D170" s="7" t="s">
        <v>443</v>
      </c>
      <c r="E170" s="7"/>
      <c r="F170" s="12" t="n">
        <v>595918.8704</v>
      </c>
      <c r="G170" s="12" t="n">
        <v>595918.8704</v>
      </c>
      <c r="H170" s="7" t="n">
        <v>1.16415321826935E-010</v>
      </c>
      <c r="I170" s="7" t="n">
        <v>1.95354313497059E-016</v>
      </c>
      <c r="J170" s="7" t="n">
        <v>0.01</v>
      </c>
      <c r="K170" s="9" t="s">
        <v>4</v>
      </c>
      <c r="L170" s="7"/>
      <c r="M170" s="7"/>
      <c r="N170" s="10" t="n">
        <f aca="false">IF(AND(ISNUMBER(F170),ISNUMBER(G170)),ABS(G170-F170),"")</f>
        <v>0</v>
      </c>
      <c r="O170" s="4" t="str">
        <f aca="false">IF(AND(ISNUMBER(N170),ISNUMBER(J170)),IF(N170&lt;=J170,"PASS","FAIL"),"n/a")</f>
        <v>PASS</v>
      </c>
    </row>
    <row r="171" customFormat="false" ht="23.85" hidden="false" customHeight="false" outlineLevel="0" collapsed="false">
      <c r="A171" s="7" t="s">
        <v>462</v>
      </c>
      <c r="B171" s="7" t="s">
        <v>437</v>
      </c>
      <c r="C171" s="7" t="s">
        <v>463</v>
      </c>
      <c r="D171" s="7" t="s">
        <v>443</v>
      </c>
      <c r="E171" s="7"/>
      <c r="F171" s="12" t="n">
        <v>2751000.6627</v>
      </c>
      <c r="G171" s="12" t="n">
        <v>2751000.6627</v>
      </c>
      <c r="H171" s="7" t="n">
        <v>2.79396772384644E-009</v>
      </c>
      <c r="I171" s="7" t="n">
        <v>1.0156187025794E-015</v>
      </c>
      <c r="J171" s="7" t="n">
        <v>0.01</v>
      </c>
      <c r="K171" s="9" t="s">
        <v>4</v>
      </c>
      <c r="L171" s="7"/>
      <c r="M171" s="7"/>
      <c r="N171" s="10" t="n">
        <f aca="false">IF(AND(ISNUMBER(F171),ISNUMBER(G171)),ABS(G171-F171),"")</f>
        <v>0</v>
      </c>
      <c r="O171" s="4" t="str">
        <f aca="false">IF(AND(ISNUMBER(N171),ISNUMBER(J171)),IF(N171&lt;=J171,"PASS","FAIL"),"n/a")</f>
        <v>PASS</v>
      </c>
    </row>
    <row r="172" customFormat="false" ht="91" hidden="false" customHeight="false" outlineLevel="0" collapsed="false">
      <c r="A172" s="7" t="s">
        <v>464</v>
      </c>
      <c r="B172" s="7" t="s">
        <v>437</v>
      </c>
      <c r="C172" s="7" t="s">
        <v>465</v>
      </c>
      <c r="D172" s="7" t="s">
        <v>443</v>
      </c>
      <c r="E172" s="7" t="s">
        <v>466</v>
      </c>
      <c r="F172" s="7" t="s">
        <v>467</v>
      </c>
      <c r="G172" s="7" t="s">
        <v>468</v>
      </c>
      <c r="H172" s="7"/>
      <c r="I172" s="7"/>
      <c r="J172" s="7" t="s">
        <v>389</v>
      </c>
      <c r="K172" s="9" t="s">
        <v>4</v>
      </c>
      <c r="L172" s="7"/>
      <c r="M172" s="7"/>
      <c r="N172" s="10" t="str">
        <f aca="false">IF(AND(ISNUMBER(F172),ISNUMBER(G172)),ABS(G172-F172),"")</f>
        <v/>
      </c>
      <c r="O172" s="4" t="str">
        <f aca="false">IF(AND(ISNUMBER(N172),ISNUMBER(J172)),IF(N172&lt;=J172,"PASS","FAIL"),"n/a")</f>
        <v>n/a</v>
      </c>
    </row>
    <row r="173" customFormat="false" ht="91" hidden="false" customHeight="false" outlineLevel="0" collapsed="false">
      <c r="A173" s="7" t="s">
        <v>469</v>
      </c>
      <c r="B173" s="7" t="s">
        <v>437</v>
      </c>
      <c r="C173" s="7" t="s">
        <v>470</v>
      </c>
      <c r="D173" s="7" t="s">
        <v>443</v>
      </c>
      <c r="E173" s="7" t="s">
        <v>466</v>
      </c>
      <c r="F173" s="7" t="s">
        <v>471</v>
      </c>
      <c r="G173" s="7" t="s">
        <v>472</v>
      </c>
      <c r="H173" s="7"/>
      <c r="I173" s="7"/>
      <c r="J173" s="7" t="s">
        <v>389</v>
      </c>
      <c r="K173" s="9" t="s">
        <v>4</v>
      </c>
      <c r="L173" s="7"/>
      <c r="M173" s="7"/>
      <c r="N173" s="10" t="str">
        <f aca="false">IF(AND(ISNUMBER(F173),ISNUMBER(G173)),ABS(G173-F173),"")</f>
        <v/>
      </c>
      <c r="O173" s="4" t="str">
        <f aca="false">IF(AND(ISNUMBER(N173),ISNUMBER(J173)),IF(N173&lt;=J173,"PASS","FAIL"),"n/a")</f>
        <v>n/a</v>
      </c>
    </row>
    <row r="174" customFormat="false" ht="91" hidden="false" customHeight="false" outlineLevel="0" collapsed="false">
      <c r="A174" s="7" t="s">
        <v>473</v>
      </c>
      <c r="B174" s="7" t="s">
        <v>437</v>
      </c>
      <c r="C174" s="7" t="s">
        <v>474</v>
      </c>
      <c r="D174" s="7" t="s">
        <v>443</v>
      </c>
      <c r="E174" s="7" t="s">
        <v>466</v>
      </c>
      <c r="F174" s="7" t="s">
        <v>475</v>
      </c>
      <c r="G174" s="7" t="s">
        <v>476</v>
      </c>
      <c r="H174" s="7"/>
      <c r="I174" s="7"/>
      <c r="J174" s="7" t="s">
        <v>389</v>
      </c>
      <c r="K174" s="9" t="s">
        <v>4</v>
      </c>
      <c r="L174" s="7"/>
      <c r="M174" s="7"/>
      <c r="N174" s="10" t="str">
        <f aca="false">IF(AND(ISNUMBER(F174),ISNUMBER(G174)),ABS(G174-F174),"")</f>
        <v/>
      </c>
      <c r="O174" s="4" t="str">
        <f aca="false">IF(AND(ISNUMBER(N174),ISNUMBER(J174)),IF(N174&lt;=J174,"PASS","FAIL"),"n/a")</f>
        <v>n/a</v>
      </c>
    </row>
    <row r="175" customFormat="false" ht="91" hidden="false" customHeight="false" outlineLevel="0" collapsed="false">
      <c r="A175" s="7" t="s">
        <v>477</v>
      </c>
      <c r="B175" s="7" t="s">
        <v>437</v>
      </c>
      <c r="C175" s="7" t="s">
        <v>478</v>
      </c>
      <c r="D175" s="7" t="s">
        <v>443</v>
      </c>
      <c r="E175" s="7" t="s">
        <v>466</v>
      </c>
      <c r="F175" s="7" t="s">
        <v>479</v>
      </c>
      <c r="G175" s="7" t="s">
        <v>480</v>
      </c>
      <c r="H175" s="7"/>
      <c r="I175" s="7"/>
      <c r="J175" s="7" t="s">
        <v>389</v>
      </c>
      <c r="K175" s="9" t="s">
        <v>4</v>
      </c>
      <c r="L175" s="7"/>
      <c r="M175" s="7"/>
      <c r="N175" s="10" t="str">
        <f aca="false">IF(AND(ISNUMBER(F175),ISNUMBER(G175)),ABS(G175-F175),"")</f>
        <v/>
      </c>
      <c r="O175" s="4" t="str">
        <f aca="false">IF(AND(ISNUMBER(N175),ISNUMBER(J175)),IF(N175&lt;=J175,"PASS","FAIL"),"n/a")</f>
        <v>n/a</v>
      </c>
    </row>
    <row r="176" customFormat="false" ht="57.45" hidden="false" customHeight="false" outlineLevel="0" collapsed="false">
      <c r="A176" s="7" t="s">
        <v>481</v>
      </c>
      <c r="B176" s="7" t="s">
        <v>437</v>
      </c>
      <c r="C176" s="7" t="s">
        <v>482</v>
      </c>
      <c r="D176" s="7" t="s">
        <v>443</v>
      </c>
      <c r="E176" s="7"/>
      <c r="F176" s="7" t="s">
        <v>483</v>
      </c>
      <c r="G176" s="7" t="s">
        <v>483</v>
      </c>
      <c r="H176" s="7"/>
      <c r="I176" s="7"/>
      <c r="J176" s="7"/>
      <c r="K176" s="9" t="s">
        <v>4</v>
      </c>
      <c r="L176" s="7"/>
      <c r="M176" s="7"/>
      <c r="N176" s="10" t="str">
        <f aca="false">IF(AND(ISNUMBER(F176),ISNUMBER(G176)),ABS(G176-F176),"")</f>
        <v/>
      </c>
      <c r="O176" s="4" t="str">
        <f aca="false">IF(AND(ISNUMBER(N176),ISNUMBER(J176)),IF(N176&lt;=J176,"PASS","FAIL"),"n/a")</f>
        <v>n/a</v>
      </c>
    </row>
    <row r="177" customFormat="false" ht="23.85" hidden="false" customHeight="false" outlineLevel="0" collapsed="false">
      <c r="A177" s="7" t="s">
        <v>484</v>
      </c>
      <c r="B177" s="7" t="s">
        <v>437</v>
      </c>
      <c r="C177" s="7" t="s">
        <v>485</v>
      </c>
      <c r="D177" s="7" t="s">
        <v>443</v>
      </c>
      <c r="E177" s="7"/>
      <c r="F177" s="8" t="n">
        <v>202649002</v>
      </c>
      <c r="G177" s="12" t="n">
        <v>202649002</v>
      </c>
      <c r="H177" s="7" t="n">
        <v>0</v>
      </c>
      <c r="I177" s="7" t="n">
        <v>0</v>
      </c>
      <c r="J177" s="7" t="n">
        <v>0.5</v>
      </c>
      <c r="K177" s="9" t="s">
        <v>4</v>
      </c>
      <c r="L177" s="7"/>
      <c r="M177" s="7"/>
      <c r="N177" s="10" t="n">
        <f aca="false">IF(AND(ISNUMBER(F177),ISNUMBER(G177)),ABS(G177-F177),"")</f>
        <v>0</v>
      </c>
      <c r="O177" s="4" t="str">
        <f aca="false">IF(AND(ISNUMBER(N177),ISNUMBER(J177)),IF(N177&lt;=J177,"PASS","FAIL"),"n/a")</f>
        <v>PASS</v>
      </c>
    </row>
    <row r="178" customFormat="false" ht="23.85" hidden="false" customHeight="false" outlineLevel="0" collapsed="false">
      <c r="A178" s="7" t="s">
        <v>486</v>
      </c>
      <c r="B178" s="7" t="s">
        <v>437</v>
      </c>
      <c r="C178" s="7" t="s">
        <v>487</v>
      </c>
      <c r="D178" s="7" t="s">
        <v>443</v>
      </c>
      <c r="E178" s="7"/>
      <c r="F178" s="12" t="n">
        <v>202649002.1522</v>
      </c>
      <c r="G178" s="12" t="n">
        <v>202650000</v>
      </c>
      <c r="H178" s="7" t="n">
        <v>997.847800016403</v>
      </c>
      <c r="I178" s="7" t="n">
        <v>4.92402029824439E-006</v>
      </c>
      <c r="J178" s="7" t="n">
        <v>5000</v>
      </c>
      <c r="K178" s="9" t="s">
        <v>4</v>
      </c>
      <c r="L178" s="7"/>
      <c r="M178" s="7"/>
      <c r="N178" s="10" t="n">
        <f aca="false">IF(AND(ISNUMBER(F178),ISNUMBER(G178)),ABS(G178-F178),"")</f>
        <v>997.847799986601</v>
      </c>
      <c r="O178" s="4" t="str">
        <f aca="false">IF(AND(ISNUMBER(N178),ISNUMBER(J178)),IF(N178&lt;=J178,"PASS","FAIL"),"n/a")</f>
        <v>PASS</v>
      </c>
    </row>
    <row r="179" customFormat="false" ht="23.85" hidden="false" customHeight="false" outlineLevel="0" collapsed="false">
      <c r="A179" s="7" t="s">
        <v>488</v>
      </c>
      <c r="B179" s="7" t="s">
        <v>437</v>
      </c>
      <c r="C179" s="7" t="s">
        <v>489</v>
      </c>
      <c r="D179" s="7" t="s">
        <v>443</v>
      </c>
      <c r="E179" s="7"/>
      <c r="F179" s="12" t="n">
        <v>176329755.9877</v>
      </c>
      <c r="G179" s="12" t="n">
        <v>176330000</v>
      </c>
      <c r="H179" s="7" t="n">
        <v>244.012300014496</v>
      </c>
      <c r="I179" s="7" t="n">
        <v>1.38384074002528E-006</v>
      </c>
      <c r="J179" s="7" t="n">
        <v>5000</v>
      </c>
      <c r="K179" s="9" t="s">
        <v>4</v>
      </c>
      <c r="L179" s="7"/>
      <c r="M179" s="7"/>
      <c r="N179" s="10" t="n">
        <f aca="false">IF(AND(ISNUMBER(F179),ISNUMBER(G179)),ABS(G179-F179),"")</f>
        <v>244.012300014496</v>
      </c>
      <c r="O179" s="4" t="str">
        <f aca="false">IF(AND(ISNUMBER(N179),ISNUMBER(J179)),IF(N179&lt;=J179,"PASS","FAIL"),"n/a")</f>
        <v>PASS</v>
      </c>
    </row>
    <row r="180" customFormat="false" ht="23.85" hidden="false" customHeight="false" outlineLevel="0" collapsed="false">
      <c r="A180" s="7" t="s">
        <v>490</v>
      </c>
      <c r="B180" s="7" t="s">
        <v>437</v>
      </c>
      <c r="C180" s="7" t="s">
        <v>491</v>
      </c>
      <c r="D180" s="7" t="s">
        <v>443</v>
      </c>
      <c r="E180" s="7"/>
      <c r="F180" s="12" t="n">
        <v>26319246.1645</v>
      </c>
      <c r="G180" s="12" t="n">
        <v>26320000</v>
      </c>
      <c r="H180" s="7" t="n">
        <v>753.835500001907</v>
      </c>
      <c r="I180" s="7" t="n">
        <v>2.86419867533553E-005</v>
      </c>
      <c r="J180" s="7" t="n">
        <v>5000</v>
      </c>
      <c r="K180" s="9" t="s">
        <v>4</v>
      </c>
      <c r="L180" s="7"/>
      <c r="M180" s="7"/>
      <c r="N180" s="10" t="n">
        <f aca="false">IF(AND(ISNUMBER(F180),ISNUMBER(G180)),ABS(G180-F180),"")</f>
        <v>753.835499998182</v>
      </c>
      <c r="O180" s="4" t="str">
        <f aca="false">IF(AND(ISNUMBER(N180),ISNUMBER(J180)),IF(N180&lt;=J180,"PASS","FAIL"),"n/a")</f>
        <v>PASS</v>
      </c>
    </row>
    <row r="181" customFormat="false" ht="23.85" hidden="false" customHeight="false" outlineLevel="0" collapsed="false">
      <c r="A181" s="7" t="s">
        <v>492</v>
      </c>
      <c r="B181" s="7" t="s">
        <v>437</v>
      </c>
      <c r="C181" s="7" t="s">
        <v>493</v>
      </c>
      <c r="D181" s="7"/>
      <c r="E181" s="7"/>
      <c r="F181" s="8" t="n">
        <v>0</v>
      </c>
      <c r="G181" s="8" t="n">
        <v>0</v>
      </c>
      <c r="H181" s="7" t="n">
        <v>0</v>
      </c>
      <c r="I181" s="7"/>
      <c r="J181" s="7" t="n">
        <v>0</v>
      </c>
      <c r="K181" s="9" t="s">
        <v>4</v>
      </c>
      <c r="L181" s="7"/>
      <c r="M181" s="7"/>
      <c r="N181" s="10" t="n">
        <f aca="false">IF(AND(ISNUMBER(F181),ISNUMBER(G181)),ABS(G181-F181),"")</f>
        <v>0</v>
      </c>
      <c r="O181" s="4" t="str">
        <f aca="false">IF(AND(ISNUMBER(N181),ISNUMBER(J181)),IF(N181&lt;=J181,"PASS","FAIL"),"n/a")</f>
        <v>PASS</v>
      </c>
    </row>
    <row r="182" customFormat="false" ht="23.85" hidden="false" customHeight="false" outlineLevel="0" collapsed="false">
      <c r="A182" s="7" t="s">
        <v>494</v>
      </c>
      <c r="B182" s="7" t="s">
        <v>437</v>
      </c>
      <c r="C182" s="7" t="s">
        <v>495</v>
      </c>
      <c r="D182" s="7" t="s">
        <v>443</v>
      </c>
      <c r="E182" s="7"/>
      <c r="F182" s="8" t="n">
        <v>58340</v>
      </c>
      <c r="G182" s="8" t="n">
        <v>58340</v>
      </c>
      <c r="H182" s="7" t="n">
        <v>0</v>
      </c>
      <c r="I182" s="7" t="n">
        <v>0</v>
      </c>
      <c r="J182" s="7" t="n">
        <v>0</v>
      </c>
      <c r="K182" s="9" t="s">
        <v>4</v>
      </c>
      <c r="L182" s="7"/>
      <c r="M182" s="7"/>
      <c r="N182" s="10" t="n">
        <f aca="false">IF(AND(ISNUMBER(F182),ISNUMBER(G182)),ABS(G182-F182),"")</f>
        <v>0</v>
      </c>
      <c r="O182" s="4" t="str">
        <f aca="false">IF(AND(ISNUMBER(N182),ISNUMBER(J182)),IF(N182&lt;=J182,"PASS","FAIL"),"n/a")</f>
        <v>PASS</v>
      </c>
    </row>
    <row r="183" customFormat="false" ht="23.85" hidden="false" customHeight="false" outlineLevel="0" collapsed="false">
      <c r="A183" s="7" t="s">
        <v>496</v>
      </c>
      <c r="B183" s="7" t="s">
        <v>437</v>
      </c>
      <c r="C183" s="7" t="s">
        <v>497</v>
      </c>
      <c r="D183" s="7"/>
      <c r="E183" s="7"/>
      <c r="F183" s="8" t="n">
        <v>0</v>
      </c>
      <c r="G183" s="8" t="n">
        <v>0</v>
      </c>
      <c r="H183" s="7" t="n">
        <v>0</v>
      </c>
      <c r="I183" s="7"/>
      <c r="J183" s="7" t="n">
        <v>0</v>
      </c>
      <c r="K183" s="9" t="s">
        <v>4</v>
      </c>
      <c r="L183" s="7"/>
      <c r="M183" s="7"/>
      <c r="N183" s="10" t="n">
        <f aca="false">IF(AND(ISNUMBER(F183),ISNUMBER(G183)),ABS(G183-F183),"")</f>
        <v>0</v>
      </c>
      <c r="O183" s="4" t="str">
        <f aca="false">IF(AND(ISNUMBER(N183),ISNUMBER(J183)),IF(N183&lt;=J183,"PASS","FAIL"),"n/a")</f>
        <v>PASS</v>
      </c>
    </row>
    <row r="184" customFormat="false" ht="23.85" hidden="false" customHeight="false" outlineLevel="0" collapsed="false">
      <c r="A184" s="7" t="s">
        <v>498</v>
      </c>
      <c r="B184" s="7" t="s">
        <v>437</v>
      </c>
      <c r="C184" s="7" t="s">
        <v>499</v>
      </c>
      <c r="D184" s="7"/>
      <c r="E184" s="7"/>
      <c r="F184" s="12" t="n">
        <v>202649002.1522</v>
      </c>
      <c r="G184" s="12" t="n">
        <v>202649002.1522</v>
      </c>
      <c r="H184" s="7" t="n">
        <v>0</v>
      </c>
      <c r="I184" s="7" t="n">
        <v>0</v>
      </c>
      <c r="J184" s="7" t="n">
        <v>0.01</v>
      </c>
      <c r="K184" s="9" t="s">
        <v>4</v>
      </c>
      <c r="L184" s="7"/>
      <c r="M184" s="7"/>
      <c r="N184" s="10" t="n">
        <f aca="false">IF(AND(ISNUMBER(F184),ISNUMBER(G184)),ABS(G184-F184),"")</f>
        <v>0</v>
      </c>
      <c r="O184" s="4" t="str">
        <f aca="false">IF(AND(ISNUMBER(N184),ISNUMBER(J184)),IF(N184&lt;=J184,"PASS","FAIL"),"n/a")</f>
        <v>PASS</v>
      </c>
    </row>
    <row r="185" customFormat="false" ht="23.85" hidden="false" customHeight="false" outlineLevel="0" collapsed="false">
      <c r="A185" s="7" t="s">
        <v>500</v>
      </c>
      <c r="B185" s="7" t="s">
        <v>437</v>
      </c>
      <c r="C185" s="7" t="s">
        <v>501</v>
      </c>
      <c r="D185" s="7"/>
      <c r="E185" s="7"/>
      <c r="F185" s="12" t="n">
        <v>92808017.9022</v>
      </c>
      <c r="G185" s="12" t="n">
        <v>92808017.9022</v>
      </c>
      <c r="H185" s="7" t="n">
        <v>0</v>
      </c>
      <c r="I185" s="7" t="n">
        <v>0</v>
      </c>
      <c r="J185" s="7" t="n">
        <v>0.01</v>
      </c>
      <c r="K185" s="9" t="s">
        <v>4</v>
      </c>
      <c r="L185" s="7"/>
      <c r="M185" s="7"/>
      <c r="N185" s="10" t="n">
        <f aca="false">IF(AND(ISNUMBER(F185),ISNUMBER(G185)),ABS(G185-F185),"")</f>
        <v>0</v>
      </c>
      <c r="O185" s="4" t="str">
        <f aca="false">IF(AND(ISNUMBER(N185),ISNUMBER(J185)),IF(N185&lt;=J185,"PASS","FAIL"),"n/a")</f>
        <v>PASS</v>
      </c>
    </row>
    <row r="186" customFormat="false" ht="23.85" hidden="false" customHeight="false" outlineLevel="0" collapsed="false">
      <c r="A186" s="7" t="s">
        <v>502</v>
      </c>
      <c r="B186" s="7" t="s">
        <v>437</v>
      </c>
      <c r="C186" s="7" t="s">
        <v>503</v>
      </c>
      <c r="D186" s="7"/>
      <c r="E186" s="7"/>
      <c r="F186" s="12" t="n">
        <v>39708939.3079</v>
      </c>
      <c r="G186" s="12" t="n">
        <v>39708939.3079</v>
      </c>
      <c r="H186" s="7" t="n">
        <v>0</v>
      </c>
      <c r="I186" s="7" t="n">
        <v>0</v>
      </c>
      <c r="J186" s="7" t="n">
        <v>0.01</v>
      </c>
      <c r="K186" s="9" t="s">
        <v>4</v>
      </c>
      <c r="L186" s="7"/>
      <c r="M186" s="7"/>
      <c r="N186" s="10" t="n">
        <f aca="false">IF(AND(ISNUMBER(F186),ISNUMBER(G186)),ABS(G186-F186),"")</f>
        <v>0</v>
      </c>
      <c r="O186" s="4" t="str">
        <f aca="false">IF(AND(ISNUMBER(N186),ISNUMBER(J186)),IF(N186&lt;=J186,"PASS","FAIL"),"n/a")</f>
        <v>PASS</v>
      </c>
    </row>
    <row r="187" customFormat="false" ht="23.85" hidden="false" customHeight="false" outlineLevel="0" collapsed="false">
      <c r="A187" s="7" t="s">
        <v>504</v>
      </c>
      <c r="B187" s="7" t="s">
        <v>437</v>
      </c>
      <c r="C187" s="7" t="s">
        <v>505</v>
      </c>
      <c r="D187" s="7"/>
      <c r="E187" s="7"/>
      <c r="F187" s="12" t="n">
        <v>43812798.7776</v>
      </c>
      <c r="G187" s="12" t="n">
        <v>43812798.7776</v>
      </c>
      <c r="H187" s="7" t="n">
        <v>0</v>
      </c>
      <c r="I187" s="7" t="n">
        <v>0</v>
      </c>
      <c r="J187" s="7" t="n">
        <v>0.01</v>
      </c>
      <c r="K187" s="9" t="s">
        <v>4</v>
      </c>
      <c r="L187" s="7"/>
      <c r="M187" s="7"/>
      <c r="N187" s="10" t="n">
        <f aca="false">IF(AND(ISNUMBER(F187),ISNUMBER(G187)),ABS(G187-F187),"")</f>
        <v>0</v>
      </c>
      <c r="O187" s="4" t="str">
        <f aca="false">IF(AND(ISNUMBER(N187),ISNUMBER(J187)),IF(N187&lt;=J187,"PASS","FAIL"),"n/a")</f>
        <v>PASS</v>
      </c>
    </row>
    <row r="188" customFormat="false" ht="23.85" hidden="false" customHeight="false" outlineLevel="0" collapsed="false">
      <c r="A188" s="7" t="s">
        <v>506</v>
      </c>
      <c r="B188" s="7" t="s">
        <v>437</v>
      </c>
      <c r="C188" s="7" t="s">
        <v>507</v>
      </c>
      <c r="D188" s="7"/>
      <c r="E188" s="7"/>
      <c r="F188" s="8" t="n">
        <v>58340</v>
      </c>
      <c r="G188" s="8" t="n">
        <v>58340</v>
      </c>
      <c r="H188" s="7" t="n">
        <v>0</v>
      </c>
      <c r="I188" s="7" t="n">
        <v>0</v>
      </c>
      <c r="J188" s="7" t="n">
        <v>0</v>
      </c>
      <c r="K188" s="9" t="s">
        <v>4</v>
      </c>
      <c r="L188" s="7"/>
      <c r="M188" s="7"/>
      <c r="N188" s="10" t="n">
        <f aca="false">IF(AND(ISNUMBER(F188),ISNUMBER(G188)),ABS(G188-F188),"")</f>
        <v>0</v>
      </c>
      <c r="O188" s="4" t="str">
        <f aca="false">IF(AND(ISNUMBER(N188),ISNUMBER(J188)),IF(N188&lt;=J188,"PASS","FAIL"),"n/a")</f>
        <v>PASS</v>
      </c>
    </row>
    <row r="189" customFormat="false" ht="23.85" hidden="false" customHeight="false" outlineLevel="0" collapsed="false">
      <c r="A189" s="7" t="s">
        <v>508</v>
      </c>
      <c r="B189" s="7" t="s">
        <v>437</v>
      </c>
      <c r="C189" s="7" t="s">
        <v>509</v>
      </c>
      <c r="D189" s="7" t="s">
        <v>510</v>
      </c>
      <c r="E189" s="7"/>
      <c r="F189" s="8" t="n">
        <v>19446</v>
      </c>
      <c r="G189" s="8" t="n">
        <v>19446</v>
      </c>
      <c r="H189" s="7" t="n">
        <v>0</v>
      </c>
      <c r="I189" s="7" t="n">
        <v>0</v>
      </c>
      <c r="J189" s="7" t="n">
        <v>0</v>
      </c>
      <c r="K189" s="9" t="s">
        <v>4</v>
      </c>
      <c r="L189" s="7"/>
      <c r="M189" s="7"/>
      <c r="N189" s="10" t="n">
        <f aca="false">IF(AND(ISNUMBER(F189),ISNUMBER(G189)),ABS(G189-F189),"")</f>
        <v>0</v>
      </c>
      <c r="O189" s="4" t="str">
        <f aca="false">IF(AND(ISNUMBER(N189),ISNUMBER(J189)),IF(N189&lt;=J189,"PASS","FAIL"),"n/a")</f>
        <v>PASS</v>
      </c>
    </row>
    <row r="190" customFormat="false" ht="23.85" hidden="false" customHeight="false" outlineLevel="0" collapsed="false">
      <c r="A190" s="7" t="s">
        <v>511</v>
      </c>
      <c r="B190" s="7" t="s">
        <v>437</v>
      </c>
      <c r="C190" s="7" t="s">
        <v>512</v>
      </c>
      <c r="D190" s="7" t="s">
        <v>510</v>
      </c>
      <c r="E190" s="7"/>
      <c r="F190" s="12" t="n">
        <v>70362583.5629</v>
      </c>
      <c r="G190" s="12" t="n">
        <v>70362583.5628997</v>
      </c>
      <c r="H190" s="7" t="n">
        <v>3.12924385070801E-007</v>
      </c>
      <c r="I190" s="7" t="n">
        <v>4.44731232461163E-015</v>
      </c>
      <c r="J190" s="7" t="n">
        <v>0.01</v>
      </c>
      <c r="K190" s="9" t="s">
        <v>4</v>
      </c>
      <c r="L190" s="7"/>
      <c r="M190" s="7"/>
      <c r="N190" s="10" t="n">
        <f aca="false">IF(AND(ISNUMBER(F190),ISNUMBER(G190)),ABS(G190-F190),"")</f>
        <v>3.12924385070801E-007</v>
      </c>
      <c r="O190" s="4" t="str">
        <f aca="false">IF(AND(ISNUMBER(N190),ISNUMBER(J190)),IF(N190&lt;=J190,"PASS","FAIL"),"n/a")</f>
        <v>PASS</v>
      </c>
    </row>
    <row r="191" customFormat="false" ht="23.85" hidden="false" customHeight="false" outlineLevel="0" collapsed="false">
      <c r="A191" s="7" t="s">
        <v>513</v>
      </c>
      <c r="B191" s="7" t="s">
        <v>437</v>
      </c>
      <c r="C191" s="7" t="s">
        <v>514</v>
      </c>
      <c r="D191" s="7" t="s">
        <v>510</v>
      </c>
      <c r="E191" s="7"/>
      <c r="F191" s="12" t="n">
        <v>58463904.9495</v>
      </c>
      <c r="G191" s="12" t="n">
        <v>58463904.9495</v>
      </c>
      <c r="H191" s="7" t="n">
        <v>7.45058059692383E-009</v>
      </c>
      <c r="I191" s="7" t="n">
        <v>1.27438983135996E-016</v>
      </c>
      <c r="J191" s="7" t="n">
        <v>0.01</v>
      </c>
      <c r="K191" s="9" t="s">
        <v>4</v>
      </c>
      <c r="L191" s="7"/>
      <c r="M191" s="7"/>
      <c r="N191" s="10" t="n">
        <f aca="false">IF(AND(ISNUMBER(F191),ISNUMBER(G191)),ABS(G191-F191),"")</f>
        <v>0</v>
      </c>
      <c r="O191" s="4" t="str">
        <f aca="false">IF(AND(ISNUMBER(N191),ISNUMBER(J191)),IF(N191&lt;=J191,"PASS","FAIL"),"n/a")</f>
        <v>PASS</v>
      </c>
    </row>
    <row r="192" customFormat="false" ht="23.85" hidden="false" customHeight="false" outlineLevel="0" collapsed="false">
      <c r="A192" s="7" t="s">
        <v>515</v>
      </c>
      <c r="B192" s="7" t="s">
        <v>437</v>
      </c>
      <c r="C192" s="7" t="s">
        <v>516</v>
      </c>
      <c r="D192" s="7" t="s">
        <v>510</v>
      </c>
      <c r="E192" s="7"/>
      <c r="F192" s="12" t="n">
        <v>11898678.6134</v>
      </c>
      <c r="G192" s="12" t="n">
        <v>11898678.6133997</v>
      </c>
      <c r="H192" s="7" t="n">
        <v>3.20374965667725E-007</v>
      </c>
      <c r="I192" s="7" t="n">
        <v>2.69252558268887E-014</v>
      </c>
      <c r="J192" s="7" t="n">
        <v>0.01</v>
      </c>
      <c r="K192" s="9" t="s">
        <v>4</v>
      </c>
      <c r="L192" s="7"/>
      <c r="M192" s="7"/>
      <c r="N192" s="10" t="n">
        <f aca="false">IF(AND(ISNUMBER(F192),ISNUMBER(G192)),ABS(G192-F192),"")</f>
        <v>3.18512320518494E-007</v>
      </c>
      <c r="O192" s="4" t="str">
        <f aca="false">IF(AND(ISNUMBER(N192),ISNUMBER(J192)),IF(N192&lt;=J192,"PASS","FAIL"),"n/a")</f>
        <v>PASS</v>
      </c>
    </row>
    <row r="193" customFormat="false" ht="23.85" hidden="false" customHeight="false" outlineLevel="0" collapsed="false">
      <c r="A193" s="7" t="s">
        <v>517</v>
      </c>
      <c r="B193" s="7" t="s">
        <v>437</v>
      </c>
      <c r="C193" s="7" t="s">
        <v>518</v>
      </c>
      <c r="D193" s="7" t="s">
        <v>510</v>
      </c>
      <c r="E193" s="7"/>
      <c r="F193" s="12" t="n">
        <v>70362583.5629</v>
      </c>
      <c r="G193" s="12" t="n">
        <v>70362583.5628997</v>
      </c>
      <c r="H193" s="7" t="n">
        <v>3.12924385070801E-007</v>
      </c>
      <c r="I193" s="7" t="n">
        <v>4.44731232461163E-015</v>
      </c>
      <c r="J193" s="7" t="n">
        <v>0.01</v>
      </c>
      <c r="K193" s="9" t="s">
        <v>4</v>
      </c>
      <c r="L193" s="7"/>
      <c r="M193" s="7"/>
      <c r="N193" s="10" t="n">
        <f aca="false">IF(AND(ISNUMBER(F193),ISNUMBER(G193)),ABS(G193-F193),"")</f>
        <v>3.12924385070801E-007</v>
      </c>
      <c r="O193" s="4" t="str">
        <f aca="false">IF(AND(ISNUMBER(N193),ISNUMBER(J193)),IF(N193&lt;=J193,"PASS","FAIL"),"n/a")</f>
        <v>PASS</v>
      </c>
    </row>
    <row r="194" customFormat="false" ht="23.85" hidden="false" customHeight="false" outlineLevel="0" collapsed="false">
      <c r="A194" s="7" t="s">
        <v>519</v>
      </c>
      <c r="B194" s="7" t="s">
        <v>437</v>
      </c>
      <c r="C194" s="7" t="s">
        <v>520</v>
      </c>
      <c r="D194" s="7" t="s">
        <v>510</v>
      </c>
      <c r="E194" s="7"/>
      <c r="F194" s="12" t="n">
        <v>30243513.2078</v>
      </c>
      <c r="G194" s="12" t="n">
        <v>30243513.2078</v>
      </c>
      <c r="H194" s="7" t="n">
        <v>3.72529029846191E-009</v>
      </c>
      <c r="I194" s="7" t="n">
        <v>1.23176506408691E-016</v>
      </c>
      <c r="J194" s="7" t="n">
        <v>0.01</v>
      </c>
      <c r="K194" s="9" t="s">
        <v>4</v>
      </c>
      <c r="L194" s="7"/>
      <c r="M194" s="7"/>
      <c r="N194" s="10" t="n">
        <f aca="false">IF(AND(ISNUMBER(F194),ISNUMBER(G194)),ABS(G194-F194),"")</f>
        <v>0</v>
      </c>
      <c r="O194" s="4" t="str">
        <f aca="false">IF(AND(ISNUMBER(N194),ISNUMBER(J194)),IF(N194&lt;=J194,"PASS","FAIL"),"n/a")</f>
        <v>PASS</v>
      </c>
    </row>
    <row r="195" customFormat="false" ht="23.85" hidden="false" customHeight="false" outlineLevel="0" collapsed="false">
      <c r="A195" s="7" t="s">
        <v>521</v>
      </c>
      <c r="B195" s="7" t="s">
        <v>437</v>
      </c>
      <c r="C195" s="7" t="s">
        <v>522</v>
      </c>
      <c r="D195" s="7" t="s">
        <v>510</v>
      </c>
      <c r="E195" s="7"/>
      <c r="F195" s="12" t="n">
        <v>13324774.28</v>
      </c>
      <c r="G195" s="12" t="n">
        <v>13324774.28</v>
      </c>
      <c r="H195" s="7" t="n">
        <v>1.11758708953857E-008</v>
      </c>
      <c r="I195" s="7" t="n">
        <v>8.38728721443358E-016</v>
      </c>
      <c r="J195" s="7" t="n">
        <v>0.01</v>
      </c>
      <c r="K195" s="9" t="s">
        <v>4</v>
      </c>
      <c r="L195" s="7"/>
      <c r="M195" s="7"/>
      <c r="N195" s="10" t="n">
        <f aca="false">IF(AND(ISNUMBER(F195),ISNUMBER(G195)),ABS(G195-F195),"")</f>
        <v>0</v>
      </c>
      <c r="O195" s="4" t="str">
        <f aca="false">IF(AND(ISNUMBER(N195),ISNUMBER(J195)),IF(N195&lt;=J195,"PASS","FAIL"),"n/a")</f>
        <v>PASS</v>
      </c>
    </row>
    <row r="196" customFormat="false" ht="23.85" hidden="false" customHeight="false" outlineLevel="0" collapsed="false">
      <c r="A196" s="7" t="s">
        <v>523</v>
      </c>
      <c r="B196" s="7" t="s">
        <v>437</v>
      </c>
      <c r="C196" s="7" t="s">
        <v>524</v>
      </c>
      <c r="D196" s="7" t="s">
        <v>510</v>
      </c>
      <c r="E196" s="7"/>
      <c r="F196" s="12" t="n">
        <v>14895617.4617</v>
      </c>
      <c r="G196" s="12" t="n">
        <v>14895617.4617</v>
      </c>
      <c r="H196" s="7" t="n">
        <v>2.23517417907715E-008</v>
      </c>
      <c r="I196" s="7" t="n">
        <v>1.50055825804085E-015</v>
      </c>
      <c r="J196" s="7" t="n">
        <v>0.01</v>
      </c>
      <c r="K196" s="9" t="s">
        <v>4</v>
      </c>
      <c r="L196" s="7"/>
      <c r="M196" s="7"/>
      <c r="N196" s="10" t="n">
        <f aca="false">IF(AND(ISNUMBER(F196),ISNUMBER(G196)),ABS(G196-F196),"")</f>
        <v>0</v>
      </c>
      <c r="O196" s="4" t="str">
        <f aca="false">IF(AND(ISNUMBER(N196),ISNUMBER(J196)),IF(N196&lt;=J196,"PASS","FAIL"),"n/a")</f>
        <v>PASS</v>
      </c>
    </row>
    <row r="197" customFormat="false" ht="23.85" hidden="false" customHeight="false" outlineLevel="0" collapsed="false">
      <c r="A197" s="7" t="s">
        <v>525</v>
      </c>
      <c r="B197" s="7" t="s">
        <v>437</v>
      </c>
      <c r="C197" s="7" t="s">
        <v>526</v>
      </c>
      <c r="D197" s="7" t="s">
        <v>510</v>
      </c>
      <c r="E197" s="7"/>
      <c r="F197" s="12" t="n">
        <v>584497.1884</v>
      </c>
      <c r="G197" s="12" t="n">
        <v>584497.1884</v>
      </c>
      <c r="H197" s="7" t="n">
        <v>2.3283064365387E-010</v>
      </c>
      <c r="I197" s="7" t="n">
        <v>3.98343479275271E-016</v>
      </c>
      <c r="J197" s="7" t="n">
        <v>0.01</v>
      </c>
      <c r="K197" s="9" t="s">
        <v>4</v>
      </c>
      <c r="L197" s="7"/>
      <c r="M197" s="7"/>
      <c r="N197" s="10" t="n">
        <f aca="false">IF(AND(ISNUMBER(F197),ISNUMBER(G197)),ABS(G197-F197),"")</f>
        <v>0</v>
      </c>
      <c r="O197" s="4" t="str">
        <f aca="false">IF(AND(ISNUMBER(N197),ISNUMBER(J197)),IF(N197&lt;=J197,"PASS","FAIL"),"n/a")</f>
        <v>PASS</v>
      </c>
    </row>
    <row r="198" customFormat="false" ht="23.85" hidden="false" customHeight="false" outlineLevel="0" collapsed="false">
      <c r="A198" s="7" t="s">
        <v>527</v>
      </c>
      <c r="B198" s="7" t="s">
        <v>437</v>
      </c>
      <c r="C198" s="7" t="s">
        <v>528</v>
      </c>
      <c r="D198" s="7" t="s">
        <v>510</v>
      </c>
      <c r="E198" s="7"/>
      <c r="F198" s="12" t="n">
        <v>193094.7369</v>
      </c>
      <c r="G198" s="12" t="n">
        <v>193094.7369</v>
      </c>
      <c r="H198" s="7" t="n">
        <v>8.73114913702011E-011</v>
      </c>
      <c r="I198" s="7" t="n">
        <v>4.52169193070332E-016</v>
      </c>
      <c r="J198" s="7" t="n">
        <v>0.01</v>
      </c>
      <c r="K198" s="9" t="s">
        <v>4</v>
      </c>
      <c r="L198" s="7"/>
      <c r="M198" s="7"/>
      <c r="N198" s="10" t="n">
        <f aca="false">IF(AND(ISNUMBER(F198),ISNUMBER(G198)),ABS(G198-F198),"")</f>
        <v>0</v>
      </c>
      <c r="O198" s="4" t="str">
        <f aca="false">IF(AND(ISNUMBER(N198),ISNUMBER(J198)),IF(N198&lt;=J198,"PASS","FAIL"),"n/a")</f>
        <v>PASS</v>
      </c>
    </row>
    <row r="199" customFormat="false" ht="23.85" hidden="false" customHeight="false" outlineLevel="0" collapsed="false">
      <c r="A199" s="7" t="s">
        <v>529</v>
      </c>
      <c r="B199" s="7" t="s">
        <v>437</v>
      </c>
      <c r="C199" s="7" t="s">
        <v>530</v>
      </c>
      <c r="D199" s="7" t="s">
        <v>510</v>
      </c>
      <c r="E199" s="7"/>
      <c r="F199" s="12" t="n">
        <v>765343.5603</v>
      </c>
      <c r="G199" s="12" t="n">
        <v>765343.5603</v>
      </c>
      <c r="H199" s="7" t="n">
        <v>0</v>
      </c>
      <c r="I199" s="7" t="n">
        <v>0</v>
      </c>
      <c r="J199" s="7" t="n">
        <v>0.01</v>
      </c>
      <c r="K199" s="9" t="s">
        <v>4</v>
      </c>
      <c r="L199" s="7"/>
      <c r="M199" s="7"/>
      <c r="N199" s="10" t="n">
        <f aca="false">IF(AND(ISNUMBER(F199),ISNUMBER(G199)),ABS(G199-F199),"")</f>
        <v>0</v>
      </c>
      <c r="O199" s="4" t="str">
        <f aca="false">IF(AND(ISNUMBER(N199),ISNUMBER(J199)),IF(N199&lt;=J199,"PASS","FAIL"),"n/a")</f>
        <v>PASS</v>
      </c>
    </row>
    <row r="200" customFormat="false" ht="91" hidden="false" customHeight="false" outlineLevel="0" collapsed="false">
      <c r="A200" s="7" t="s">
        <v>531</v>
      </c>
      <c r="B200" s="7" t="s">
        <v>437</v>
      </c>
      <c r="C200" s="7" t="s">
        <v>532</v>
      </c>
      <c r="D200" s="7" t="s">
        <v>510</v>
      </c>
      <c r="E200" s="7" t="s">
        <v>466</v>
      </c>
      <c r="F200" s="7" t="s">
        <v>533</v>
      </c>
      <c r="G200" s="7" t="s">
        <v>534</v>
      </c>
      <c r="H200" s="7"/>
      <c r="I200" s="7"/>
      <c r="J200" s="7" t="s">
        <v>389</v>
      </c>
      <c r="K200" s="9" t="s">
        <v>4</v>
      </c>
      <c r="L200" s="7"/>
      <c r="M200" s="7"/>
      <c r="N200" s="10" t="str">
        <f aca="false">IF(AND(ISNUMBER(F200),ISNUMBER(G200)),ABS(G200-F200),"")</f>
        <v/>
      </c>
      <c r="O200" s="4" t="str">
        <f aca="false">IF(AND(ISNUMBER(N200),ISNUMBER(J200)),IF(N200&lt;=J200,"PASS","FAIL"),"n/a")</f>
        <v>n/a</v>
      </c>
    </row>
    <row r="201" customFormat="false" ht="79.85" hidden="false" customHeight="false" outlineLevel="0" collapsed="false">
      <c r="A201" s="7" t="s">
        <v>535</v>
      </c>
      <c r="B201" s="7" t="s">
        <v>437</v>
      </c>
      <c r="C201" s="7" t="s">
        <v>536</v>
      </c>
      <c r="D201" s="7" t="s">
        <v>510</v>
      </c>
      <c r="E201" s="7" t="s">
        <v>466</v>
      </c>
      <c r="F201" s="7" t="s">
        <v>537</v>
      </c>
      <c r="G201" s="7" t="s">
        <v>538</v>
      </c>
      <c r="H201" s="7"/>
      <c r="I201" s="7"/>
      <c r="J201" s="7" t="s">
        <v>389</v>
      </c>
      <c r="K201" s="9" t="s">
        <v>4</v>
      </c>
      <c r="L201" s="7"/>
      <c r="M201" s="7"/>
      <c r="N201" s="10" t="str">
        <f aca="false">IF(AND(ISNUMBER(F201),ISNUMBER(G201)),ABS(G201-F201),"")</f>
        <v/>
      </c>
      <c r="O201" s="4" t="str">
        <f aca="false">IF(AND(ISNUMBER(N201),ISNUMBER(J201)),IF(N201&lt;=J201,"PASS","FAIL"),"n/a")</f>
        <v>n/a</v>
      </c>
    </row>
    <row r="202" customFormat="false" ht="91" hidden="false" customHeight="false" outlineLevel="0" collapsed="false">
      <c r="A202" s="7" t="s">
        <v>539</v>
      </c>
      <c r="B202" s="7" t="s">
        <v>437</v>
      </c>
      <c r="C202" s="7" t="s">
        <v>540</v>
      </c>
      <c r="D202" s="7" t="s">
        <v>510</v>
      </c>
      <c r="E202" s="7" t="s">
        <v>466</v>
      </c>
      <c r="F202" s="7" t="s">
        <v>541</v>
      </c>
      <c r="G202" s="7" t="s">
        <v>542</v>
      </c>
      <c r="H202" s="7"/>
      <c r="I202" s="7"/>
      <c r="J202" s="7" t="s">
        <v>389</v>
      </c>
      <c r="K202" s="9" t="s">
        <v>4</v>
      </c>
      <c r="L202" s="7"/>
      <c r="M202" s="7"/>
      <c r="N202" s="10" t="str">
        <f aca="false">IF(AND(ISNUMBER(F202),ISNUMBER(G202)),ABS(G202-F202),"")</f>
        <v/>
      </c>
      <c r="O202" s="4" t="str">
        <f aca="false">IF(AND(ISNUMBER(N202),ISNUMBER(J202)),IF(N202&lt;=J202,"PASS","FAIL"),"n/a")</f>
        <v>n/a</v>
      </c>
    </row>
    <row r="203" customFormat="false" ht="91" hidden="false" customHeight="false" outlineLevel="0" collapsed="false">
      <c r="A203" s="7" t="s">
        <v>543</v>
      </c>
      <c r="B203" s="7" t="s">
        <v>437</v>
      </c>
      <c r="C203" s="7" t="s">
        <v>544</v>
      </c>
      <c r="D203" s="7" t="s">
        <v>510</v>
      </c>
      <c r="E203" s="7" t="s">
        <v>466</v>
      </c>
      <c r="F203" s="7" t="s">
        <v>545</v>
      </c>
      <c r="G203" s="7" t="s">
        <v>546</v>
      </c>
      <c r="H203" s="7"/>
      <c r="I203" s="7"/>
      <c r="J203" s="7" t="s">
        <v>389</v>
      </c>
      <c r="K203" s="9" t="s">
        <v>4</v>
      </c>
      <c r="L203" s="7"/>
      <c r="M203" s="7"/>
      <c r="N203" s="10" t="str">
        <f aca="false">IF(AND(ISNUMBER(F203),ISNUMBER(G203)),ABS(G203-F203),"")</f>
        <v/>
      </c>
      <c r="O203" s="4" t="str">
        <f aca="false">IF(AND(ISNUMBER(N203),ISNUMBER(J203)),IF(N203&lt;=J203,"PASS","FAIL"),"n/a")</f>
        <v>n/a</v>
      </c>
    </row>
    <row r="204" customFormat="false" ht="57.45" hidden="false" customHeight="false" outlineLevel="0" collapsed="false">
      <c r="A204" s="7" t="s">
        <v>547</v>
      </c>
      <c r="B204" s="7" t="s">
        <v>437</v>
      </c>
      <c r="C204" s="7" t="s">
        <v>548</v>
      </c>
      <c r="D204" s="7" t="s">
        <v>510</v>
      </c>
      <c r="E204" s="7"/>
      <c r="F204" s="7" t="s">
        <v>549</v>
      </c>
      <c r="G204" s="7" t="s">
        <v>549</v>
      </c>
      <c r="H204" s="7"/>
      <c r="I204" s="7"/>
      <c r="J204" s="7"/>
      <c r="K204" s="9" t="s">
        <v>4</v>
      </c>
      <c r="L204" s="7"/>
      <c r="M204" s="7"/>
      <c r="N204" s="10" t="str">
        <f aca="false">IF(AND(ISNUMBER(F204),ISNUMBER(G204)),ABS(G204-F204),"")</f>
        <v/>
      </c>
      <c r="O204" s="4" t="str">
        <f aca="false">IF(AND(ISNUMBER(N204),ISNUMBER(J204)),IF(N204&lt;=J204,"PASS","FAIL"),"n/a")</f>
        <v>n/a</v>
      </c>
    </row>
    <row r="205" customFormat="false" ht="23.85" hidden="false" customHeight="false" outlineLevel="0" collapsed="false">
      <c r="A205" s="7" t="s">
        <v>550</v>
      </c>
      <c r="B205" s="7" t="s">
        <v>437</v>
      </c>
      <c r="C205" s="7" t="s">
        <v>551</v>
      </c>
      <c r="D205" s="7" t="s">
        <v>510</v>
      </c>
      <c r="E205" s="7"/>
      <c r="F205" s="8" t="n">
        <v>70362584</v>
      </c>
      <c r="G205" s="12" t="n">
        <v>70362584</v>
      </c>
      <c r="H205" s="7" t="n">
        <v>0</v>
      </c>
      <c r="I205" s="7" t="n">
        <v>0</v>
      </c>
      <c r="J205" s="7" t="n">
        <v>0.5</v>
      </c>
      <c r="K205" s="9" t="s">
        <v>4</v>
      </c>
      <c r="L205" s="7"/>
      <c r="M205" s="7"/>
      <c r="N205" s="10" t="n">
        <f aca="false">IF(AND(ISNUMBER(F205),ISNUMBER(G205)),ABS(G205-F205),"")</f>
        <v>0</v>
      </c>
      <c r="O205" s="4" t="str">
        <f aca="false">IF(AND(ISNUMBER(N205),ISNUMBER(J205)),IF(N205&lt;=J205,"PASS","FAIL"),"n/a")</f>
        <v>PASS</v>
      </c>
    </row>
    <row r="206" customFormat="false" ht="23.85" hidden="false" customHeight="false" outlineLevel="0" collapsed="false">
      <c r="A206" s="7" t="s">
        <v>552</v>
      </c>
      <c r="B206" s="7" t="s">
        <v>437</v>
      </c>
      <c r="C206" s="7" t="s">
        <v>553</v>
      </c>
      <c r="D206" s="7" t="s">
        <v>510</v>
      </c>
      <c r="E206" s="7"/>
      <c r="F206" s="12" t="n">
        <v>70362583.5629</v>
      </c>
      <c r="G206" s="12" t="n">
        <v>70360000</v>
      </c>
      <c r="H206" s="7" t="n">
        <v>2583.56290000677</v>
      </c>
      <c r="I206" s="7" t="n">
        <v>3.67178515794153E-005</v>
      </c>
      <c r="J206" s="7" t="n">
        <v>5000</v>
      </c>
      <c r="K206" s="9" t="s">
        <v>4</v>
      </c>
      <c r="L206" s="7"/>
      <c r="M206" s="7"/>
      <c r="N206" s="10" t="n">
        <f aca="false">IF(AND(ISNUMBER(F206),ISNUMBER(G206)),ABS(G206-F206),"")</f>
        <v>2583.56290000677</v>
      </c>
      <c r="O206" s="4" t="str">
        <f aca="false">IF(AND(ISNUMBER(N206),ISNUMBER(J206)),IF(N206&lt;=J206,"PASS","FAIL"),"n/a")</f>
        <v>PASS</v>
      </c>
    </row>
    <row r="207" customFormat="false" ht="23.85" hidden="false" customHeight="false" outlineLevel="0" collapsed="false">
      <c r="A207" s="7" t="s">
        <v>554</v>
      </c>
      <c r="B207" s="7" t="s">
        <v>437</v>
      </c>
      <c r="C207" s="7" t="s">
        <v>555</v>
      </c>
      <c r="D207" s="7" t="s">
        <v>510</v>
      </c>
      <c r="E207" s="7"/>
      <c r="F207" s="12" t="n">
        <v>58463904.9495</v>
      </c>
      <c r="G207" s="12" t="n">
        <v>58460000</v>
      </c>
      <c r="H207" s="7" t="n">
        <v>3904.94950000197</v>
      </c>
      <c r="I207" s="7" t="n">
        <v>6.67924850961459E-005</v>
      </c>
      <c r="J207" s="7" t="n">
        <v>5000</v>
      </c>
      <c r="K207" s="9" t="s">
        <v>4</v>
      </c>
      <c r="L207" s="7"/>
      <c r="M207" s="7"/>
      <c r="N207" s="10" t="n">
        <f aca="false">IF(AND(ISNUMBER(F207),ISNUMBER(G207)),ABS(G207-F207),"")</f>
        <v>3904.94950000197</v>
      </c>
      <c r="O207" s="4" t="str">
        <f aca="false">IF(AND(ISNUMBER(N207),ISNUMBER(J207)),IF(N207&lt;=J207,"PASS","FAIL"),"n/a")</f>
        <v>PASS</v>
      </c>
    </row>
    <row r="208" customFormat="false" ht="23.85" hidden="false" customHeight="false" outlineLevel="0" collapsed="false">
      <c r="A208" s="7" t="s">
        <v>556</v>
      </c>
      <c r="B208" s="7" t="s">
        <v>437</v>
      </c>
      <c r="C208" s="7" t="s">
        <v>557</v>
      </c>
      <c r="D208" s="7" t="s">
        <v>510</v>
      </c>
      <c r="E208" s="7"/>
      <c r="F208" s="12" t="n">
        <v>11898678.6134</v>
      </c>
      <c r="G208" s="12" t="n">
        <v>11900000</v>
      </c>
      <c r="H208" s="7" t="n">
        <v>1321.3865999952</v>
      </c>
      <c r="I208" s="7" t="n">
        <v>0.000111053222204614</v>
      </c>
      <c r="J208" s="7" t="n">
        <v>5000</v>
      </c>
      <c r="K208" s="9" t="s">
        <v>4</v>
      </c>
      <c r="L208" s="7"/>
      <c r="M208" s="7"/>
      <c r="N208" s="10" t="n">
        <f aca="false">IF(AND(ISNUMBER(F208),ISNUMBER(G208)),ABS(G208-F208),"")</f>
        <v>1321.38660000078</v>
      </c>
      <c r="O208" s="4" t="str">
        <f aca="false">IF(AND(ISNUMBER(N208),ISNUMBER(J208)),IF(N208&lt;=J208,"PASS","FAIL"),"n/a")</f>
        <v>PASS</v>
      </c>
    </row>
    <row r="209" customFormat="false" ht="23.85" hidden="false" customHeight="false" outlineLevel="0" collapsed="false">
      <c r="A209" s="7" t="s">
        <v>558</v>
      </c>
      <c r="B209" s="7" t="s">
        <v>437</v>
      </c>
      <c r="C209" s="7" t="s">
        <v>559</v>
      </c>
      <c r="D209" s="7"/>
      <c r="E209" s="7"/>
      <c r="F209" s="8" t="n">
        <v>0</v>
      </c>
      <c r="G209" s="8" t="n">
        <v>0</v>
      </c>
      <c r="H209" s="7" t="n">
        <v>0</v>
      </c>
      <c r="I209" s="7"/>
      <c r="J209" s="7" t="n">
        <v>0</v>
      </c>
      <c r="K209" s="9" t="s">
        <v>4</v>
      </c>
      <c r="L209" s="7"/>
      <c r="M209" s="7"/>
      <c r="N209" s="10" t="n">
        <f aca="false">IF(AND(ISNUMBER(F209),ISNUMBER(G209)),ABS(G209-F209),"")</f>
        <v>0</v>
      </c>
      <c r="O209" s="4" t="str">
        <f aca="false">IF(AND(ISNUMBER(N209),ISNUMBER(J209)),IF(N209&lt;=J209,"PASS","FAIL"),"n/a")</f>
        <v>PASS</v>
      </c>
    </row>
    <row r="210" customFormat="false" ht="23.85" hidden="false" customHeight="false" outlineLevel="0" collapsed="false">
      <c r="A210" s="7" t="s">
        <v>560</v>
      </c>
      <c r="B210" s="7" t="s">
        <v>437</v>
      </c>
      <c r="C210" s="7" t="s">
        <v>561</v>
      </c>
      <c r="D210" s="7" t="s">
        <v>510</v>
      </c>
      <c r="E210" s="7"/>
      <c r="F210" s="8" t="n">
        <v>19446</v>
      </c>
      <c r="G210" s="8" t="n">
        <v>19446</v>
      </c>
      <c r="H210" s="7" t="n">
        <v>0</v>
      </c>
      <c r="I210" s="7" t="n">
        <v>0</v>
      </c>
      <c r="J210" s="7" t="n">
        <v>0</v>
      </c>
      <c r="K210" s="9" t="s">
        <v>4</v>
      </c>
      <c r="L210" s="7"/>
      <c r="M210" s="7"/>
      <c r="N210" s="10" t="n">
        <f aca="false">IF(AND(ISNUMBER(F210),ISNUMBER(G210)),ABS(G210-F210),"")</f>
        <v>0</v>
      </c>
      <c r="O210" s="4" t="str">
        <f aca="false">IF(AND(ISNUMBER(N210),ISNUMBER(J210)),IF(N210&lt;=J210,"PASS","FAIL"),"n/a")</f>
        <v>PASS</v>
      </c>
    </row>
    <row r="211" customFormat="false" ht="23.85" hidden="false" customHeight="false" outlineLevel="0" collapsed="false">
      <c r="A211" s="7" t="s">
        <v>562</v>
      </c>
      <c r="B211" s="7" t="s">
        <v>437</v>
      </c>
      <c r="C211" s="7" t="s">
        <v>563</v>
      </c>
      <c r="D211" s="7"/>
      <c r="E211" s="7"/>
      <c r="F211" s="8" t="n">
        <v>0</v>
      </c>
      <c r="G211" s="8" t="n">
        <v>0</v>
      </c>
      <c r="H211" s="7" t="n">
        <v>0</v>
      </c>
      <c r="I211" s="7"/>
      <c r="J211" s="7" t="n">
        <v>0</v>
      </c>
      <c r="K211" s="9" t="s">
        <v>4</v>
      </c>
      <c r="L211" s="7"/>
      <c r="M211" s="7"/>
      <c r="N211" s="10" t="n">
        <f aca="false">IF(AND(ISNUMBER(F211),ISNUMBER(G211)),ABS(G211-F211),"")</f>
        <v>0</v>
      </c>
      <c r="O211" s="4" t="str">
        <f aca="false">IF(AND(ISNUMBER(N211),ISNUMBER(J211)),IF(N211&lt;=J211,"PASS","FAIL"),"n/a")</f>
        <v>PASS</v>
      </c>
    </row>
    <row r="212" customFormat="false" ht="23.85" hidden="false" customHeight="false" outlineLevel="0" collapsed="false">
      <c r="A212" s="7" t="s">
        <v>564</v>
      </c>
      <c r="B212" s="7" t="s">
        <v>437</v>
      </c>
      <c r="C212" s="7" t="s">
        <v>565</v>
      </c>
      <c r="D212" s="7"/>
      <c r="E212" s="7"/>
      <c r="F212" s="12" t="n">
        <v>70362583.5629</v>
      </c>
      <c r="G212" s="12" t="n">
        <v>70362583.5629</v>
      </c>
      <c r="H212" s="7" t="n">
        <v>0</v>
      </c>
      <c r="I212" s="7" t="n">
        <v>0</v>
      </c>
      <c r="J212" s="7" t="n">
        <v>0.01</v>
      </c>
      <c r="K212" s="9" t="s">
        <v>4</v>
      </c>
      <c r="L212" s="7"/>
      <c r="M212" s="7"/>
      <c r="N212" s="10" t="n">
        <f aca="false">IF(AND(ISNUMBER(F212),ISNUMBER(G212)),ABS(G212-F212),"")</f>
        <v>0</v>
      </c>
      <c r="O212" s="4" t="str">
        <f aca="false">IF(AND(ISNUMBER(N212),ISNUMBER(J212)),IF(N212&lt;=J212,"PASS","FAIL"),"n/a")</f>
        <v>PASS</v>
      </c>
    </row>
    <row r="213" customFormat="false" ht="23.85" hidden="false" customHeight="false" outlineLevel="0" collapsed="false">
      <c r="A213" s="7" t="s">
        <v>566</v>
      </c>
      <c r="B213" s="7" t="s">
        <v>437</v>
      </c>
      <c r="C213" s="7" t="s">
        <v>567</v>
      </c>
      <c r="D213" s="7"/>
      <c r="E213" s="7"/>
      <c r="F213" s="12" t="n">
        <v>30243513.2078</v>
      </c>
      <c r="G213" s="12" t="n">
        <v>30243513.2078</v>
      </c>
      <c r="H213" s="7" t="n">
        <v>0</v>
      </c>
      <c r="I213" s="7" t="n">
        <v>0</v>
      </c>
      <c r="J213" s="7" t="n">
        <v>0.01</v>
      </c>
      <c r="K213" s="9" t="s">
        <v>4</v>
      </c>
      <c r="L213" s="7"/>
      <c r="M213" s="7"/>
      <c r="N213" s="10" t="n">
        <f aca="false">IF(AND(ISNUMBER(F213),ISNUMBER(G213)),ABS(G213-F213),"")</f>
        <v>0</v>
      </c>
      <c r="O213" s="4" t="str">
        <f aca="false">IF(AND(ISNUMBER(N213),ISNUMBER(J213)),IF(N213&lt;=J213,"PASS","FAIL"),"n/a")</f>
        <v>PASS</v>
      </c>
    </row>
    <row r="214" customFormat="false" ht="23.85" hidden="false" customHeight="false" outlineLevel="0" collapsed="false">
      <c r="A214" s="7" t="s">
        <v>568</v>
      </c>
      <c r="B214" s="7" t="s">
        <v>437</v>
      </c>
      <c r="C214" s="7" t="s">
        <v>569</v>
      </c>
      <c r="D214" s="7"/>
      <c r="E214" s="7"/>
      <c r="F214" s="12" t="n">
        <v>13324774.28</v>
      </c>
      <c r="G214" s="12" t="n">
        <v>13324774.28</v>
      </c>
      <c r="H214" s="7" t="n">
        <v>0</v>
      </c>
      <c r="I214" s="7" t="n">
        <v>0</v>
      </c>
      <c r="J214" s="7" t="n">
        <v>0.01</v>
      </c>
      <c r="K214" s="9" t="s">
        <v>4</v>
      </c>
      <c r="L214" s="7"/>
      <c r="M214" s="7"/>
      <c r="N214" s="10" t="n">
        <f aca="false">IF(AND(ISNUMBER(F214),ISNUMBER(G214)),ABS(G214-F214),"")</f>
        <v>0</v>
      </c>
      <c r="O214" s="4" t="str">
        <f aca="false">IF(AND(ISNUMBER(N214),ISNUMBER(J214)),IF(N214&lt;=J214,"PASS","FAIL"),"n/a")</f>
        <v>PASS</v>
      </c>
    </row>
    <row r="215" customFormat="false" ht="23.85" hidden="false" customHeight="false" outlineLevel="0" collapsed="false">
      <c r="A215" s="7" t="s">
        <v>570</v>
      </c>
      <c r="B215" s="7" t="s">
        <v>437</v>
      </c>
      <c r="C215" s="7" t="s">
        <v>571</v>
      </c>
      <c r="D215" s="7"/>
      <c r="E215" s="7"/>
      <c r="F215" s="12" t="n">
        <v>14895617.4617</v>
      </c>
      <c r="G215" s="12" t="n">
        <v>14895617.4617</v>
      </c>
      <c r="H215" s="7" t="n">
        <v>0</v>
      </c>
      <c r="I215" s="7" t="n">
        <v>0</v>
      </c>
      <c r="J215" s="7" t="n">
        <v>0.01</v>
      </c>
      <c r="K215" s="9" t="s">
        <v>4</v>
      </c>
      <c r="L215" s="7"/>
      <c r="M215" s="7"/>
      <c r="N215" s="10" t="n">
        <f aca="false">IF(AND(ISNUMBER(F215),ISNUMBER(G215)),ABS(G215-F215),"")</f>
        <v>0</v>
      </c>
      <c r="O215" s="4" t="str">
        <f aca="false">IF(AND(ISNUMBER(N215),ISNUMBER(J215)),IF(N215&lt;=J215,"PASS","FAIL"),"n/a")</f>
        <v>PASS</v>
      </c>
    </row>
    <row r="216" customFormat="false" ht="23.85" hidden="false" customHeight="false" outlineLevel="0" collapsed="false">
      <c r="A216" s="7" t="s">
        <v>572</v>
      </c>
      <c r="B216" s="7" t="s">
        <v>437</v>
      </c>
      <c r="C216" s="7" t="s">
        <v>573</v>
      </c>
      <c r="D216" s="7"/>
      <c r="E216" s="7"/>
      <c r="F216" s="8" t="n">
        <v>1</v>
      </c>
      <c r="G216" s="8" t="n">
        <v>1</v>
      </c>
      <c r="H216" s="7" t="n">
        <v>0</v>
      </c>
      <c r="I216" s="7" t="n">
        <v>0</v>
      </c>
      <c r="J216" s="7" t="n">
        <v>0</v>
      </c>
      <c r="K216" s="9" t="s">
        <v>4</v>
      </c>
      <c r="L216" s="7"/>
      <c r="M216" s="7"/>
      <c r="N216" s="10" t="n">
        <f aca="false">IF(AND(ISNUMBER(F216),ISNUMBER(G216)),ABS(G216-F216),"")</f>
        <v>0</v>
      </c>
      <c r="O216" s="4" t="str">
        <f aca="false">IF(AND(ISNUMBER(N216),ISNUMBER(J216)),IF(N216&lt;=J216,"PASS","FAIL"),"n/a")</f>
        <v>PASS</v>
      </c>
    </row>
    <row r="217" customFormat="false" ht="23.85" hidden="false" customHeight="false" outlineLevel="0" collapsed="false">
      <c r="A217" s="7" t="s">
        <v>574</v>
      </c>
      <c r="B217" s="7" t="s">
        <v>437</v>
      </c>
      <c r="C217" s="7" t="s">
        <v>575</v>
      </c>
      <c r="D217" s="7"/>
      <c r="E217" s="7"/>
      <c r="F217" s="8" t="n">
        <v>1</v>
      </c>
      <c r="G217" s="8" t="n">
        <v>1</v>
      </c>
      <c r="H217" s="7" t="n">
        <v>0</v>
      </c>
      <c r="I217" s="7" t="n">
        <v>0</v>
      </c>
      <c r="J217" s="7" t="n">
        <v>0</v>
      </c>
      <c r="K217" s="9" t="s">
        <v>4</v>
      </c>
      <c r="L217" s="7"/>
      <c r="M217" s="7"/>
      <c r="N217" s="10" t="n">
        <f aca="false">IF(AND(ISNUMBER(F217),ISNUMBER(G217)),ABS(G217-F217),"")</f>
        <v>0</v>
      </c>
      <c r="O217" s="4" t="str">
        <f aca="false">IF(AND(ISNUMBER(N217),ISNUMBER(J217)),IF(N217&lt;=J217,"PASS","FAIL"),"n/a")</f>
        <v>PASS</v>
      </c>
    </row>
    <row r="218" customFormat="false" ht="23.85" hidden="false" customHeight="false" outlineLevel="0" collapsed="false">
      <c r="A218" s="7" t="s">
        <v>576</v>
      </c>
      <c r="B218" s="7" t="s">
        <v>437</v>
      </c>
      <c r="C218" s="7" t="s">
        <v>577</v>
      </c>
      <c r="D218" s="7" t="s">
        <v>578</v>
      </c>
      <c r="E218" s="7"/>
      <c r="F218" s="8" t="n">
        <v>9692</v>
      </c>
      <c r="G218" s="8" t="n">
        <v>9692</v>
      </c>
      <c r="H218" s="7" t="n">
        <v>0</v>
      </c>
      <c r="I218" s="7" t="n">
        <v>0</v>
      </c>
      <c r="J218" s="7" t="n">
        <v>0</v>
      </c>
      <c r="K218" s="9" t="s">
        <v>4</v>
      </c>
      <c r="L218" s="7"/>
      <c r="M218" s="7"/>
      <c r="N218" s="10" t="n">
        <f aca="false">IF(AND(ISNUMBER(F218),ISNUMBER(G218)),ABS(G218-F218),"")</f>
        <v>0</v>
      </c>
      <c r="O218" s="4" t="str">
        <f aca="false">IF(AND(ISNUMBER(N218),ISNUMBER(J218)),IF(N218&lt;=J218,"PASS","FAIL"),"n/a")</f>
        <v>PASS</v>
      </c>
    </row>
    <row r="219" customFormat="false" ht="23.85" hidden="false" customHeight="false" outlineLevel="0" collapsed="false">
      <c r="A219" s="7" t="s">
        <v>579</v>
      </c>
      <c r="B219" s="7" t="s">
        <v>437</v>
      </c>
      <c r="C219" s="7" t="s">
        <v>580</v>
      </c>
      <c r="D219" s="7" t="s">
        <v>578</v>
      </c>
      <c r="E219" s="7"/>
      <c r="F219" s="12" t="n">
        <v>48348041.9254</v>
      </c>
      <c r="G219" s="12" t="n">
        <v>48348041.9253999</v>
      </c>
      <c r="H219" s="7" t="n">
        <v>7.45058059692383E-008</v>
      </c>
      <c r="I219" s="7" t="n">
        <v>1.54103047408206E-015</v>
      </c>
      <c r="J219" s="7" t="n">
        <v>0.01</v>
      </c>
      <c r="K219" s="9" t="s">
        <v>4</v>
      </c>
      <c r="L219" s="7"/>
      <c r="M219" s="7"/>
      <c r="N219" s="10" t="n">
        <f aca="false">IF(AND(ISNUMBER(F219),ISNUMBER(G219)),ABS(G219-F219),"")</f>
        <v>0</v>
      </c>
      <c r="O219" s="4" t="str">
        <f aca="false">IF(AND(ISNUMBER(N219),ISNUMBER(J219)),IF(N219&lt;=J219,"PASS","FAIL"),"n/a")</f>
        <v>PASS</v>
      </c>
    </row>
    <row r="220" customFormat="false" ht="23.85" hidden="false" customHeight="false" outlineLevel="0" collapsed="false">
      <c r="A220" s="7" t="s">
        <v>581</v>
      </c>
      <c r="B220" s="7" t="s">
        <v>437</v>
      </c>
      <c r="C220" s="7" t="s">
        <v>582</v>
      </c>
      <c r="D220" s="7" t="s">
        <v>578</v>
      </c>
      <c r="E220" s="7"/>
      <c r="F220" s="12" t="n">
        <v>40780301.5842</v>
      </c>
      <c r="G220" s="12" t="n">
        <v>40780301.5842</v>
      </c>
      <c r="H220" s="7" t="n">
        <v>7.45058059692383E-009</v>
      </c>
      <c r="I220" s="7" t="n">
        <v>1.82700478110503E-016</v>
      </c>
      <c r="J220" s="7" t="n">
        <v>0.01</v>
      </c>
      <c r="K220" s="9" t="s">
        <v>4</v>
      </c>
      <c r="L220" s="7"/>
      <c r="M220" s="7"/>
      <c r="N220" s="10" t="n">
        <f aca="false">IF(AND(ISNUMBER(F220),ISNUMBER(G220)),ABS(G220-F220),"")</f>
        <v>0</v>
      </c>
      <c r="O220" s="4" t="str">
        <f aca="false">IF(AND(ISNUMBER(N220),ISNUMBER(J220)),IF(N220&lt;=J220,"PASS","FAIL"),"n/a")</f>
        <v>PASS</v>
      </c>
    </row>
    <row r="221" customFormat="false" ht="23.85" hidden="false" customHeight="false" outlineLevel="0" collapsed="false">
      <c r="A221" s="7" t="s">
        <v>583</v>
      </c>
      <c r="B221" s="7" t="s">
        <v>437</v>
      </c>
      <c r="C221" s="7" t="s">
        <v>584</v>
      </c>
      <c r="D221" s="7" t="s">
        <v>578</v>
      </c>
      <c r="E221" s="7"/>
      <c r="F221" s="12" t="n">
        <v>7567740.3412</v>
      </c>
      <c r="G221" s="12" t="n">
        <v>7567740.34119993</v>
      </c>
      <c r="H221" s="7" t="n">
        <v>6.70552253723145E-008</v>
      </c>
      <c r="I221" s="7" t="n">
        <v>8.86066677093226E-015</v>
      </c>
      <c r="J221" s="7" t="n">
        <v>0.01</v>
      </c>
      <c r="K221" s="9" t="s">
        <v>4</v>
      </c>
      <c r="L221" s="7"/>
      <c r="M221" s="7"/>
      <c r="N221" s="10" t="n">
        <f aca="false">IF(AND(ISNUMBER(F221),ISNUMBER(G221)),ABS(G221-F221),"")</f>
        <v>6.79865479469299E-008</v>
      </c>
      <c r="O221" s="4" t="str">
        <f aca="false">IF(AND(ISNUMBER(N221),ISNUMBER(J221)),IF(N221&lt;=J221,"PASS","FAIL"),"n/a")</f>
        <v>PASS</v>
      </c>
    </row>
    <row r="222" customFormat="false" ht="23.85" hidden="false" customHeight="false" outlineLevel="0" collapsed="false">
      <c r="A222" s="7" t="s">
        <v>585</v>
      </c>
      <c r="B222" s="7" t="s">
        <v>437</v>
      </c>
      <c r="C222" s="7" t="s">
        <v>586</v>
      </c>
      <c r="D222" s="7" t="s">
        <v>578</v>
      </c>
      <c r="E222" s="7"/>
      <c r="F222" s="12" t="n">
        <v>48348041.9254</v>
      </c>
      <c r="G222" s="12" t="n">
        <v>48348041.9253999</v>
      </c>
      <c r="H222" s="7" t="n">
        <v>7.45058059692383E-008</v>
      </c>
      <c r="I222" s="7" t="n">
        <v>1.54103047408206E-015</v>
      </c>
      <c r="J222" s="7" t="n">
        <v>0.01</v>
      </c>
      <c r="K222" s="9" t="s">
        <v>4</v>
      </c>
      <c r="L222" s="7"/>
      <c r="M222" s="7"/>
      <c r="N222" s="10" t="n">
        <f aca="false">IF(AND(ISNUMBER(F222),ISNUMBER(G222)),ABS(G222-F222),"")</f>
        <v>0</v>
      </c>
      <c r="O222" s="4" t="str">
        <f aca="false">IF(AND(ISNUMBER(N222),ISNUMBER(J222)),IF(N222&lt;=J222,"PASS","FAIL"),"n/a")</f>
        <v>PASS</v>
      </c>
    </row>
    <row r="223" customFormat="false" ht="23.85" hidden="false" customHeight="false" outlineLevel="0" collapsed="false">
      <c r="A223" s="7" t="s">
        <v>587</v>
      </c>
      <c r="B223" s="7" t="s">
        <v>437</v>
      </c>
      <c r="C223" s="7" t="s">
        <v>588</v>
      </c>
      <c r="D223" s="7" t="s">
        <v>578</v>
      </c>
      <c r="E223" s="7"/>
      <c r="F223" s="12" t="n">
        <v>21648388.3005</v>
      </c>
      <c r="G223" s="12" t="n">
        <v>21648388.3005</v>
      </c>
      <c r="H223" s="7" t="n">
        <v>2.60770320892334E-008</v>
      </c>
      <c r="I223" s="7" t="n">
        <v>1.20457152409037E-015</v>
      </c>
      <c r="J223" s="7" t="n">
        <v>0.01</v>
      </c>
      <c r="K223" s="9" t="s">
        <v>4</v>
      </c>
      <c r="L223" s="7"/>
      <c r="M223" s="7"/>
      <c r="N223" s="10" t="n">
        <f aca="false">IF(AND(ISNUMBER(F223),ISNUMBER(G223)),ABS(G223-F223),"")</f>
        <v>0</v>
      </c>
      <c r="O223" s="4" t="str">
        <f aca="false">IF(AND(ISNUMBER(N223),ISNUMBER(J223)),IF(N223&lt;=J223,"PASS","FAIL"),"n/a")</f>
        <v>PASS</v>
      </c>
    </row>
    <row r="224" customFormat="false" ht="23.85" hidden="false" customHeight="false" outlineLevel="0" collapsed="false">
      <c r="A224" s="7" t="s">
        <v>589</v>
      </c>
      <c r="B224" s="7" t="s">
        <v>437</v>
      </c>
      <c r="C224" s="7" t="s">
        <v>590</v>
      </c>
      <c r="D224" s="7" t="s">
        <v>578</v>
      </c>
      <c r="E224" s="7"/>
      <c r="F224" s="12" t="n">
        <v>9134124.3727</v>
      </c>
      <c r="G224" s="12" t="n">
        <v>9134124.3727</v>
      </c>
      <c r="H224" s="7" t="n">
        <v>0</v>
      </c>
      <c r="I224" s="7" t="n">
        <v>0</v>
      </c>
      <c r="J224" s="7" t="n">
        <v>0.01</v>
      </c>
      <c r="K224" s="9" t="s">
        <v>4</v>
      </c>
      <c r="L224" s="7"/>
      <c r="M224" s="7"/>
      <c r="N224" s="10" t="n">
        <f aca="false">IF(AND(ISNUMBER(F224),ISNUMBER(G224)),ABS(G224-F224),"")</f>
        <v>0</v>
      </c>
      <c r="O224" s="4" t="str">
        <f aca="false">IF(AND(ISNUMBER(N224),ISNUMBER(J224)),IF(N224&lt;=J224,"PASS","FAIL"),"n/a")</f>
        <v>PASS</v>
      </c>
    </row>
    <row r="225" customFormat="false" ht="23.85" hidden="false" customHeight="false" outlineLevel="0" collapsed="false">
      <c r="A225" s="7" t="s">
        <v>591</v>
      </c>
      <c r="B225" s="7" t="s">
        <v>437</v>
      </c>
      <c r="C225" s="7" t="s">
        <v>592</v>
      </c>
      <c r="D225" s="7" t="s">
        <v>578</v>
      </c>
      <c r="E225" s="7"/>
      <c r="F225" s="12" t="n">
        <v>9997788.911</v>
      </c>
      <c r="G225" s="12" t="n">
        <v>9997788.91100002</v>
      </c>
      <c r="H225" s="7" t="n">
        <v>1.67638063430786E-008</v>
      </c>
      <c r="I225" s="7" t="n">
        <v>1.67675137896084E-015</v>
      </c>
      <c r="J225" s="7" t="n">
        <v>0.01</v>
      </c>
      <c r="K225" s="9" t="s">
        <v>4</v>
      </c>
      <c r="L225" s="7"/>
      <c r="M225" s="7"/>
      <c r="N225" s="10" t="n">
        <f aca="false">IF(AND(ISNUMBER(F225),ISNUMBER(G225)),ABS(G225-F225),"")</f>
        <v>0</v>
      </c>
      <c r="O225" s="4" t="str">
        <f aca="false">IF(AND(ISNUMBER(N225),ISNUMBER(J225)),IF(N225&lt;=J225,"PASS","FAIL"),"n/a")</f>
        <v>PASS</v>
      </c>
    </row>
    <row r="226" customFormat="false" ht="23.85" hidden="false" customHeight="false" outlineLevel="0" collapsed="false">
      <c r="A226" s="7" t="s">
        <v>593</v>
      </c>
      <c r="B226" s="7" t="s">
        <v>437</v>
      </c>
      <c r="C226" s="7" t="s">
        <v>594</v>
      </c>
      <c r="D226" s="7" t="s">
        <v>578</v>
      </c>
      <c r="E226" s="7"/>
      <c r="F226" s="12" t="n">
        <v>425297.0814</v>
      </c>
      <c r="G226" s="12" t="n">
        <v>425297.0814</v>
      </c>
      <c r="H226" s="7" t="n">
        <v>1.16415321826935E-010</v>
      </c>
      <c r="I226" s="7" t="n">
        <v>2.73727064958257E-016</v>
      </c>
      <c r="J226" s="7" t="n">
        <v>0.01</v>
      </c>
      <c r="K226" s="9" t="s">
        <v>4</v>
      </c>
      <c r="L226" s="7"/>
      <c r="M226" s="7"/>
      <c r="N226" s="10" t="n">
        <f aca="false">IF(AND(ISNUMBER(F226),ISNUMBER(G226)),ABS(G226-F226),"")</f>
        <v>0</v>
      </c>
      <c r="O226" s="4" t="str">
        <f aca="false">IF(AND(ISNUMBER(N226),ISNUMBER(J226)),IF(N226&lt;=J226,"PASS","FAIL"),"n/a")</f>
        <v>PASS</v>
      </c>
    </row>
    <row r="227" customFormat="false" ht="23.85" hidden="false" customHeight="false" outlineLevel="0" collapsed="false">
      <c r="A227" s="7" t="s">
        <v>595</v>
      </c>
      <c r="B227" s="7" t="s">
        <v>437</v>
      </c>
      <c r="C227" s="7" t="s">
        <v>596</v>
      </c>
      <c r="D227" s="7" t="s">
        <v>578</v>
      </c>
      <c r="E227" s="7"/>
      <c r="F227" s="12" t="n">
        <v>124046.4866</v>
      </c>
      <c r="G227" s="12" t="n">
        <v>124046.4866</v>
      </c>
      <c r="H227" s="7" t="n">
        <v>0</v>
      </c>
      <c r="I227" s="7" t="n">
        <v>0</v>
      </c>
      <c r="J227" s="7" t="n">
        <v>0.01</v>
      </c>
      <c r="K227" s="9" t="s">
        <v>4</v>
      </c>
      <c r="L227" s="7"/>
      <c r="M227" s="7"/>
      <c r="N227" s="10" t="n">
        <f aca="false">IF(AND(ISNUMBER(F227),ISNUMBER(G227)),ABS(G227-F227),"")</f>
        <v>0</v>
      </c>
      <c r="O227" s="4" t="str">
        <f aca="false">IF(AND(ISNUMBER(N227),ISNUMBER(J227)),IF(N227&lt;=J227,"PASS","FAIL"),"n/a")</f>
        <v>PASS</v>
      </c>
    </row>
    <row r="228" customFormat="false" ht="23.85" hidden="false" customHeight="false" outlineLevel="0" collapsed="false">
      <c r="A228" s="7" t="s">
        <v>597</v>
      </c>
      <c r="B228" s="7" t="s">
        <v>437</v>
      </c>
      <c r="C228" s="7" t="s">
        <v>598</v>
      </c>
      <c r="D228" s="7" t="s">
        <v>578</v>
      </c>
      <c r="E228" s="7"/>
      <c r="F228" s="12" t="n">
        <v>657177.7586</v>
      </c>
      <c r="G228" s="12" t="n">
        <v>657177.7586</v>
      </c>
      <c r="H228" s="7" t="n">
        <v>0</v>
      </c>
      <c r="I228" s="7" t="n">
        <v>0</v>
      </c>
      <c r="J228" s="7" t="n">
        <v>0.01</v>
      </c>
      <c r="K228" s="9" t="s">
        <v>4</v>
      </c>
      <c r="L228" s="7"/>
      <c r="M228" s="7"/>
      <c r="N228" s="10" t="n">
        <f aca="false">IF(AND(ISNUMBER(F228),ISNUMBER(G228)),ABS(G228-F228),"")</f>
        <v>0</v>
      </c>
      <c r="O228" s="4" t="str">
        <f aca="false">IF(AND(ISNUMBER(N228),ISNUMBER(J228)),IF(N228&lt;=J228,"PASS","FAIL"),"n/a")</f>
        <v>PASS</v>
      </c>
    </row>
    <row r="229" customFormat="false" ht="91" hidden="false" customHeight="false" outlineLevel="0" collapsed="false">
      <c r="A229" s="7" t="s">
        <v>599</v>
      </c>
      <c r="B229" s="7" t="s">
        <v>437</v>
      </c>
      <c r="C229" s="7" t="s">
        <v>600</v>
      </c>
      <c r="D229" s="7" t="s">
        <v>578</v>
      </c>
      <c r="E229" s="7" t="s">
        <v>466</v>
      </c>
      <c r="F229" s="7" t="s">
        <v>601</v>
      </c>
      <c r="G229" s="7" t="s">
        <v>602</v>
      </c>
      <c r="H229" s="7"/>
      <c r="I229" s="7"/>
      <c r="J229" s="7" t="s">
        <v>389</v>
      </c>
      <c r="K229" s="9" t="s">
        <v>4</v>
      </c>
      <c r="L229" s="7"/>
      <c r="M229" s="7"/>
      <c r="N229" s="10" t="str">
        <f aca="false">IF(AND(ISNUMBER(F229),ISNUMBER(G229)),ABS(G229-F229),"")</f>
        <v/>
      </c>
      <c r="O229" s="4" t="str">
        <f aca="false">IF(AND(ISNUMBER(N229),ISNUMBER(J229)),IF(N229&lt;=J229,"PASS","FAIL"),"n/a")</f>
        <v>n/a</v>
      </c>
    </row>
    <row r="230" customFormat="false" ht="91" hidden="false" customHeight="false" outlineLevel="0" collapsed="false">
      <c r="A230" s="7" t="s">
        <v>603</v>
      </c>
      <c r="B230" s="7" t="s">
        <v>437</v>
      </c>
      <c r="C230" s="7" t="s">
        <v>604</v>
      </c>
      <c r="D230" s="7" t="s">
        <v>578</v>
      </c>
      <c r="E230" s="7" t="s">
        <v>466</v>
      </c>
      <c r="F230" s="7" t="s">
        <v>605</v>
      </c>
      <c r="G230" s="7" t="s">
        <v>606</v>
      </c>
      <c r="H230" s="7"/>
      <c r="I230" s="7"/>
      <c r="J230" s="7" t="s">
        <v>389</v>
      </c>
      <c r="K230" s="9" t="s">
        <v>4</v>
      </c>
      <c r="L230" s="7"/>
      <c r="M230" s="7"/>
      <c r="N230" s="10" t="str">
        <f aca="false">IF(AND(ISNUMBER(F230),ISNUMBER(G230)),ABS(G230-F230),"")</f>
        <v/>
      </c>
      <c r="O230" s="4" t="str">
        <f aca="false">IF(AND(ISNUMBER(N230),ISNUMBER(J230)),IF(N230&lt;=J230,"PASS","FAIL"),"n/a")</f>
        <v>n/a</v>
      </c>
    </row>
    <row r="231" customFormat="false" ht="68.65" hidden="false" customHeight="false" outlineLevel="0" collapsed="false">
      <c r="A231" s="7" t="s">
        <v>607</v>
      </c>
      <c r="B231" s="7" t="s">
        <v>437</v>
      </c>
      <c r="C231" s="7" t="s">
        <v>608</v>
      </c>
      <c r="D231" s="7" t="s">
        <v>578</v>
      </c>
      <c r="E231" s="7" t="s">
        <v>466</v>
      </c>
      <c r="F231" s="7" t="s">
        <v>609</v>
      </c>
      <c r="G231" s="7" t="s">
        <v>610</v>
      </c>
      <c r="H231" s="7"/>
      <c r="I231" s="7"/>
      <c r="J231" s="7" t="s">
        <v>389</v>
      </c>
      <c r="K231" s="9" t="s">
        <v>4</v>
      </c>
      <c r="L231" s="7"/>
      <c r="M231" s="7"/>
      <c r="N231" s="10" t="str">
        <f aca="false">IF(AND(ISNUMBER(F231),ISNUMBER(G231)),ABS(G231-F231),"")</f>
        <v/>
      </c>
      <c r="O231" s="4" t="str">
        <f aca="false">IF(AND(ISNUMBER(N231),ISNUMBER(J231)),IF(N231&lt;=J231,"PASS","FAIL"),"n/a")</f>
        <v>n/a</v>
      </c>
    </row>
    <row r="232" customFormat="false" ht="79.85" hidden="false" customHeight="false" outlineLevel="0" collapsed="false">
      <c r="A232" s="7" t="s">
        <v>611</v>
      </c>
      <c r="B232" s="7" t="s">
        <v>437</v>
      </c>
      <c r="C232" s="7" t="s">
        <v>612</v>
      </c>
      <c r="D232" s="7" t="s">
        <v>578</v>
      </c>
      <c r="E232" s="7" t="s">
        <v>466</v>
      </c>
      <c r="F232" s="7" t="s">
        <v>613</v>
      </c>
      <c r="G232" s="7" t="s">
        <v>614</v>
      </c>
      <c r="H232" s="7"/>
      <c r="I232" s="7"/>
      <c r="J232" s="7" t="s">
        <v>389</v>
      </c>
      <c r="K232" s="9" t="s">
        <v>4</v>
      </c>
      <c r="L232" s="7"/>
      <c r="M232" s="7"/>
      <c r="N232" s="10" t="str">
        <f aca="false">IF(AND(ISNUMBER(F232),ISNUMBER(G232)),ABS(G232-F232),"")</f>
        <v/>
      </c>
      <c r="O232" s="4" t="str">
        <f aca="false">IF(AND(ISNUMBER(N232),ISNUMBER(J232)),IF(N232&lt;=J232,"PASS","FAIL"),"n/a")</f>
        <v>n/a</v>
      </c>
    </row>
    <row r="233" customFormat="false" ht="57.45" hidden="false" customHeight="false" outlineLevel="0" collapsed="false">
      <c r="A233" s="7" t="s">
        <v>615</v>
      </c>
      <c r="B233" s="7" t="s">
        <v>437</v>
      </c>
      <c r="C233" s="7" t="s">
        <v>616</v>
      </c>
      <c r="D233" s="7" t="s">
        <v>578</v>
      </c>
      <c r="E233" s="7"/>
      <c r="F233" s="7" t="s">
        <v>617</v>
      </c>
      <c r="G233" s="7" t="s">
        <v>617</v>
      </c>
      <c r="H233" s="7"/>
      <c r="I233" s="7"/>
      <c r="J233" s="7"/>
      <c r="K233" s="9" t="s">
        <v>4</v>
      </c>
      <c r="L233" s="7"/>
      <c r="M233" s="7"/>
      <c r="N233" s="10" t="str">
        <f aca="false">IF(AND(ISNUMBER(F233),ISNUMBER(G233)),ABS(G233-F233),"")</f>
        <v/>
      </c>
      <c r="O233" s="4" t="str">
        <f aca="false">IF(AND(ISNUMBER(N233),ISNUMBER(J233)),IF(N233&lt;=J233,"PASS","FAIL"),"n/a")</f>
        <v>n/a</v>
      </c>
    </row>
    <row r="234" customFormat="false" ht="23.85" hidden="false" customHeight="false" outlineLevel="0" collapsed="false">
      <c r="A234" s="7" t="s">
        <v>618</v>
      </c>
      <c r="B234" s="7" t="s">
        <v>437</v>
      </c>
      <c r="C234" s="7" t="s">
        <v>619</v>
      </c>
      <c r="D234" s="7" t="s">
        <v>578</v>
      </c>
      <c r="E234" s="7"/>
      <c r="F234" s="8" t="n">
        <v>48348042</v>
      </c>
      <c r="G234" s="12" t="n">
        <v>48348042</v>
      </c>
      <c r="H234" s="7" t="n">
        <v>0</v>
      </c>
      <c r="I234" s="7" t="n">
        <v>0</v>
      </c>
      <c r="J234" s="7" t="n">
        <v>0.5</v>
      </c>
      <c r="K234" s="9" t="s">
        <v>4</v>
      </c>
      <c r="L234" s="7"/>
      <c r="M234" s="7"/>
      <c r="N234" s="10" t="n">
        <f aca="false">IF(AND(ISNUMBER(F234),ISNUMBER(G234)),ABS(G234-F234),"")</f>
        <v>0</v>
      </c>
      <c r="O234" s="4" t="str">
        <f aca="false">IF(AND(ISNUMBER(N234),ISNUMBER(J234)),IF(N234&lt;=J234,"PASS","FAIL"),"n/a")</f>
        <v>PASS</v>
      </c>
    </row>
    <row r="235" customFormat="false" ht="23.85" hidden="false" customHeight="false" outlineLevel="0" collapsed="false">
      <c r="A235" s="7" t="s">
        <v>620</v>
      </c>
      <c r="B235" s="7" t="s">
        <v>437</v>
      </c>
      <c r="C235" s="7" t="s">
        <v>621</v>
      </c>
      <c r="D235" s="7" t="s">
        <v>578</v>
      </c>
      <c r="E235" s="7"/>
      <c r="F235" s="12" t="n">
        <v>48348041.9254</v>
      </c>
      <c r="G235" s="12" t="n">
        <v>48350000</v>
      </c>
      <c r="H235" s="7" t="n">
        <v>1958.07459999621</v>
      </c>
      <c r="I235" s="7" t="n">
        <v>4.04995636228139E-005</v>
      </c>
      <c r="J235" s="7" t="n">
        <v>5000</v>
      </c>
      <c r="K235" s="9" t="s">
        <v>4</v>
      </c>
      <c r="L235" s="7"/>
      <c r="M235" s="7"/>
      <c r="N235" s="10" t="n">
        <f aca="false">IF(AND(ISNUMBER(F235),ISNUMBER(G235)),ABS(G235-F235),"")</f>
        <v>1958.07460000366</v>
      </c>
      <c r="O235" s="4" t="str">
        <f aca="false">IF(AND(ISNUMBER(N235),ISNUMBER(J235)),IF(N235&lt;=J235,"PASS","FAIL"),"n/a")</f>
        <v>PASS</v>
      </c>
    </row>
    <row r="236" customFormat="false" ht="23.85" hidden="false" customHeight="false" outlineLevel="0" collapsed="false">
      <c r="A236" s="7" t="s">
        <v>622</v>
      </c>
      <c r="B236" s="7" t="s">
        <v>437</v>
      </c>
      <c r="C236" s="7" t="s">
        <v>623</v>
      </c>
      <c r="D236" s="7" t="s">
        <v>578</v>
      </c>
      <c r="E236" s="7"/>
      <c r="F236" s="12" t="n">
        <v>40780301.5842</v>
      </c>
      <c r="G236" s="12" t="n">
        <v>40780000</v>
      </c>
      <c r="H236" s="7" t="n">
        <v>301.584200002253</v>
      </c>
      <c r="I236" s="7" t="n">
        <v>7.39534010996867E-006</v>
      </c>
      <c r="J236" s="7" t="n">
        <v>5000</v>
      </c>
      <c r="K236" s="9" t="s">
        <v>4</v>
      </c>
      <c r="L236" s="7"/>
      <c r="M236" s="7"/>
      <c r="N236" s="10" t="n">
        <f aca="false">IF(AND(ISNUMBER(F236),ISNUMBER(G236)),ABS(G236-F236),"")</f>
        <v>301.584200002253</v>
      </c>
      <c r="O236" s="4" t="str">
        <f aca="false">IF(AND(ISNUMBER(N236),ISNUMBER(J236)),IF(N236&lt;=J236,"PASS","FAIL"),"n/a")</f>
        <v>PASS</v>
      </c>
    </row>
    <row r="237" customFormat="false" ht="23.85" hidden="false" customHeight="false" outlineLevel="0" collapsed="false">
      <c r="A237" s="7" t="s">
        <v>624</v>
      </c>
      <c r="B237" s="7" t="s">
        <v>437</v>
      </c>
      <c r="C237" s="7" t="s">
        <v>625</v>
      </c>
      <c r="D237" s="7" t="s">
        <v>578</v>
      </c>
      <c r="E237" s="7"/>
      <c r="F237" s="12" t="n">
        <v>7567740.3412</v>
      </c>
      <c r="G237" s="12" t="n">
        <v>7570000</v>
      </c>
      <c r="H237" s="7" t="n">
        <v>2259.65879999846</v>
      </c>
      <c r="I237" s="7" t="n">
        <v>0.000298590952929042</v>
      </c>
      <c r="J237" s="7" t="n">
        <v>5000</v>
      </c>
      <c r="K237" s="9" t="s">
        <v>4</v>
      </c>
      <c r="L237" s="7"/>
      <c r="M237" s="7"/>
      <c r="N237" s="10" t="n">
        <f aca="false">IF(AND(ISNUMBER(F237),ISNUMBER(G237)),ABS(G237-F237),"")</f>
        <v>2259.65879999846</v>
      </c>
      <c r="O237" s="4" t="str">
        <f aca="false">IF(AND(ISNUMBER(N237),ISNUMBER(J237)),IF(N237&lt;=J237,"PASS","FAIL"),"n/a")</f>
        <v>PASS</v>
      </c>
    </row>
    <row r="238" customFormat="false" ht="23.85" hidden="false" customHeight="false" outlineLevel="0" collapsed="false">
      <c r="A238" s="7" t="s">
        <v>626</v>
      </c>
      <c r="B238" s="7" t="s">
        <v>437</v>
      </c>
      <c r="C238" s="7" t="s">
        <v>627</v>
      </c>
      <c r="D238" s="7"/>
      <c r="E238" s="7"/>
      <c r="F238" s="8" t="n">
        <v>0</v>
      </c>
      <c r="G238" s="8" t="n">
        <v>0</v>
      </c>
      <c r="H238" s="7" t="n">
        <v>0</v>
      </c>
      <c r="I238" s="7"/>
      <c r="J238" s="7" t="n">
        <v>0</v>
      </c>
      <c r="K238" s="9" t="s">
        <v>4</v>
      </c>
      <c r="L238" s="7"/>
      <c r="M238" s="7"/>
      <c r="N238" s="10" t="n">
        <f aca="false">IF(AND(ISNUMBER(F238),ISNUMBER(G238)),ABS(G238-F238),"")</f>
        <v>0</v>
      </c>
      <c r="O238" s="4" t="str">
        <f aca="false">IF(AND(ISNUMBER(N238),ISNUMBER(J238)),IF(N238&lt;=J238,"PASS","FAIL"),"n/a")</f>
        <v>PASS</v>
      </c>
    </row>
    <row r="239" customFormat="false" ht="23.85" hidden="false" customHeight="false" outlineLevel="0" collapsed="false">
      <c r="A239" s="7" t="s">
        <v>628</v>
      </c>
      <c r="B239" s="7" t="s">
        <v>437</v>
      </c>
      <c r="C239" s="7" t="s">
        <v>629</v>
      </c>
      <c r="D239" s="7" t="s">
        <v>578</v>
      </c>
      <c r="E239" s="7"/>
      <c r="F239" s="8" t="n">
        <v>9692</v>
      </c>
      <c r="G239" s="8" t="n">
        <v>9692</v>
      </c>
      <c r="H239" s="7" t="n">
        <v>0</v>
      </c>
      <c r="I239" s="7" t="n">
        <v>0</v>
      </c>
      <c r="J239" s="7" t="n">
        <v>0</v>
      </c>
      <c r="K239" s="9" t="s">
        <v>4</v>
      </c>
      <c r="L239" s="7"/>
      <c r="M239" s="7"/>
      <c r="N239" s="10" t="n">
        <f aca="false">IF(AND(ISNUMBER(F239),ISNUMBER(G239)),ABS(G239-F239),"")</f>
        <v>0</v>
      </c>
      <c r="O239" s="4" t="str">
        <f aca="false">IF(AND(ISNUMBER(N239),ISNUMBER(J239)),IF(N239&lt;=J239,"PASS","FAIL"),"n/a")</f>
        <v>PASS</v>
      </c>
    </row>
    <row r="240" customFormat="false" ht="23.85" hidden="false" customHeight="false" outlineLevel="0" collapsed="false">
      <c r="A240" s="7" t="s">
        <v>630</v>
      </c>
      <c r="B240" s="7" t="s">
        <v>437</v>
      </c>
      <c r="C240" s="7" t="s">
        <v>631</v>
      </c>
      <c r="D240" s="7"/>
      <c r="E240" s="7"/>
      <c r="F240" s="8" t="n">
        <v>0</v>
      </c>
      <c r="G240" s="8" t="n">
        <v>0</v>
      </c>
      <c r="H240" s="7" t="n">
        <v>0</v>
      </c>
      <c r="I240" s="7"/>
      <c r="J240" s="7" t="n">
        <v>0</v>
      </c>
      <c r="K240" s="9" t="s">
        <v>4</v>
      </c>
      <c r="L240" s="7"/>
      <c r="M240" s="7"/>
      <c r="N240" s="10" t="n">
        <f aca="false">IF(AND(ISNUMBER(F240),ISNUMBER(G240)),ABS(G240-F240),"")</f>
        <v>0</v>
      </c>
      <c r="O240" s="4" t="str">
        <f aca="false">IF(AND(ISNUMBER(N240),ISNUMBER(J240)),IF(N240&lt;=J240,"PASS","FAIL"),"n/a")</f>
        <v>PASS</v>
      </c>
    </row>
    <row r="241" customFormat="false" ht="23.85" hidden="false" customHeight="false" outlineLevel="0" collapsed="false">
      <c r="A241" s="7" t="s">
        <v>632</v>
      </c>
      <c r="B241" s="7" t="s">
        <v>437</v>
      </c>
      <c r="C241" s="7" t="s">
        <v>633</v>
      </c>
      <c r="D241" s="7"/>
      <c r="E241" s="7"/>
      <c r="F241" s="12" t="n">
        <v>48348041.9254</v>
      </c>
      <c r="G241" s="12" t="n">
        <v>48348041.9254</v>
      </c>
      <c r="H241" s="7" t="n">
        <v>0</v>
      </c>
      <c r="I241" s="7" t="n">
        <v>0</v>
      </c>
      <c r="J241" s="7" t="n">
        <v>0.01</v>
      </c>
      <c r="K241" s="9" t="s">
        <v>4</v>
      </c>
      <c r="L241" s="7"/>
      <c r="M241" s="7"/>
      <c r="N241" s="10" t="n">
        <f aca="false">IF(AND(ISNUMBER(F241),ISNUMBER(G241)),ABS(G241-F241),"")</f>
        <v>0</v>
      </c>
      <c r="O241" s="4" t="str">
        <f aca="false">IF(AND(ISNUMBER(N241),ISNUMBER(J241)),IF(N241&lt;=J241,"PASS","FAIL"),"n/a")</f>
        <v>PASS</v>
      </c>
    </row>
    <row r="242" customFormat="false" ht="23.85" hidden="false" customHeight="false" outlineLevel="0" collapsed="false">
      <c r="A242" s="7" t="s">
        <v>634</v>
      </c>
      <c r="B242" s="7" t="s">
        <v>437</v>
      </c>
      <c r="C242" s="7" t="s">
        <v>635</v>
      </c>
      <c r="D242" s="7"/>
      <c r="E242" s="7"/>
      <c r="F242" s="12" t="n">
        <v>21648388.3005</v>
      </c>
      <c r="G242" s="12" t="n">
        <v>21648388.3005</v>
      </c>
      <c r="H242" s="7" t="n">
        <v>0</v>
      </c>
      <c r="I242" s="7" t="n">
        <v>0</v>
      </c>
      <c r="J242" s="7" t="n">
        <v>0.01</v>
      </c>
      <c r="K242" s="9" t="s">
        <v>4</v>
      </c>
      <c r="L242" s="7"/>
      <c r="M242" s="7"/>
      <c r="N242" s="10" t="n">
        <f aca="false">IF(AND(ISNUMBER(F242),ISNUMBER(G242)),ABS(G242-F242),"")</f>
        <v>0</v>
      </c>
      <c r="O242" s="4" t="str">
        <f aca="false">IF(AND(ISNUMBER(N242),ISNUMBER(J242)),IF(N242&lt;=J242,"PASS","FAIL"),"n/a")</f>
        <v>PASS</v>
      </c>
    </row>
    <row r="243" customFormat="false" ht="23.85" hidden="false" customHeight="false" outlineLevel="0" collapsed="false">
      <c r="A243" s="7" t="s">
        <v>636</v>
      </c>
      <c r="B243" s="7" t="s">
        <v>437</v>
      </c>
      <c r="C243" s="7" t="s">
        <v>637</v>
      </c>
      <c r="D243" s="7"/>
      <c r="E243" s="7"/>
      <c r="F243" s="12" t="n">
        <v>9134124.3727</v>
      </c>
      <c r="G243" s="12" t="n">
        <v>9134124.3727</v>
      </c>
      <c r="H243" s="7" t="n">
        <v>0</v>
      </c>
      <c r="I243" s="7" t="n">
        <v>0</v>
      </c>
      <c r="J243" s="7" t="n">
        <v>0.01</v>
      </c>
      <c r="K243" s="9" t="s">
        <v>4</v>
      </c>
      <c r="L243" s="7"/>
      <c r="M243" s="7"/>
      <c r="N243" s="10" t="n">
        <f aca="false">IF(AND(ISNUMBER(F243),ISNUMBER(G243)),ABS(G243-F243),"")</f>
        <v>0</v>
      </c>
      <c r="O243" s="4" t="str">
        <f aca="false">IF(AND(ISNUMBER(N243),ISNUMBER(J243)),IF(N243&lt;=J243,"PASS","FAIL"),"n/a")</f>
        <v>PASS</v>
      </c>
    </row>
    <row r="244" customFormat="false" ht="23.85" hidden="false" customHeight="false" outlineLevel="0" collapsed="false">
      <c r="A244" s="7" t="s">
        <v>638</v>
      </c>
      <c r="B244" s="7" t="s">
        <v>437</v>
      </c>
      <c r="C244" s="7" t="s">
        <v>639</v>
      </c>
      <c r="D244" s="7"/>
      <c r="E244" s="7"/>
      <c r="F244" s="12" t="n">
        <v>9997788.911</v>
      </c>
      <c r="G244" s="12" t="n">
        <v>9997788.911</v>
      </c>
      <c r="H244" s="7" t="n">
        <v>0</v>
      </c>
      <c r="I244" s="7" t="n">
        <v>0</v>
      </c>
      <c r="J244" s="7" t="n">
        <v>0.01</v>
      </c>
      <c r="K244" s="9" t="s">
        <v>4</v>
      </c>
      <c r="L244" s="7"/>
      <c r="M244" s="7"/>
      <c r="N244" s="10" t="n">
        <f aca="false">IF(AND(ISNUMBER(F244),ISNUMBER(G244)),ABS(G244-F244),"")</f>
        <v>0</v>
      </c>
      <c r="O244" s="4" t="str">
        <f aca="false">IF(AND(ISNUMBER(N244),ISNUMBER(J244)),IF(N244&lt;=J244,"PASS","FAIL"),"n/a")</f>
        <v>PASS</v>
      </c>
    </row>
    <row r="245" customFormat="false" ht="23.85" hidden="false" customHeight="false" outlineLevel="0" collapsed="false">
      <c r="A245" s="7" t="s">
        <v>640</v>
      </c>
      <c r="B245" s="7" t="s">
        <v>437</v>
      </c>
      <c r="C245" s="7" t="s">
        <v>641</v>
      </c>
      <c r="D245" s="7" t="s">
        <v>642</v>
      </c>
      <c r="E245" s="7"/>
      <c r="F245" s="8" t="n">
        <v>58340</v>
      </c>
      <c r="G245" s="8" t="n">
        <v>58340</v>
      </c>
      <c r="H245" s="7" t="n">
        <v>0</v>
      </c>
      <c r="I245" s="7" t="n">
        <v>0</v>
      </c>
      <c r="J245" s="7" t="n">
        <v>0</v>
      </c>
      <c r="K245" s="9" t="s">
        <v>4</v>
      </c>
      <c r="L245" s="7"/>
      <c r="M245" s="7"/>
      <c r="N245" s="10" t="n">
        <f aca="false">IF(AND(ISNUMBER(F245),ISNUMBER(G245)),ABS(G245-F245),"")</f>
        <v>0</v>
      </c>
      <c r="O245" s="4" t="str">
        <f aca="false">IF(AND(ISNUMBER(N245),ISNUMBER(J245)),IF(N245&lt;=J245,"PASS","FAIL"),"n/a")</f>
        <v>PASS</v>
      </c>
    </row>
    <row r="246" customFormat="false" ht="23.85" hidden="false" customHeight="false" outlineLevel="0" collapsed="false">
      <c r="A246" s="7" t="s">
        <v>643</v>
      </c>
      <c r="B246" s="7" t="s">
        <v>437</v>
      </c>
      <c r="C246" s="7" t="s">
        <v>644</v>
      </c>
      <c r="D246" s="7" t="s">
        <v>642</v>
      </c>
      <c r="E246" s="7"/>
      <c r="F246" s="12" t="n">
        <v>194401777.4369</v>
      </c>
      <c r="G246" s="12" t="n">
        <v>194401777.436902</v>
      </c>
      <c r="H246" s="7" t="n">
        <v>1.51991844177246E-006</v>
      </c>
      <c r="I246" s="7" t="n">
        <v>7.81843901744059E-015</v>
      </c>
      <c r="J246" s="7" t="n">
        <v>0.01</v>
      </c>
      <c r="K246" s="9" t="s">
        <v>4</v>
      </c>
      <c r="L246" s="7"/>
      <c r="M246" s="7"/>
      <c r="N246" s="10" t="n">
        <f aca="false">IF(AND(ISNUMBER(F246),ISNUMBER(G246)),ABS(G246-F246),"")</f>
        <v>1.51991844177246E-006</v>
      </c>
      <c r="O246" s="4" t="str">
        <f aca="false">IF(AND(ISNUMBER(N246),ISNUMBER(J246)),IF(N246&lt;=J246,"PASS","FAIL"),"n/a")</f>
        <v>PASS</v>
      </c>
    </row>
    <row r="247" customFormat="false" ht="23.85" hidden="false" customHeight="false" outlineLevel="0" collapsed="false">
      <c r="A247" s="7" t="s">
        <v>645</v>
      </c>
      <c r="B247" s="7" t="s">
        <v>437</v>
      </c>
      <c r="C247" s="7" t="s">
        <v>646</v>
      </c>
      <c r="D247" s="7" t="s">
        <v>642</v>
      </c>
      <c r="E247" s="7"/>
      <c r="F247" s="12" t="n">
        <v>168895795.6615</v>
      </c>
      <c r="G247" s="12" t="n">
        <v>168895795.6615</v>
      </c>
      <c r="H247" s="7" t="n">
        <v>5.96046447753906E-008</v>
      </c>
      <c r="I247" s="7" t="n">
        <v>3.52907806508398E-016</v>
      </c>
      <c r="J247" s="7" t="n">
        <v>0.01</v>
      </c>
      <c r="K247" s="9" t="s">
        <v>4</v>
      </c>
      <c r="L247" s="7"/>
      <c r="M247" s="7"/>
      <c r="N247" s="10" t="n">
        <f aca="false">IF(AND(ISNUMBER(F247),ISNUMBER(G247)),ABS(G247-F247),"")</f>
        <v>0</v>
      </c>
      <c r="O247" s="4" t="str">
        <f aca="false">IF(AND(ISNUMBER(N247),ISNUMBER(J247)),IF(N247&lt;=J247,"PASS","FAIL"),"n/a")</f>
        <v>PASS</v>
      </c>
    </row>
    <row r="248" customFormat="false" ht="23.85" hidden="false" customHeight="false" outlineLevel="0" collapsed="false">
      <c r="A248" s="7" t="s">
        <v>647</v>
      </c>
      <c r="B248" s="7" t="s">
        <v>437</v>
      </c>
      <c r="C248" s="7" t="s">
        <v>648</v>
      </c>
      <c r="D248" s="7" t="s">
        <v>642</v>
      </c>
      <c r="E248" s="7"/>
      <c r="F248" s="12" t="n">
        <v>25505981.7754</v>
      </c>
      <c r="G248" s="12" t="n">
        <v>25505981.7754016</v>
      </c>
      <c r="H248" s="7" t="n">
        <v>1.57952308654785E-006</v>
      </c>
      <c r="I248" s="7" t="n">
        <v>6.19275548950351E-014</v>
      </c>
      <c r="J248" s="7" t="n">
        <v>0.01</v>
      </c>
      <c r="K248" s="9" t="s">
        <v>4</v>
      </c>
      <c r="L248" s="7"/>
      <c r="M248" s="7"/>
      <c r="N248" s="10" t="n">
        <f aca="false">IF(AND(ISNUMBER(F248),ISNUMBER(G248)),ABS(G248-F248),"")</f>
        <v>1.57952308654785E-006</v>
      </c>
      <c r="O248" s="4" t="str">
        <f aca="false">IF(AND(ISNUMBER(N248),ISNUMBER(J248)),IF(N248&lt;=J248,"PASS","FAIL"),"n/a")</f>
        <v>PASS</v>
      </c>
    </row>
    <row r="249" customFormat="false" ht="23.85" hidden="false" customHeight="false" outlineLevel="0" collapsed="false">
      <c r="A249" s="7" t="s">
        <v>649</v>
      </c>
      <c r="B249" s="7" t="s">
        <v>437</v>
      </c>
      <c r="C249" s="7" t="s">
        <v>650</v>
      </c>
      <c r="D249" s="7" t="s">
        <v>642</v>
      </c>
      <c r="E249" s="7"/>
      <c r="F249" s="12" t="n">
        <v>194401777.4369</v>
      </c>
      <c r="G249" s="12" t="n">
        <v>194401777.436902</v>
      </c>
      <c r="H249" s="7" t="n">
        <v>1.51991844177246E-006</v>
      </c>
      <c r="I249" s="7" t="n">
        <v>7.81843901744059E-015</v>
      </c>
      <c r="J249" s="7" t="n">
        <v>0.01</v>
      </c>
      <c r="K249" s="9" t="s">
        <v>4</v>
      </c>
      <c r="L249" s="7"/>
      <c r="M249" s="7"/>
      <c r="N249" s="10" t="n">
        <f aca="false">IF(AND(ISNUMBER(F249),ISNUMBER(G249)),ABS(G249-F249),"")</f>
        <v>1.51991844177246E-006</v>
      </c>
      <c r="O249" s="4" t="str">
        <f aca="false">IF(AND(ISNUMBER(N249),ISNUMBER(J249)),IF(N249&lt;=J249,"PASS","FAIL"),"n/a")</f>
        <v>PASS</v>
      </c>
    </row>
    <row r="250" customFormat="false" ht="23.85" hidden="false" customHeight="false" outlineLevel="0" collapsed="false">
      <c r="A250" s="7" t="s">
        <v>651</v>
      </c>
      <c r="B250" s="7" t="s">
        <v>437</v>
      </c>
      <c r="C250" s="7" t="s">
        <v>652</v>
      </c>
      <c r="D250" s="7" t="s">
        <v>642</v>
      </c>
      <c r="E250" s="7"/>
      <c r="F250" s="12" t="n">
        <v>89075371.836</v>
      </c>
      <c r="G250" s="12" t="n">
        <v>89075371.8359996</v>
      </c>
      <c r="H250" s="7" t="n">
        <v>3.72529029846191E-007</v>
      </c>
      <c r="I250" s="7" t="n">
        <v>4.18217765660377E-015</v>
      </c>
      <c r="J250" s="7" t="n">
        <v>0.01</v>
      </c>
      <c r="K250" s="9" t="s">
        <v>4</v>
      </c>
      <c r="L250" s="7"/>
      <c r="M250" s="7"/>
      <c r="N250" s="10" t="n">
        <f aca="false">IF(AND(ISNUMBER(F250),ISNUMBER(G250)),ABS(G250-F250),"")</f>
        <v>3.72529029846191E-007</v>
      </c>
      <c r="O250" s="4" t="str">
        <f aca="false">IF(AND(ISNUMBER(N250),ISNUMBER(J250)),IF(N250&lt;=J250,"PASS","FAIL"),"n/a")</f>
        <v>PASS</v>
      </c>
    </row>
    <row r="251" customFormat="false" ht="23.85" hidden="false" customHeight="false" outlineLevel="0" collapsed="false">
      <c r="A251" s="7" t="s">
        <v>653</v>
      </c>
      <c r="B251" s="7" t="s">
        <v>437</v>
      </c>
      <c r="C251" s="7" t="s">
        <v>654</v>
      </c>
      <c r="D251" s="7" t="s">
        <v>642</v>
      </c>
      <c r="E251" s="7"/>
      <c r="F251" s="12" t="n">
        <v>37678335.421</v>
      </c>
      <c r="G251" s="12" t="n">
        <v>37678335.4210001</v>
      </c>
      <c r="H251" s="7" t="n">
        <v>1.11758708953857E-007</v>
      </c>
      <c r="I251" s="7" t="n">
        <v>2.96612649431346E-015</v>
      </c>
      <c r="J251" s="7" t="n">
        <v>0.01</v>
      </c>
      <c r="K251" s="9" t="s">
        <v>4</v>
      </c>
      <c r="L251" s="7"/>
      <c r="M251" s="7"/>
      <c r="N251" s="10" t="n">
        <f aca="false">IF(AND(ISNUMBER(F251),ISNUMBER(G251)),ABS(G251-F251),"")</f>
        <v>0</v>
      </c>
      <c r="O251" s="4" t="str">
        <f aca="false">IF(AND(ISNUMBER(N251),ISNUMBER(J251)),IF(N251&lt;=J251,"PASS","FAIL"),"n/a")</f>
        <v>PASS</v>
      </c>
    </row>
    <row r="252" customFormat="false" ht="23.85" hidden="false" customHeight="false" outlineLevel="0" collapsed="false">
      <c r="A252" s="7" t="s">
        <v>655</v>
      </c>
      <c r="B252" s="7" t="s">
        <v>437</v>
      </c>
      <c r="C252" s="7" t="s">
        <v>656</v>
      </c>
      <c r="D252" s="7" t="s">
        <v>642</v>
      </c>
      <c r="E252" s="7"/>
      <c r="F252" s="12" t="n">
        <v>42142088.4045</v>
      </c>
      <c r="G252" s="12" t="n">
        <v>42142088.4045002</v>
      </c>
      <c r="H252" s="7" t="n">
        <v>1.78813934326172E-007</v>
      </c>
      <c r="I252" s="7" t="n">
        <v>4.24311990924204E-015</v>
      </c>
      <c r="J252" s="7" t="n">
        <v>0.01</v>
      </c>
      <c r="K252" s="9" t="s">
        <v>4</v>
      </c>
      <c r="L252" s="7"/>
      <c r="M252" s="7"/>
      <c r="N252" s="10" t="n">
        <f aca="false">IF(AND(ISNUMBER(F252),ISNUMBER(G252)),ABS(G252-F252),"")</f>
        <v>1.78813934326172E-007</v>
      </c>
      <c r="O252" s="4" t="str">
        <f aca="false">IF(AND(ISNUMBER(N252),ISNUMBER(J252)),IF(N252&lt;=J252,"PASS","FAIL"),"n/a")</f>
        <v>PASS</v>
      </c>
    </row>
    <row r="253" customFormat="false" ht="23.85" hidden="false" customHeight="false" outlineLevel="0" collapsed="false">
      <c r="A253" s="7" t="s">
        <v>657</v>
      </c>
      <c r="B253" s="7" t="s">
        <v>437</v>
      </c>
      <c r="C253" s="7" t="s">
        <v>658</v>
      </c>
      <c r="D253" s="7" t="s">
        <v>642</v>
      </c>
      <c r="E253" s="7"/>
      <c r="F253" s="12" t="n">
        <v>1741175.4552</v>
      </c>
      <c r="G253" s="12" t="n">
        <v>1741175.4552</v>
      </c>
      <c r="H253" s="7" t="n">
        <v>6.98491930961609E-010</v>
      </c>
      <c r="I253" s="7" t="n">
        <v>4.01161140237517E-016</v>
      </c>
      <c r="J253" s="7" t="n">
        <v>0.01</v>
      </c>
      <c r="K253" s="9" t="s">
        <v>4</v>
      </c>
      <c r="L253" s="7"/>
      <c r="M253" s="7"/>
      <c r="N253" s="10" t="n">
        <f aca="false">IF(AND(ISNUMBER(F253),ISNUMBER(G253)),ABS(G253-F253),"")</f>
        <v>0</v>
      </c>
      <c r="O253" s="4" t="str">
        <f aca="false">IF(AND(ISNUMBER(N253),ISNUMBER(J253)),IF(N253&lt;=J253,"PASS","FAIL"),"n/a")</f>
        <v>PASS</v>
      </c>
    </row>
    <row r="254" customFormat="false" ht="23.85" hidden="false" customHeight="false" outlineLevel="0" collapsed="false">
      <c r="A254" s="7" t="s">
        <v>659</v>
      </c>
      <c r="B254" s="7" t="s">
        <v>437</v>
      </c>
      <c r="C254" s="7" t="s">
        <v>660</v>
      </c>
      <c r="D254" s="7" t="s">
        <v>642</v>
      </c>
      <c r="E254" s="7"/>
      <c r="F254" s="12" t="n">
        <v>570778.0904</v>
      </c>
      <c r="G254" s="12" t="n">
        <v>570778.0904</v>
      </c>
      <c r="H254" s="7" t="n">
        <v>1.16415321826935E-010</v>
      </c>
      <c r="I254" s="7" t="n">
        <v>2.03958988238934E-016</v>
      </c>
      <c r="J254" s="7" t="n">
        <v>0.01</v>
      </c>
      <c r="K254" s="9" t="s">
        <v>4</v>
      </c>
      <c r="L254" s="7"/>
      <c r="M254" s="7"/>
      <c r="N254" s="10" t="n">
        <f aca="false">IF(AND(ISNUMBER(F254),ISNUMBER(G254)),ABS(G254-F254),"")</f>
        <v>0</v>
      </c>
      <c r="O254" s="4" t="str">
        <f aca="false">IF(AND(ISNUMBER(N254),ISNUMBER(J254)),IF(N254&lt;=J254,"PASS","FAIL"),"n/a")</f>
        <v>PASS</v>
      </c>
    </row>
    <row r="255" customFormat="false" ht="23.85" hidden="false" customHeight="false" outlineLevel="0" collapsed="false">
      <c r="A255" s="7" t="s">
        <v>661</v>
      </c>
      <c r="B255" s="7" t="s">
        <v>437</v>
      </c>
      <c r="C255" s="7" t="s">
        <v>662</v>
      </c>
      <c r="D255" s="7" t="s">
        <v>642</v>
      </c>
      <c r="E255" s="7"/>
      <c r="F255" s="12" t="n">
        <v>2601099.3834</v>
      </c>
      <c r="G255" s="12" t="n">
        <v>2601099.3834</v>
      </c>
      <c r="H255" s="7" t="n">
        <v>2.79396772384644E-009</v>
      </c>
      <c r="I255" s="7" t="n">
        <v>1.07414877788881E-015</v>
      </c>
      <c r="J255" s="7" t="n">
        <v>0.01</v>
      </c>
      <c r="K255" s="9" t="s">
        <v>4</v>
      </c>
      <c r="L255" s="7"/>
      <c r="M255" s="7"/>
      <c r="N255" s="10" t="n">
        <f aca="false">IF(AND(ISNUMBER(F255),ISNUMBER(G255)),ABS(G255-F255),"")</f>
        <v>0</v>
      </c>
      <c r="O255" s="4" t="str">
        <f aca="false">IF(AND(ISNUMBER(N255),ISNUMBER(J255)),IF(N255&lt;=J255,"PASS","FAIL"),"n/a")</f>
        <v>PASS</v>
      </c>
    </row>
    <row r="256" customFormat="false" ht="91" hidden="false" customHeight="false" outlineLevel="0" collapsed="false">
      <c r="A256" s="7" t="s">
        <v>663</v>
      </c>
      <c r="B256" s="7" t="s">
        <v>437</v>
      </c>
      <c r="C256" s="7" t="s">
        <v>664</v>
      </c>
      <c r="D256" s="7" t="s">
        <v>642</v>
      </c>
      <c r="E256" s="7" t="s">
        <v>466</v>
      </c>
      <c r="F256" s="7" t="s">
        <v>665</v>
      </c>
      <c r="G256" s="7" t="s">
        <v>666</v>
      </c>
      <c r="H256" s="7"/>
      <c r="I256" s="7"/>
      <c r="J256" s="7" t="s">
        <v>389</v>
      </c>
      <c r="K256" s="9" t="s">
        <v>4</v>
      </c>
      <c r="L256" s="7"/>
      <c r="M256" s="7"/>
      <c r="N256" s="10" t="str">
        <f aca="false">IF(AND(ISNUMBER(F256),ISNUMBER(G256)),ABS(G256-F256),"")</f>
        <v/>
      </c>
      <c r="O256" s="4" t="str">
        <f aca="false">IF(AND(ISNUMBER(N256),ISNUMBER(J256)),IF(N256&lt;=J256,"PASS","FAIL"),"n/a")</f>
        <v>n/a</v>
      </c>
    </row>
    <row r="257" customFormat="false" ht="91" hidden="false" customHeight="false" outlineLevel="0" collapsed="false">
      <c r="A257" s="7" t="s">
        <v>667</v>
      </c>
      <c r="B257" s="7" t="s">
        <v>437</v>
      </c>
      <c r="C257" s="7" t="s">
        <v>668</v>
      </c>
      <c r="D257" s="7" t="s">
        <v>642</v>
      </c>
      <c r="E257" s="7" t="s">
        <v>466</v>
      </c>
      <c r="F257" s="7" t="s">
        <v>669</v>
      </c>
      <c r="G257" s="7" t="s">
        <v>670</v>
      </c>
      <c r="H257" s="7"/>
      <c r="I257" s="7"/>
      <c r="J257" s="7" t="s">
        <v>389</v>
      </c>
      <c r="K257" s="9" t="s">
        <v>4</v>
      </c>
      <c r="L257" s="7"/>
      <c r="M257" s="7"/>
      <c r="N257" s="10" t="str">
        <f aca="false">IF(AND(ISNUMBER(F257),ISNUMBER(G257)),ABS(G257-F257),"")</f>
        <v/>
      </c>
      <c r="O257" s="4" t="str">
        <f aca="false">IF(AND(ISNUMBER(N257),ISNUMBER(J257)),IF(N257&lt;=J257,"PASS","FAIL"),"n/a")</f>
        <v>n/a</v>
      </c>
    </row>
    <row r="258" customFormat="false" ht="91" hidden="false" customHeight="false" outlineLevel="0" collapsed="false">
      <c r="A258" s="7" t="s">
        <v>671</v>
      </c>
      <c r="B258" s="7" t="s">
        <v>437</v>
      </c>
      <c r="C258" s="7" t="s">
        <v>672</v>
      </c>
      <c r="D258" s="7" t="s">
        <v>642</v>
      </c>
      <c r="E258" s="7" t="s">
        <v>466</v>
      </c>
      <c r="F258" s="7" t="s">
        <v>673</v>
      </c>
      <c r="G258" s="7" t="s">
        <v>674</v>
      </c>
      <c r="H258" s="7"/>
      <c r="I258" s="7"/>
      <c r="J258" s="7" t="s">
        <v>389</v>
      </c>
      <c r="K258" s="9" t="s">
        <v>4</v>
      </c>
      <c r="L258" s="7"/>
      <c r="M258" s="7"/>
      <c r="N258" s="10" t="str">
        <f aca="false">IF(AND(ISNUMBER(F258),ISNUMBER(G258)),ABS(G258-F258),"")</f>
        <v/>
      </c>
      <c r="O258" s="4" t="str">
        <f aca="false">IF(AND(ISNUMBER(N258),ISNUMBER(J258)),IF(N258&lt;=J258,"PASS","FAIL"),"n/a")</f>
        <v>n/a</v>
      </c>
    </row>
    <row r="259" customFormat="false" ht="91" hidden="false" customHeight="false" outlineLevel="0" collapsed="false">
      <c r="A259" s="7" t="s">
        <v>675</v>
      </c>
      <c r="B259" s="7" t="s">
        <v>437</v>
      </c>
      <c r="C259" s="7" t="s">
        <v>676</v>
      </c>
      <c r="D259" s="7" t="s">
        <v>642</v>
      </c>
      <c r="E259" s="7" t="s">
        <v>466</v>
      </c>
      <c r="F259" s="7" t="s">
        <v>677</v>
      </c>
      <c r="G259" s="7" t="s">
        <v>678</v>
      </c>
      <c r="H259" s="7"/>
      <c r="I259" s="7"/>
      <c r="J259" s="7" t="s">
        <v>389</v>
      </c>
      <c r="K259" s="9" t="s">
        <v>4</v>
      </c>
      <c r="L259" s="7"/>
      <c r="M259" s="7"/>
      <c r="N259" s="10" t="str">
        <f aca="false">IF(AND(ISNUMBER(F259),ISNUMBER(G259)),ABS(G259-F259),"")</f>
        <v/>
      </c>
      <c r="O259" s="4" t="str">
        <f aca="false">IF(AND(ISNUMBER(N259),ISNUMBER(J259)),IF(N259&lt;=J259,"PASS","FAIL"),"n/a")</f>
        <v>n/a</v>
      </c>
    </row>
    <row r="260" customFormat="false" ht="57.45" hidden="false" customHeight="false" outlineLevel="0" collapsed="false">
      <c r="A260" s="7" t="s">
        <v>679</v>
      </c>
      <c r="B260" s="7" t="s">
        <v>437</v>
      </c>
      <c r="C260" s="7" t="s">
        <v>680</v>
      </c>
      <c r="D260" s="7" t="s">
        <v>642</v>
      </c>
      <c r="E260" s="7"/>
      <c r="F260" s="7" t="s">
        <v>483</v>
      </c>
      <c r="G260" s="7" t="s">
        <v>483</v>
      </c>
      <c r="H260" s="7"/>
      <c r="I260" s="7"/>
      <c r="J260" s="7"/>
      <c r="K260" s="9" t="s">
        <v>4</v>
      </c>
      <c r="L260" s="7"/>
      <c r="M260" s="7"/>
      <c r="N260" s="10" t="str">
        <f aca="false">IF(AND(ISNUMBER(F260),ISNUMBER(G260)),ABS(G260-F260),"")</f>
        <v/>
      </c>
      <c r="O260" s="4" t="str">
        <f aca="false">IF(AND(ISNUMBER(N260),ISNUMBER(J260)),IF(N260&lt;=J260,"PASS","FAIL"),"n/a")</f>
        <v>n/a</v>
      </c>
    </row>
    <row r="261" customFormat="false" ht="23.85" hidden="false" customHeight="false" outlineLevel="0" collapsed="false">
      <c r="A261" s="7" t="s">
        <v>681</v>
      </c>
      <c r="B261" s="7" t="s">
        <v>437</v>
      </c>
      <c r="C261" s="7" t="s">
        <v>682</v>
      </c>
      <c r="D261" s="7" t="s">
        <v>642</v>
      </c>
      <c r="E261" s="7"/>
      <c r="F261" s="8" t="n">
        <v>194401777</v>
      </c>
      <c r="G261" s="12" t="n">
        <v>194401777</v>
      </c>
      <c r="H261" s="7" t="n">
        <v>0</v>
      </c>
      <c r="I261" s="7" t="n">
        <v>0</v>
      </c>
      <c r="J261" s="7" t="n">
        <v>0.5</v>
      </c>
      <c r="K261" s="9" t="s">
        <v>4</v>
      </c>
      <c r="L261" s="7"/>
      <c r="M261" s="7"/>
      <c r="N261" s="10" t="n">
        <f aca="false">IF(AND(ISNUMBER(F261),ISNUMBER(G261)),ABS(G261-F261),"")</f>
        <v>0</v>
      </c>
      <c r="O261" s="4" t="str">
        <f aca="false">IF(AND(ISNUMBER(N261),ISNUMBER(J261)),IF(N261&lt;=J261,"PASS","FAIL"),"n/a")</f>
        <v>PASS</v>
      </c>
    </row>
    <row r="262" customFormat="false" ht="23.85" hidden="false" customHeight="false" outlineLevel="0" collapsed="false">
      <c r="A262" s="7" t="s">
        <v>683</v>
      </c>
      <c r="B262" s="7" t="s">
        <v>437</v>
      </c>
      <c r="C262" s="7" t="s">
        <v>684</v>
      </c>
      <c r="D262" s="7" t="s">
        <v>642</v>
      </c>
      <c r="E262" s="7"/>
      <c r="F262" s="12" t="n">
        <v>194401777.4369</v>
      </c>
      <c r="G262" s="12" t="n">
        <v>194400000</v>
      </c>
      <c r="H262" s="7" t="n">
        <v>1777.43690001965</v>
      </c>
      <c r="I262" s="7" t="n">
        <v>9.14311033291131E-006</v>
      </c>
      <c r="J262" s="7" t="n">
        <v>5000</v>
      </c>
      <c r="K262" s="9" t="s">
        <v>4</v>
      </c>
      <c r="L262" s="7"/>
      <c r="M262" s="7"/>
      <c r="N262" s="10" t="n">
        <f aca="false">IF(AND(ISNUMBER(F262),ISNUMBER(G262)),ABS(G262-F262),"")</f>
        <v>1777.43689998984</v>
      </c>
      <c r="O262" s="4" t="str">
        <f aca="false">IF(AND(ISNUMBER(N262),ISNUMBER(J262)),IF(N262&lt;=J262,"PASS","FAIL"),"n/a")</f>
        <v>PASS</v>
      </c>
    </row>
    <row r="263" customFormat="false" ht="23.85" hidden="false" customHeight="false" outlineLevel="0" collapsed="false">
      <c r="A263" s="7" t="s">
        <v>685</v>
      </c>
      <c r="B263" s="7" t="s">
        <v>437</v>
      </c>
      <c r="C263" s="7" t="s">
        <v>686</v>
      </c>
      <c r="D263" s="7" t="s">
        <v>642</v>
      </c>
      <c r="E263" s="7"/>
      <c r="F263" s="12" t="n">
        <v>168895795.6615</v>
      </c>
      <c r="G263" s="12" t="n">
        <v>168900000</v>
      </c>
      <c r="H263" s="7" t="n">
        <v>4204.33850002289</v>
      </c>
      <c r="I263" s="7" t="n">
        <v>2.48930915275665E-005</v>
      </c>
      <c r="J263" s="7" t="n">
        <v>5000</v>
      </c>
      <c r="K263" s="9" t="s">
        <v>4</v>
      </c>
      <c r="L263" s="7"/>
      <c r="M263" s="7"/>
      <c r="N263" s="10" t="n">
        <f aca="false">IF(AND(ISNUMBER(F263),ISNUMBER(G263)),ABS(G263-F263),"")</f>
        <v>4204.33849999309</v>
      </c>
      <c r="O263" s="4" t="str">
        <f aca="false">IF(AND(ISNUMBER(N263),ISNUMBER(J263)),IF(N263&lt;=J263,"PASS","FAIL"),"n/a")</f>
        <v>PASS</v>
      </c>
    </row>
    <row r="264" customFormat="false" ht="23.85" hidden="false" customHeight="false" outlineLevel="0" collapsed="false">
      <c r="A264" s="7" t="s">
        <v>687</v>
      </c>
      <c r="B264" s="7" t="s">
        <v>437</v>
      </c>
      <c r="C264" s="7" t="s">
        <v>688</v>
      </c>
      <c r="D264" s="7" t="s">
        <v>642</v>
      </c>
      <c r="E264" s="7"/>
      <c r="F264" s="12" t="n">
        <v>25505981.7754</v>
      </c>
      <c r="G264" s="12" t="n">
        <v>25510000</v>
      </c>
      <c r="H264" s="7" t="n">
        <v>4018.22459995747</v>
      </c>
      <c r="I264" s="7" t="n">
        <v>0.000157540479536959</v>
      </c>
      <c r="J264" s="7" t="n">
        <v>5000</v>
      </c>
      <c r="K264" s="9" t="s">
        <v>4</v>
      </c>
      <c r="L264" s="7"/>
      <c r="M264" s="7"/>
      <c r="N264" s="10" t="n">
        <f aca="false">IF(AND(ISNUMBER(F264),ISNUMBER(G264)),ABS(G264-F264),"")</f>
        <v>4018.22459996119</v>
      </c>
      <c r="O264" s="4" t="str">
        <f aca="false">IF(AND(ISNUMBER(N264),ISNUMBER(J264)),IF(N264&lt;=J264,"PASS","FAIL"),"n/a")</f>
        <v>PASS</v>
      </c>
    </row>
    <row r="265" customFormat="false" ht="23.85" hidden="false" customHeight="false" outlineLevel="0" collapsed="false">
      <c r="A265" s="7" t="s">
        <v>689</v>
      </c>
      <c r="B265" s="7" t="s">
        <v>437</v>
      </c>
      <c r="C265" s="7" t="s">
        <v>690</v>
      </c>
      <c r="D265" s="7"/>
      <c r="E265" s="7"/>
      <c r="F265" s="8" t="n">
        <v>0</v>
      </c>
      <c r="G265" s="8" t="n">
        <v>0</v>
      </c>
      <c r="H265" s="7" t="n">
        <v>0</v>
      </c>
      <c r="I265" s="7"/>
      <c r="J265" s="7" t="n">
        <v>0</v>
      </c>
      <c r="K265" s="9" t="s">
        <v>4</v>
      </c>
      <c r="L265" s="7"/>
      <c r="M265" s="7"/>
      <c r="N265" s="10" t="n">
        <f aca="false">IF(AND(ISNUMBER(F265),ISNUMBER(G265)),ABS(G265-F265),"")</f>
        <v>0</v>
      </c>
      <c r="O265" s="4" t="str">
        <f aca="false">IF(AND(ISNUMBER(N265),ISNUMBER(J265)),IF(N265&lt;=J265,"PASS","FAIL"),"n/a")</f>
        <v>PASS</v>
      </c>
    </row>
    <row r="266" customFormat="false" ht="23.85" hidden="false" customHeight="false" outlineLevel="0" collapsed="false">
      <c r="A266" s="7" t="s">
        <v>691</v>
      </c>
      <c r="B266" s="7" t="s">
        <v>437</v>
      </c>
      <c r="C266" s="7" t="s">
        <v>692</v>
      </c>
      <c r="D266" s="7" t="s">
        <v>642</v>
      </c>
      <c r="E266" s="7"/>
      <c r="F266" s="8" t="n">
        <v>58340</v>
      </c>
      <c r="G266" s="8" t="n">
        <v>58340</v>
      </c>
      <c r="H266" s="7" t="n">
        <v>0</v>
      </c>
      <c r="I266" s="7" t="n">
        <v>0</v>
      </c>
      <c r="J266" s="7" t="n">
        <v>0</v>
      </c>
      <c r="K266" s="9" t="s">
        <v>4</v>
      </c>
      <c r="L266" s="7"/>
      <c r="M266" s="7"/>
      <c r="N266" s="10" t="n">
        <f aca="false">IF(AND(ISNUMBER(F266),ISNUMBER(G266)),ABS(G266-F266),"")</f>
        <v>0</v>
      </c>
      <c r="O266" s="4" t="str">
        <f aca="false">IF(AND(ISNUMBER(N266),ISNUMBER(J266)),IF(N266&lt;=J266,"PASS","FAIL"),"n/a")</f>
        <v>PASS</v>
      </c>
    </row>
    <row r="267" customFormat="false" ht="23.85" hidden="false" customHeight="false" outlineLevel="0" collapsed="false">
      <c r="A267" s="7" t="s">
        <v>693</v>
      </c>
      <c r="B267" s="7" t="s">
        <v>437</v>
      </c>
      <c r="C267" s="7" t="s">
        <v>694</v>
      </c>
      <c r="D267" s="7"/>
      <c r="E267" s="7"/>
      <c r="F267" s="8" t="n">
        <v>0</v>
      </c>
      <c r="G267" s="8" t="n">
        <v>0</v>
      </c>
      <c r="H267" s="7" t="n">
        <v>0</v>
      </c>
      <c r="I267" s="7"/>
      <c r="J267" s="7" t="n">
        <v>0</v>
      </c>
      <c r="K267" s="9" t="s">
        <v>4</v>
      </c>
      <c r="L267" s="7"/>
      <c r="M267" s="7"/>
      <c r="N267" s="10" t="n">
        <f aca="false">IF(AND(ISNUMBER(F267),ISNUMBER(G267)),ABS(G267-F267),"")</f>
        <v>0</v>
      </c>
      <c r="O267" s="4" t="str">
        <f aca="false">IF(AND(ISNUMBER(N267),ISNUMBER(J267)),IF(N267&lt;=J267,"PASS","FAIL"),"n/a")</f>
        <v>PASS</v>
      </c>
    </row>
    <row r="268" customFormat="false" ht="23.85" hidden="false" customHeight="false" outlineLevel="0" collapsed="false">
      <c r="A268" s="7" t="s">
        <v>695</v>
      </c>
      <c r="B268" s="7" t="s">
        <v>437</v>
      </c>
      <c r="C268" s="7" t="s">
        <v>696</v>
      </c>
      <c r="D268" s="7"/>
      <c r="E268" s="7"/>
      <c r="F268" s="12" t="n">
        <v>194401777.4369</v>
      </c>
      <c r="G268" s="12" t="n">
        <v>194401777.4369</v>
      </c>
      <c r="H268" s="7" t="n">
        <v>0</v>
      </c>
      <c r="I268" s="7" t="n">
        <v>0</v>
      </c>
      <c r="J268" s="7" t="n">
        <v>0.01</v>
      </c>
      <c r="K268" s="9" t="s">
        <v>4</v>
      </c>
      <c r="L268" s="7"/>
      <c r="M268" s="7"/>
      <c r="N268" s="10" t="n">
        <f aca="false">IF(AND(ISNUMBER(F268),ISNUMBER(G268)),ABS(G268-F268),"")</f>
        <v>0</v>
      </c>
      <c r="O268" s="4" t="str">
        <f aca="false">IF(AND(ISNUMBER(N268),ISNUMBER(J268)),IF(N268&lt;=J268,"PASS","FAIL"),"n/a")</f>
        <v>PASS</v>
      </c>
    </row>
    <row r="269" customFormat="false" ht="23.85" hidden="false" customHeight="false" outlineLevel="0" collapsed="false">
      <c r="A269" s="7" t="s">
        <v>697</v>
      </c>
      <c r="B269" s="7" t="s">
        <v>437</v>
      </c>
      <c r="C269" s="7" t="s">
        <v>698</v>
      </c>
      <c r="D269" s="7"/>
      <c r="E269" s="7"/>
      <c r="F269" s="12" t="n">
        <v>89075371.836</v>
      </c>
      <c r="G269" s="12" t="n">
        <v>89075371.836</v>
      </c>
      <c r="H269" s="7" t="n">
        <v>0</v>
      </c>
      <c r="I269" s="7" t="n">
        <v>0</v>
      </c>
      <c r="J269" s="7" t="n">
        <v>0.01</v>
      </c>
      <c r="K269" s="9" t="s">
        <v>4</v>
      </c>
      <c r="L269" s="7"/>
      <c r="M269" s="7"/>
      <c r="N269" s="10" t="n">
        <f aca="false">IF(AND(ISNUMBER(F269),ISNUMBER(G269)),ABS(G269-F269),"")</f>
        <v>0</v>
      </c>
      <c r="O269" s="4" t="str">
        <f aca="false">IF(AND(ISNUMBER(N269),ISNUMBER(J269)),IF(N269&lt;=J269,"PASS","FAIL"),"n/a")</f>
        <v>PASS</v>
      </c>
    </row>
    <row r="270" customFormat="false" ht="23.85" hidden="false" customHeight="false" outlineLevel="0" collapsed="false">
      <c r="A270" s="7" t="s">
        <v>699</v>
      </c>
      <c r="B270" s="7" t="s">
        <v>437</v>
      </c>
      <c r="C270" s="7" t="s">
        <v>700</v>
      </c>
      <c r="D270" s="7"/>
      <c r="E270" s="7"/>
      <c r="F270" s="12" t="n">
        <v>37678335.421</v>
      </c>
      <c r="G270" s="12" t="n">
        <v>37678335.421</v>
      </c>
      <c r="H270" s="7" t="n">
        <v>0</v>
      </c>
      <c r="I270" s="7" t="n">
        <v>0</v>
      </c>
      <c r="J270" s="7" t="n">
        <v>0.01</v>
      </c>
      <c r="K270" s="9" t="s">
        <v>4</v>
      </c>
      <c r="L270" s="7"/>
      <c r="M270" s="7"/>
      <c r="N270" s="10" t="n">
        <f aca="false">IF(AND(ISNUMBER(F270),ISNUMBER(G270)),ABS(G270-F270),"")</f>
        <v>0</v>
      </c>
      <c r="O270" s="4" t="str">
        <f aca="false">IF(AND(ISNUMBER(N270),ISNUMBER(J270)),IF(N270&lt;=J270,"PASS","FAIL"),"n/a")</f>
        <v>PASS</v>
      </c>
    </row>
    <row r="271" customFormat="false" ht="23.85" hidden="false" customHeight="false" outlineLevel="0" collapsed="false">
      <c r="A271" s="7" t="s">
        <v>701</v>
      </c>
      <c r="B271" s="7" t="s">
        <v>437</v>
      </c>
      <c r="C271" s="7" t="s">
        <v>702</v>
      </c>
      <c r="D271" s="7"/>
      <c r="E271" s="7"/>
      <c r="F271" s="12" t="n">
        <v>42142088.4045</v>
      </c>
      <c r="G271" s="12" t="n">
        <v>42142088.4045</v>
      </c>
      <c r="H271" s="7" t="n">
        <v>0</v>
      </c>
      <c r="I271" s="7" t="n">
        <v>0</v>
      </c>
      <c r="J271" s="7" t="n">
        <v>0.01</v>
      </c>
      <c r="K271" s="9" t="s">
        <v>4</v>
      </c>
      <c r="L271" s="7"/>
      <c r="M271" s="7"/>
      <c r="N271" s="10" t="n">
        <f aca="false">IF(AND(ISNUMBER(F271),ISNUMBER(G271)),ABS(G271-F271),"")</f>
        <v>0</v>
      </c>
      <c r="O271" s="4" t="str">
        <f aca="false">IF(AND(ISNUMBER(N271),ISNUMBER(J271)),IF(N271&lt;=J271,"PASS","FAIL"),"n/a")</f>
        <v>PASS</v>
      </c>
    </row>
    <row r="272" customFormat="false" ht="35.05" hidden="false" customHeight="false" outlineLevel="0" collapsed="false">
      <c r="A272" s="7" t="s">
        <v>703</v>
      </c>
      <c r="B272" s="7" t="s">
        <v>437</v>
      </c>
      <c r="C272" s="7" t="s">
        <v>704</v>
      </c>
      <c r="D272" s="7"/>
      <c r="E272" s="7"/>
      <c r="F272" s="8" t="n">
        <v>1</v>
      </c>
      <c r="G272" s="8" t="n">
        <v>1</v>
      </c>
      <c r="H272" s="7" t="n">
        <v>0</v>
      </c>
      <c r="I272" s="7" t="n">
        <v>0</v>
      </c>
      <c r="J272" s="7" t="n">
        <v>0</v>
      </c>
      <c r="K272" s="9" t="s">
        <v>4</v>
      </c>
      <c r="L272" s="7" t="s">
        <v>705</v>
      </c>
      <c r="M272" s="7"/>
      <c r="N272" s="10" t="n">
        <f aca="false">IF(AND(ISNUMBER(F272),ISNUMBER(G272)),ABS(G272-F272),"")</f>
        <v>0</v>
      </c>
      <c r="O272" s="4" t="str">
        <f aca="false">IF(AND(ISNUMBER(N272),ISNUMBER(J272)),IF(N272&lt;=J272,"PASS","FAIL"),"n/a")</f>
        <v>PASS</v>
      </c>
    </row>
    <row r="273" customFormat="false" ht="23.85" hidden="false" customHeight="false" outlineLevel="0" collapsed="false">
      <c r="A273" s="7" t="s">
        <v>706</v>
      </c>
      <c r="B273" s="7" t="s">
        <v>437</v>
      </c>
      <c r="C273" s="7" t="s">
        <v>707</v>
      </c>
      <c r="D273" s="7"/>
      <c r="E273" s="7"/>
      <c r="F273" s="8" t="n">
        <v>1</v>
      </c>
      <c r="G273" s="8" t="n">
        <v>1</v>
      </c>
      <c r="H273" s="7" t="n">
        <v>0</v>
      </c>
      <c r="I273" s="7" t="n">
        <v>0</v>
      </c>
      <c r="J273" s="7" t="n">
        <v>0</v>
      </c>
      <c r="K273" s="9" t="s">
        <v>4</v>
      </c>
      <c r="L273" s="7" t="s">
        <v>708</v>
      </c>
      <c r="M273" s="7"/>
      <c r="N273" s="10" t="n">
        <f aca="false">IF(AND(ISNUMBER(F273),ISNUMBER(G273)),ABS(G273-F273),"")</f>
        <v>0</v>
      </c>
      <c r="O273" s="4" t="str">
        <f aca="false">IF(AND(ISNUMBER(N273),ISNUMBER(J273)),IF(N273&lt;=J273,"PASS","FAIL"),"n/a")</f>
        <v>PASS</v>
      </c>
    </row>
    <row r="274" customFormat="false" ht="23.85" hidden="false" customHeight="false" outlineLevel="0" collapsed="false">
      <c r="A274" s="7" t="s">
        <v>709</v>
      </c>
      <c r="B274" s="7" t="s">
        <v>437</v>
      </c>
      <c r="C274" s="7" t="s">
        <v>710</v>
      </c>
      <c r="D274" s="7" t="s">
        <v>711</v>
      </c>
      <c r="E274" s="7"/>
      <c r="F274" s="8" t="n">
        <v>9654</v>
      </c>
      <c r="G274" s="8" t="n">
        <v>9654</v>
      </c>
      <c r="H274" s="7" t="n">
        <v>0</v>
      </c>
      <c r="I274" s="7" t="n">
        <v>0</v>
      </c>
      <c r="J274" s="7" t="n">
        <v>0</v>
      </c>
      <c r="K274" s="9" t="s">
        <v>4</v>
      </c>
      <c r="L274" s="7"/>
      <c r="M274" s="7"/>
      <c r="N274" s="10" t="n">
        <f aca="false">IF(AND(ISNUMBER(F274),ISNUMBER(G274)),ABS(G274-F274),"")</f>
        <v>0</v>
      </c>
      <c r="O274" s="4" t="str">
        <f aca="false">IF(AND(ISNUMBER(N274),ISNUMBER(J274)),IF(N274&lt;=J274,"PASS","FAIL"),"n/a")</f>
        <v>PASS</v>
      </c>
    </row>
    <row r="275" customFormat="false" ht="23.85" hidden="false" customHeight="false" outlineLevel="0" collapsed="false">
      <c r="A275" s="7" t="s">
        <v>712</v>
      </c>
      <c r="B275" s="7" t="s">
        <v>437</v>
      </c>
      <c r="C275" s="7" t="s">
        <v>713</v>
      </c>
      <c r="D275" s="7" t="s">
        <v>711</v>
      </c>
      <c r="E275" s="7"/>
      <c r="F275" s="12" t="n">
        <v>55335837.9224</v>
      </c>
      <c r="G275" s="12" t="n">
        <v>55335837.9223999</v>
      </c>
      <c r="H275" s="7" t="n">
        <v>1.26659870147705E-007</v>
      </c>
      <c r="I275" s="7" t="n">
        <v>2.28893019249706E-015</v>
      </c>
      <c r="J275" s="7" t="n">
        <v>0.01</v>
      </c>
      <c r="K275" s="9" t="s">
        <v>4</v>
      </c>
      <c r="L275" s="7"/>
      <c r="M275" s="7"/>
      <c r="N275" s="10" t="n">
        <f aca="false">IF(AND(ISNUMBER(F275),ISNUMBER(G275)),ABS(G275-F275),"")</f>
        <v>0</v>
      </c>
      <c r="O275" s="4" t="str">
        <f aca="false">IF(AND(ISNUMBER(N275),ISNUMBER(J275)),IF(N275&lt;=J275,"PASS","FAIL"),"n/a")</f>
        <v>PASS</v>
      </c>
    </row>
    <row r="276" customFormat="false" ht="23.85" hidden="false" customHeight="false" outlineLevel="0" collapsed="false">
      <c r="A276" s="7" t="s">
        <v>714</v>
      </c>
      <c r="B276" s="7" t="s">
        <v>437</v>
      </c>
      <c r="C276" s="7" t="s">
        <v>715</v>
      </c>
      <c r="D276" s="7" t="s">
        <v>711</v>
      </c>
      <c r="E276" s="7"/>
      <c r="F276" s="12" t="n">
        <v>45522789.5429</v>
      </c>
      <c r="G276" s="12" t="n">
        <v>45522789.5429</v>
      </c>
      <c r="H276" s="7" t="n">
        <v>7.45058059692383E-009</v>
      </c>
      <c r="I276" s="7" t="n">
        <v>1.63667048345148E-016</v>
      </c>
      <c r="J276" s="7" t="n">
        <v>0.01</v>
      </c>
      <c r="K276" s="9" t="s">
        <v>4</v>
      </c>
      <c r="L276" s="7"/>
      <c r="M276" s="7"/>
      <c r="N276" s="10" t="n">
        <f aca="false">IF(AND(ISNUMBER(F276),ISNUMBER(G276)),ABS(G276-F276),"")</f>
        <v>0</v>
      </c>
      <c r="O276" s="4" t="str">
        <f aca="false">IF(AND(ISNUMBER(N276),ISNUMBER(J276)),IF(N276&lt;=J276,"PASS","FAIL"),"n/a")</f>
        <v>PASS</v>
      </c>
    </row>
    <row r="277" customFormat="false" ht="23.85" hidden="false" customHeight="false" outlineLevel="0" collapsed="false">
      <c r="A277" s="7" t="s">
        <v>716</v>
      </c>
      <c r="B277" s="7" t="s">
        <v>437</v>
      </c>
      <c r="C277" s="7" t="s">
        <v>717</v>
      </c>
      <c r="D277" s="7" t="s">
        <v>711</v>
      </c>
      <c r="E277" s="7"/>
      <c r="F277" s="12" t="n">
        <v>9813048.37949999</v>
      </c>
      <c r="G277" s="12" t="n">
        <v>9813048.37949986</v>
      </c>
      <c r="H277" s="7" t="n">
        <v>1.34110450744629E-007</v>
      </c>
      <c r="I277" s="7" t="n">
        <v>1.36665433164268E-014</v>
      </c>
      <c r="J277" s="7" t="n">
        <v>0.01</v>
      </c>
      <c r="K277" s="9" t="s">
        <v>4</v>
      </c>
      <c r="L277" s="7"/>
      <c r="M277" s="7"/>
      <c r="N277" s="10" t="n">
        <f aca="false">IF(AND(ISNUMBER(F277),ISNUMBER(G277)),ABS(G277-F277),"")</f>
        <v>1.34110450744629E-007</v>
      </c>
      <c r="O277" s="4" t="str">
        <f aca="false">IF(AND(ISNUMBER(N277),ISNUMBER(J277)),IF(N277&lt;=J277,"PASS","FAIL"),"n/a")</f>
        <v>PASS</v>
      </c>
    </row>
    <row r="278" customFormat="false" ht="23.85" hidden="false" customHeight="false" outlineLevel="0" collapsed="false">
      <c r="A278" s="7" t="s">
        <v>718</v>
      </c>
      <c r="B278" s="7" t="s">
        <v>437</v>
      </c>
      <c r="C278" s="7" t="s">
        <v>719</v>
      </c>
      <c r="D278" s="7" t="s">
        <v>711</v>
      </c>
      <c r="E278" s="7"/>
      <c r="F278" s="12" t="n">
        <v>55335837.9224</v>
      </c>
      <c r="G278" s="12" t="n">
        <v>55335837.9223999</v>
      </c>
      <c r="H278" s="7" t="n">
        <v>1.26659870147705E-007</v>
      </c>
      <c r="I278" s="7" t="n">
        <v>2.28893019249706E-015</v>
      </c>
      <c r="J278" s="7" t="n">
        <v>0.01</v>
      </c>
      <c r="K278" s="9" t="s">
        <v>4</v>
      </c>
      <c r="L278" s="7"/>
      <c r="M278" s="7"/>
      <c r="N278" s="10" t="n">
        <f aca="false">IF(AND(ISNUMBER(F278),ISNUMBER(G278)),ABS(G278-F278),"")</f>
        <v>0</v>
      </c>
      <c r="O278" s="4" t="str">
        <f aca="false">IF(AND(ISNUMBER(N278),ISNUMBER(J278)),IF(N278&lt;=J278,"PASS","FAIL"),"n/a")</f>
        <v>PASS</v>
      </c>
    </row>
    <row r="279" customFormat="false" ht="23.85" hidden="false" customHeight="false" outlineLevel="0" collapsed="false">
      <c r="A279" s="7" t="s">
        <v>720</v>
      </c>
      <c r="B279" s="7" t="s">
        <v>437</v>
      </c>
      <c r="C279" s="7" t="s">
        <v>721</v>
      </c>
      <c r="D279" s="7" t="s">
        <v>711</v>
      </c>
      <c r="E279" s="7"/>
      <c r="F279" s="12" t="n">
        <v>24003521.9475</v>
      </c>
      <c r="G279" s="12" t="n">
        <v>24003521.9475</v>
      </c>
      <c r="H279" s="7" t="n">
        <v>0</v>
      </c>
      <c r="I279" s="7" t="n">
        <v>0</v>
      </c>
      <c r="J279" s="7" t="n">
        <v>0.01</v>
      </c>
      <c r="K279" s="9" t="s">
        <v>4</v>
      </c>
      <c r="L279" s="7"/>
      <c r="M279" s="7"/>
      <c r="N279" s="10" t="n">
        <f aca="false">IF(AND(ISNUMBER(F279),ISNUMBER(G279)),ABS(G279-F279),"")</f>
        <v>0</v>
      </c>
      <c r="O279" s="4" t="str">
        <f aca="false">IF(AND(ISNUMBER(N279),ISNUMBER(J279)),IF(N279&lt;=J279,"PASS","FAIL"),"n/a")</f>
        <v>PASS</v>
      </c>
    </row>
    <row r="280" customFormat="false" ht="23.85" hidden="false" customHeight="false" outlineLevel="0" collapsed="false">
      <c r="A280" s="7" t="s">
        <v>722</v>
      </c>
      <c r="B280" s="7" t="s">
        <v>437</v>
      </c>
      <c r="C280" s="7" t="s">
        <v>723</v>
      </c>
      <c r="D280" s="7" t="s">
        <v>711</v>
      </c>
      <c r="E280" s="7"/>
      <c r="F280" s="12" t="n">
        <v>9714315.6045</v>
      </c>
      <c r="G280" s="12" t="n">
        <v>9714315.60450001</v>
      </c>
      <c r="H280" s="7" t="n">
        <v>5.58793544769287E-009</v>
      </c>
      <c r="I280" s="7" t="n">
        <v>5.75226879092167E-016</v>
      </c>
      <c r="J280" s="7" t="n">
        <v>0.01</v>
      </c>
      <c r="K280" s="9" t="s">
        <v>4</v>
      </c>
      <c r="L280" s="7"/>
      <c r="M280" s="7"/>
      <c r="N280" s="10" t="n">
        <f aca="false">IF(AND(ISNUMBER(F280),ISNUMBER(G280)),ABS(G280-F280),"")</f>
        <v>0</v>
      </c>
      <c r="O280" s="4" t="str">
        <f aca="false">IF(AND(ISNUMBER(N280),ISNUMBER(J280)),IF(N280&lt;=J280,"PASS","FAIL"),"n/a")</f>
        <v>PASS</v>
      </c>
    </row>
    <row r="281" customFormat="false" ht="23.85" hidden="false" customHeight="false" outlineLevel="0" collapsed="false">
      <c r="A281" s="7" t="s">
        <v>724</v>
      </c>
      <c r="B281" s="7" t="s">
        <v>437</v>
      </c>
      <c r="C281" s="7" t="s">
        <v>725</v>
      </c>
      <c r="D281" s="7" t="s">
        <v>711</v>
      </c>
      <c r="E281" s="7"/>
      <c r="F281" s="12" t="n">
        <v>11804951.9909</v>
      </c>
      <c r="G281" s="12" t="n">
        <v>11804951.9909</v>
      </c>
      <c r="H281" s="7" t="n">
        <v>5.58793544769287E-009</v>
      </c>
      <c r="I281" s="7" t="n">
        <v>4.73355203138514E-016</v>
      </c>
      <c r="J281" s="7" t="n">
        <v>0.01</v>
      </c>
      <c r="K281" s="9" t="s">
        <v>4</v>
      </c>
      <c r="L281" s="7"/>
      <c r="M281" s="7"/>
      <c r="N281" s="10" t="n">
        <f aca="false">IF(AND(ISNUMBER(F281),ISNUMBER(G281)),ABS(G281-F281),"")</f>
        <v>0</v>
      </c>
      <c r="O281" s="4" t="str">
        <f aca="false">IF(AND(ISNUMBER(N281),ISNUMBER(J281)),IF(N281&lt;=J281,"PASS","FAIL"),"n/a")</f>
        <v>PASS</v>
      </c>
    </row>
    <row r="282" customFormat="false" ht="23.85" hidden="false" customHeight="false" outlineLevel="0" collapsed="false">
      <c r="A282" s="7" t="s">
        <v>726</v>
      </c>
      <c r="B282" s="7" t="s">
        <v>437</v>
      </c>
      <c r="C282" s="7" t="s">
        <v>727</v>
      </c>
      <c r="D282" s="7" t="s">
        <v>711</v>
      </c>
      <c r="E282" s="7"/>
      <c r="F282" s="12" t="n">
        <v>543748.2261</v>
      </c>
      <c r="G282" s="12" t="n">
        <v>543748.2261</v>
      </c>
      <c r="H282" s="7" t="n">
        <v>0</v>
      </c>
      <c r="I282" s="7" t="n">
        <v>0</v>
      </c>
      <c r="J282" s="7" t="n">
        <v>0.01</v>
      </c>
      <c r="K282" s="9" t="s">
        <v>4</v>
      </c>
      <c r="L282" s="7"/>
      <c r="M282" s="7"/>
      <c r="N282" s="10" t="n">
        <f aca="false">IF(AND(ISNUMBER(F282),ISNUMBER(G282)),ABS(G282-F282),"")</f>
        <v>0</v>
      </c>
      <c r="O282" s="4" t="str">
        <f aca="false">IF(AND(ISNUMBER(N282),ISNUMBER(J282)),IF(N282&lt;=J282,"PASS","FAIL"),"n/a")</f>
        <v>PASS</v>
      </c>
    </row>
    <row r="283" customFormat="false" ht="23.85" hidden="false" customHeight="false" outlineLevel="0" collapsed="false">
      <c r="A283" s="7" t="s">
        <v>728</v>
      </c>
      <c r="B283" s="7" t="s">
        <v>437</v>
      </c>
      <c r="C283" s="7" t="s">
        <v>729</v>
      </c>
      <c r="D283" s="7" t="s">
        <v>711</v>
      </c>
      <c r="E283" s="7"/>
      <c r="F283" s="12" t="n">
        <v>143742.3649</v>
      </c>
      <c r="G283" s="12" t="n">
        <v>143742.3649</v>
      </c>
      <c r="H283" s="7" t="n">
        <v>8.73114913702011E-011</v>
      </c>
      <c r="I283" s="7" t="n">
        <v>6.07416549956881E-016</v>
      </c>
      <c r="J283" s="7" t="n">
        <v>0.01</v>
      </c>
      <c r="K283" s="9" t="s">
        <v>4</v>
      </c>
      <c r="L283" s="7"/>
      <c r="M283" s="7"/>
      <c r="N283" s="10" t="n">
        <f aca="false">IF(AND(ISNUMBER(F283),ISNUMBER(G283)),ABS(G283-F283),"")</f>
        <v>0</v>
      </c>
      <c r="O283" s="4" t="str">
        <f aca="false">IF(AND(ISNUMBER(N283),ISNUMBER(J283)),IF(N283&lt;=J283,"PASS","FAIL"),"n/a")</f>
        <v>PASS</v>
      </c>
    </row>
    <row r="284" customFormat="false" ht="23.85" hidden="false" customHeight="false" outlineLevel="0" collapsed="false">
      <c r="A284" s="7" t="s">
        <v>730</v>
      </c>
      <c r="B284" s="7" t="s">
        <v>437</v>
      </c>
      <c r="C284" s="7" t="s">
        <v>731</v>
      </c>
      <c r="D284" s="7" t="s">
        <v>711</v>
      </c>
      <c r="E284" s="7"/>
      <c r="F284" s="12" t="n">
        <v>894765.4571</v>
      </c>
      <c r="G284" s="12" t="n">
        <v>894765.4571</v>
      </c>
      <c r="H284" s="7" t="n">
        <v>2.3283064365387E-010</v>
      </c>
      <c r="I284" s="7" t="n">
        <v>2.60214162053697E-016</v>
      </c>
      <c r="J284" s="7" t="n">
        <v>0.01</v>
      </c>
      <c r="K284" s="9" t="s">
        <v>4</v>
      </c>
      <c r="L284" s="7"/>
      <c r="M284" s="7"/>
      <c r="N284" s="10" t="n">
        <f aca="false">IF(AND(ISNUMBER(F284),ISNUMBER(G284)),ABS(G284-F284),"")</f>
        <v>0</v>
      </c>
      <c r="O284" s="4" t="str">
        <f aca="false">IF(AND(ISNUMBER(N284),ISNUMBER(J284)),IF(N284&lt;=J284,"PASS","FAIL"),"n/a")</f>
        <v>PASS</v>
      </c>
    </row>
    <row r="285" customFormat="false" ht="91" hidden="false" customHeight="false" outlineLevel="0" collapsed="false">
      <c r="A285" s="7" t="s">
        <v>732</v>
      </c>
      <c r="B285" s="7" t="s">
        <v>437</v>
      </c>
      <c r="C285" s="7" t="s">
        <v>733</v>
      </c>
      <c r="D285" s="7" t="s">
        <v>711</v>
      </c>
      <c r="E285" s="7" t="s">
        <v>466</v>
      </c>
      <c r="F285" s="7" t="s">
        <v>734</v>
      </c>
      <c r="G285" s="7" t="s">
        <v>735</v>
      </c>
      <c r="H285" s="7"/>
      <c r="I285" s="7"/>
      <c r="J285" s="7" t="s">
        <v>389</v>
      </c>
      <c r="K285" s="9" t="s">
        <v>4</v>
      </c>
      <c r="L285" s="7"/>
      <c r="M285" s="7"/>
      <c r="N285" s="10" t="str">
        <f aca="false">IF(AND(ISNUMBER(F285),ISNUMBER(G285)),ABS(G285-F285),"")</f>
        <v/>
      </c>
      <c r="O285" s="4" t="str">
        <f aca="false">IF(AND(ISNUMBER(N285),ISNUMBER(J285)),IF(N285&lt;=J285,"PASS","FAIL"),"n/a")</f>
        <v>n/a</v>
      </c>
    </row>
    <row r="286" customFormat="false" ht="91" hidden="false" customHeight="false" outlineLevel="0" collapsed="false">
      <c r="A286" s="7" t="s">
        <v>736</v>
      </c>
      <c r="B286" s="7" t="s">
        <v>437</v>
      </c>
      <c r="C286" s="7" t="s">
        <v>737</v>
      </c>
      <c r="D286" s="7" t="s">
        <v>711</v>
      </c>
      <c r="E286" s="7" t="s">
        <v>466</v>
      </c>
      <c r="F286" s="7" t="s">
        <v>738</v>
      </c>
      <c r="G286" s="7" t="s">
        <v>739</v>
      </c>
      <c r="H286" s="7"/>
      <c r="I286" s="7"/>
      <c r="J286" s="7" t="s">
        <v>389</v>
      </c>
      <c r="K286" s="9" t="s">
        <v>4</v>
      </c>
      <c r="L286" s="7"/>
      <c r="M286" s="7"/>
      <c r="N286" s="10" t="str">
        <f aca="false">IF(AND(ISNUMBER(F286),ISNUMBER(G286)),ABS(G286-F286),"")</f>
        <v/>
      </c>
      <c r="O286" s="4" t="str">
        <f aca="false">IF(AND(ISNUMBER(N286),ISNUMBER(J286)),IF(N286&lt;=J286,"PASS","FAIL"),"n/a")</f>
        <v>n/a</v>
      </c>
    </row>
    <row r="287" customFormat="false" ht="68.65" hidden="false" customHeight="false" outlineLevel="0" collapsed="false">
      <c r="A287" s="7" t="s">
        <v>740</v>
      </c>
      <c r="B287" s="7" t="s">
        <v>437</v>
      </c>
      <c r="C287" s="7" t="s">
        <v>741</v>
      </c>
      <c r="D287" s="7" t="s">
        <v>711</v>
      </c>
      <c r="E287" s="7" t="s">
        <v>466</v>
      </c>
      <c r="F287" s="7" t="s">
        <v>742</v>
      </c>
      <c r="G287" s="7" t="s">
        <v>743</v>
      </c>
      <c r="H287" s="7"/>
      <c r="I287" s="7"/>
      <c r="J287" s="7" t="s">
        <v>389</v>
      </c>
      <c r="K287" s="9" t="s">
        <v>4</v>
      </c>
      <c r="L287" s="7"/>
      <c r="M287" s="7"/>
      <c r="N287" s="10" t="str">
        <f aca="false">IF(AND(ISNUMBER(F287),ISNUMBER(G287)),ABS(G287-F287),"")</f>
        <v/>
      </c>
      <c r="O287" s="4" t="str">
        <f aca="false">IF(AND(ISNUMBER(N287),ISNUMBER(J287)),IF(N287&lt;=J287,"PASS","FAIL"),"n/a")</f>
        <v>n/a</v>
      </c>
    </row>
    <row r="288" customFormat="false" ht="91" hidden="false" customHeight="false" outlineLevel="0" collapsed="false">
      <c r="A288" s="7" t="s">
        <v>744</v>
      </c>
      <c r="B288" s="7" t="s">
        <v>437</v>
      </c>
      <c r="C288" s="7" t="s">
        <v>745</v>
      </c>
      <c r="D288" s="7" t="s">
        <v>711</v>
      </c>
      <c r="E288" s="7" t="s">
        <v>466</v>
      </c>
      <c r="F288" s="7" t="s">
        <v>746</v>
      </c>
      <c r="G288" s="7" t="s">
        <v>747</v>
      </c>
      <c r="H288" s="7"/>
      <c r="I288" s="7"/>
      <c r="J288" s="7" t="s">
        <v>389</v>
      </c>
      <c r="K288" s="9" t="s">
        <v>4</v>
      </c>
      <c r="L288" s="7"/>
      <c r="M288" s="7"/>
      <c r="N288" s="10" t="str">
        <f aca="false">IF(AND(ISNUMBER(F288),ISNUMBER(G288)),ABS(G288-F288),"")</f>
        <v/>
      </c>
      <c r="O288" s="4" t="str">
        <f aca="false">IF(AND(ISNUMBER(N288),ISNUMBER(J288)),IF(N288&lt;=J288,"PASS","FAIL"),"n/a")</f>
        <v>n/a</v>
      </c>
    </row>
    <row r="289" customFormat="false" ht="57.45" hidden="false" customHeight="false" outlineLevel="0" collapsed="false">
      <c r="A289" s="7" t="s">
        <v>748</v>
      </c>
      <c r="B289" s="7" t="s">
        <v>437</v>
      </c>
      <c r="C289" s="7" t="s">
        <v>749</v>
      </c>
      <c r="D289" s="7" t="s">
        <v>711</v>
      </c>
      <c r="E289" s="7"/>
      <c r="F289" s="7" t="s">
        <v>750</v>
      </c>
      <c r="G289" s="7" t="s">
        <v>750</v>
      </c>
      <c r="H289" s="7"/>
      <c r="I289" s="7"/>
      <c r="J289" s="7"/>
      <c r="K289" s="9" t="s">
        <v>4</v>
      </c>
      <c r="L289" s="7"/>
      <c r="M289" s="7"/>
      <c r="N289" s="10" t="str">
        <f aca="false">IF(AND(ISNUMBER(F289),ISNUMBER(G289)),ABS(G289-F289),"")</f>
        <v/>
      </c>
      <c r="O289" s="4" t="str">
        <f aca="false">IF(AND(ISNUMBER(N289),ISNUMBER(J289)),IF(N289&lt;=J289,"PASS","FAIL"),"n/a")</f>
        <v>n/a</v>
      </c>
    </row>
    <row r="290" customFormat="false" ht="23.85" hidden="false" customHeight="false" outlineLevel="0" collapsed="false">
      <c r="A290" s="7" t="s">
        <v>751</v>
      </c>
      <c r="B290" s="7" t="s">
        <v>437</v>
      </c>
      <c r="C290" s="7" t="s">
        <v>752</v>
      </c>
      <c r="D290" s="7" t="s">
        <v>711</v>
      </c>
      <c r="E290" s="7"/>
      <c r="F290" s="8" t="n">
        <v>55335838</v>
      </c>
      <c r="G290" s="12" t="n">
        <v>55335838</v>
      </c>
      <c r="H290" s="7" t="n">
        <v>0</v>
      </c>
      <c r="I290" s="7" t="n">
        <v>0</v>
      </c>
      <c r="J290" s="7" t="n">
        <v>0.5</v>
      </c>
      <c r="K290" s="9" t="s">
        <v>4</v>
      </c>
      <c r="L290" s="7"/>
      <c r="M290" s="7"/>
      <c r="N290" s="10" t="n">
        <f aca="false">IF(AND(ISNUMBER(F290),ISNUMBER(G290)),ABS(G290-F290),"")</f>
        <v>0</v>
      </c>
      <c r="O290" s="4" t="str">
        <f aca="false">IF(AND(ISNUMBER(N290),ISNUMBER(J290)),IF(N290&lt;=J290,"PASS","FAIL"),"n/a")</f>
        <v>PASS</v>
      </c>
    </row>
    <row r="291" customFormat="false" ht="23.85" hidden="false" customHeight="false" outlineLevel="0" collapsed="false">
      <c r="A291" s="7" t="s">
        <v>753</v>
      </c>
      <c r="B291" s="7" t="s">
        <v>437</v>
      </c>
      <c r="C291" s="7" t="s">
        <v>754</v>
      </c>
      <c r="D291" s="7" t="s">
        <v>711</v>
      </c>
      <c r="E291" s="7"/>
      <c r="F291" s="12" t="n">
        <v>55335837.9224</v>
      </c>
      <c r="G291" s="12" t="n">
        <v>55340000</v>
      </c>
      <c r="H291" s="7" t="n">
        <v>4162.07760000229</v>
      </c>
      <c r="I291" s="7" t="n">
        <v>7.52148653796291E-005</v>
      </c>
      <c r="J291" s="7" t="n">
        <v>5000</v>
      </c>
      <c r="K291" s="9" t="s">
        <v>4</v>
      </c>
      <c r="L291" s="7"/>
      <c r="M291" s="7"/>
      <c r="N291" s="10" t="n">
        <f aca="false">IF(AND(ISNUMBER(F291),ISNUMBER(G291)),ABS(G291-F291),"")</f>
        <v>4162.07760000229</v>
      </c>
      <c r="O291" s="4" t="str">
        <f aca="false">IF(AND(ISNUMBER(N291),ISNUMBER(J291)),IF(N291&lt;=J291,"PASS","FAIL"),"n/a")</f>
        <v>PASS</v>
      </c>
    </row>
    <row r="292" customFormat="false" ht="23.85" hidden="false" customHeight="false" outlineLevel="0" collapsed="false">
      <c r="A292" s="7" t="s">
        <v>755</v>
      </c>
      <c r="B292" s="7" t="s">
        <v>437</v>
      </c>
      <c r="C292" s="7" t="s">
        <v>756</v>
      </c>
      <c r="D292" s="7" t="s">
        <v>711</v>
      </c>
      <c r="E292" s="7"/>
      <c r="F292" s="12" t="n">
        <v>45522789.5429</v>
      </c>
      <c r="G292" s="12" t="n">
        <v>45520000</v>
      </c>
      <c r="H292" s="7" t="n">
        <v>2789.54290000349</v>
      </c>
      <c r="I292" s="7" t="n">
        <v>6.12779429383313E-005</v>
      </c>
      <c r="J292" s="7" t="n">
        <v>5000</v>
      </c>
      <c r="K292" s="9" t="s">
        <v>4</v>
      </c>
      <c r="L292" s="7"/>
      <c r="M292" s="7"/>
      <c r="N292" s="10" t="n">
        <f aca="false">IF(AND(ISNUMBER(F292),ISNUMBER(G292)),ABS(G292-F292),"")</f>
        <v>2789.54290000349</v>
      </c>
      <c r="O292" s="4" t="str">
        <f aca="false">IF(AND(ISNUMBER(N292),ISNUMBER(J292)),IF(N292&lt;=J292,"PASS","FAIL"),"n/a")</f>
        <v>PASS</v>
      </c>
    </row>
    <row r="293" customFormat="false" ht="23.85" hidden="false" customHeight="false" outlineLevel="0" collapsed="false">
      <c r="A293" s="7" t="s">
        <v>757</v>
      </c>
      <c r="B293" s="7" t="s">
        <v>437</v>
      </c>
      <c r="C293" s="7" t="s">
        <v>758</v>
      </c>
      <c r="D293" s="7" t="s">
        <v>711</v>
      </c>
      <c r="E293" s="7"/>
      <c r="F293" s="12" t="n">
        <v>9813048.37949999</v>
      </c>
      <c r="G293" s="12" t="n">
        <v>9810000</v>
      </c>
      <c r="H293" s="7" t="n">
        <v>3048.37949999422</v>
      </c>
      <c r="I293" s="7" t="n">
        <v>0.000310645518304226</v>
      </c>
      <c r="J293" s="7" t="n">
        <v>5000</v>
      </c>
      <c r="K293" s="9" t="s">
        <v>4</v>
      </c>
      <c r="L293" s="7"/>
      <c r="M293" s="7"/>
      <c r="N293" s="10" t="n">
        <f aca="false">IF(AND(ISNUMBER(F293),ISNUMBER(G293)),ABS(G293-F293),"")</f>
        <v>3048.37949999422</v>
      </c>
      <c r="O293" s="4" t="str">
        <f aca="false">IF(AND(ISNUMBER(N293),ISNUMBER(J293)),IF(N293&lt;=J293,"PASS","FAIL"),"n/a")</f>
        <v>PASS</v>
      </c>
    </row>
    <row r="294" customFormat="false" ht="23.85" hidden="false" customHeight="false" outlineLevel="0" collapsed="false">
      <c r="A294" s="7" t="s">
        <v>759</v>
      </c>
      <c r="B294" s="7" t="s">
        <v>437</v>
      </c>
      <c r="C294" s="7" t="s">
        <v>760</v>
      </c>
      <c r="D294" s="7"/>
      <c r="E294" s="7"/>
      <c r="F294" s="8" t="n">
        <v>0</v>
      </c>
      <c r="G294" s="8" t="n">
        <v>0</v>
      </c>
      <c r="H294" s="7" t="n">
        <v>0</v>
      </c>
      <c r="I294" s="7"/>
      <c r="J294" s="7" t="n">
        <v>0</v>
      </c>
      <c r="K294" s="9" t="s">
        <v>4</v>
      </c>
      <c r="L294" s="7"/>
      <c r="M294" s="7"/>
      <c r="N294" s="10" t="n">
        <f aca="false">IF(AND(ISNUMBER(F294),ISNUMBER(G294)),ABS(G294-F294),"")</f>
        <v>0</v>
      </c>
      <c r="O294" s="4" t="str">
        <f aca="false">IF(AND(ISNUMBER(N294),ISNUMBER(J294)),IF(N294&lt;=J294,"PASS","FAIL"),"n/a")</f>
        <v>PASS</v>
      </c>
    </row>
    <row r="295" customFormat="false" ht="23.85" hidden="false" customHeight="false" outlineLevel="0" collapsed="false">
      <c r="A295" s="7" t="s">
        <v>761</v>
      </c>
      <c r="B295" s="7" t="s">
        <v>437</v>
      </c>
      <c r="C295" s="7" t="s">
        <v>762</v>
      </c>
      <c r="D295" s="7" t="s">
        <v>711</v>
      </c>
      <c r="E295" s="7"/>
      <c r="F295" s="8" t="n">
        <v>9654</v>
      </c>
      <c r="G295" s="8" t="n">
        <v>9654</v>
      </c>
      <c r="H295" s="7" t="n">
        <v>0</v>
      </c>
      <c r="I295" s="7" t="n">
        <v>0</v>
      </c>
      <c r="J295" s="7" t="n">
        <v>0</v>
      </c>
      <c r="K295" s="9" t="s">
        <v>4</v>
      </c>
      <c r="L295" s="7"/>
      <c r="M295" s="7"/>
      <c r="N295" s="10" t="n">
        <f aca="false">IF(AND(ISNUMBER(F295),ISNUMBER(G295)),ABS(G295-F295),"")</f>
        <v>0</v>
      </c>
      <c r="O295" s="4" t="str">
        <f aca="false">IF(AND(ISNUMBER(N295),ISNUMBER(J295)),IF(N295&lt;=J295,"PASS","FAIL"),"n/a")</f>
        <v>PASS</v>
      </c>
    </row>
    <row r="296" customFormat="false" ht="23.85" hidden="false" customHeight="false" outlineLevel="0" collapsed="false">
      <c r="A296" s="7" t="s">
        <v>763</v>
      </c>
      <c r="B296" s="7" t="s">
        <v>437</v>
      </c>
      <c r="C296" s="7" t="s">
        <v>764</v>
      </c>
      <c r="D296" s="7"/>
      <c r="E296" s="7"/>
      <c r="F296" s="8" t="n">
        <v>0</v>
      </c>
      <c r="G296" s="8" t="n">
        <v>0</v>
      </c>
      <c r="H296" s="7" t="n">
        <v>0</v>
      </c>
      <c r="I296" s="7"/>
      <c r="J296" s="7" t="n">
        <v>0</v>
      </c>
      <c r="K296" s="9" t="s">
        <v>4</v>
      </c>
      <c r="L296" s="7"/>
      <c r="M296" s="7"/>
      <c r="N296" s="10" t="n">
        <f aca="false">IF(AND(ISNUMBER(F296),ISNUMBER(G296)),ABS(G296-F296),"")</f>
        <v>0</v>
      </c>
      <c r="O296" s="4" t="str">
        <f aca="false">IF(AND(ISNUMBER(N296),ISNUMBER(J296)),IF(N296&lt;=J296,"PASS","FAIL"),"n/a")</f>
        <v>PASS</v>
      </c>
    </row>
    <row r="297" customFormat="false" ht="23.85" hidden="false" customHeight="false" outlineLevel="0" collapsed="false">
      <c r="A297" s="7" t="s">
        <v>765</v>
      </c>
      <c r="B297" s="7" t="s">
        <v>437</v>
      </c>
      <c r="C297" s="7" t="s">
        <v>766</v>
      </c>
      <c r="D297" s="7"/>
      <c r="E297" s="7"/>
      <c r="F297" s="12" t="n">
        <v>55335837.9224</v>
      </c>
      <c r="G297" s="12" t="n">
        <v>55335837.9224</v>
      </c>
      <c r="H297" s="7" t="n">
        <v>0</v>
      </c>
      <c r="I297" s="7" t="n">
        <v>0</v>
      </c>
      <c r="J297" s="7" t="n">
        <v>0.01</v>
      </c>
      <c r="K297" s="9" t="s">
        <v>4</v>
      </c>
      <c r="L297" s="7"/>
      <c r="M297" s="7"/>
      <c r="N297" s="10" t="n">
        <f aca="false">IF(AND(ISNUMBER(F297),ISNUMBER(G297)),ABS(G297-F297),"")</f>
        <v>0</v>
      </c>
      <c r="O297" s="4" t="str">
        <f aca="false">IF(AND(ISNUMBER(N297),ISNUMBER(J297)),IF(N297&lt;=J297,"PASS","FAIL"),"n/a")</f>
        <v>PASS</v>
      </c>
    </row>
    <row r="298" customFormat="false" ht="23.85" hidden="false" customHeight="false" outlineLevel="0" collapsed="false">
      <c r="A298" s="7" t="s">
        <v>767</v>
      </c>
      <c r="B298" s="7" t="s">
        <v>437</v>
      </c>
      <c r="C298" s="7" t="s">
        <v>768</v>
      </c>
      <c r="D298" s="7"/>
      <c r="E298" s="7"/>
      <c r="F298" s="12" t="n">
        <v>24003521.9475</v>
      </c>
      <c r="G298" s="12" t="n">
        <v>24003521.9475</v>
      </c>
      <c r="H298" s="7" t="n">
        <v>0</v>
      </c>
      <c r="I298" s="7" t="n">
        <v>0</v>
      </c>
      <c r="J298" s="7" t="n">
        <v>0.01</v>
      </c>
      <c r="K298" s="9" t="s">
        <v>4</v>
      </c>
      <c r="L298" s="7"/>
      <c r="M298" s="7"/>
      <c r="N298" s="10" t="n">
        <f aca="false">IF(AND(ISNUMBER(F298),ISNUMBER(G298)),ABS(G298-F298),"")</f>
        <v>0</v>
      </c>
      <c r="O298" s="4" t="str">
        <f aca="false">IF(AND(ISNUMBER(N298),ISNUMBER(J298)),IF(N298&lt;=J298,"PASS","FAIL"),"n/a")</f>
        <v>PASS</v>
      </c>
    </row>
    <row r="299" customFormat="false" ht="23.85" hidden="false" customHeight="false" outlineLevel="0" collapsed="false">
      <c r="A299" s="7" t="s">
        <v>769</v>
      </c>
      <c r="B299" s="7" t="s">
        <v>437</v>
      </c>
      <c r="C299" s="7" t="s">
        <v>770</v>
      </c>
      <c r="D299" s="7"/>
      <c r="E299" s="7"/>
      <c r="F299" s="12" t="n">
        <v>9714315.6045</v>
      </c>
      <c r="G299" s="12" t="n">
        <v>9714315.6045</v>
      </c>
      <c r="H299" s="7" t="n">
        <v>0</v>
      </c>
      <c r="I299" s="7" t="n">
        <v>0</v>
      </c>
      <c r="J299" s="7" t="n">
        <v>0.01</v>
      </c>
      <c r="K299" s="9" t="s">
        <v>4</v>
      </c>
      <c r="L299" s="7"/>
      <c r="M299" s="7"/>
      <c r="N299" s="10" t="n">
        <f aca="false">IF(AND(ISNUMBER(F299),ISNUMBER(G299)),ABS(G299-F299),"")</f>
        <v>0</v>
      </c>
      <c r="O299" s="4" t="str">
        <f aca="false">IF(AND(ISNUMBER(N299),ISNUMBER(J299)),IF(N299&lt;=J299,"PASS","FAIL"),"n/a")</f>
        <v>PASS</v>
      </c>
    </row>
    <row r="300" customFormat="false" ht="23.85" hidden="false" customHeight="false" outlineLevel="0" collapsed="false">
      <c r="A300" s="7" t="s">
        <v>771</v>
      </c>
      <c r="B300" s="7" t="s">
        <v>437</v>
      </c>
      <c r="C300" s="7" t="s">
        <v>772</v>
      </c>
      <c r="D300" s="7"/>
      <c r="E300" s="7"/>
      <c r="F300" s="12" t="n">
        <v>11804951.9909</v>
      </c>
      <c r="G300" s="12" t="n">
        <v>11804951.9909</v>
      </c>
      <c r="H300" s="7" t="n">
        <v>0</v>
      </c>
      <c r="I300" s="7" t="n">
        <v>0</v>
      </c>
      <c r="J300" s="7" t="n">
        <v>0.01</v>
      </c>
      <c r="K300" s="9" t="s">
        <v>4</v>
      </c>
      <c r="L300" s="7"/>
      <c r="M300" s="7"/>
      <c r="N300" s="10" t="n">
        <f aca="false">IF(AND(ISNUMBER(F300),ISNUMBER(G300)),ABS(G300-F300),"")</f>
        <v>0</v>
      </c>
      <c r="O300" s="4" t="str">
        <f aca="false">IF(AND(ISNUMBER(N300),ISNUMBER(J300)),IF(N300&lt;=J300,"PASS","FAIL"),"n/a")</f>
        <v>PASS</v>
      </c>
    </row>
    <row r="301" customFormat="false" ht="23.85" hidden="false" customHeight="false" outlineLevel="0" collapsed="false">
      <c r="A301" s="7" t="s">
        <v>773</v>
      </c>
      <c r="B301" s="7" t="s">
        <v>437</v>
      </c>
      <c r="C301" s="7" t="s">
        <v>774</v>
      </c>
      <c r="D301" s="7"/>
      <c r="E301" s="7"/>
      <c r="F301" s="8" t="n">
        <v>1</v>
      </c>
      <c r="G301" s="8" t="n">
        <v>1</v>
      </c>
      <c r="H301" s="7" t="n">
        <v>0</v>
      </c>
      <c r="I301" s="7" t="n">
        <v>0</v>
      </c>
      <c r="J301" s="7" t="n">
        <v>0</v>
      </c>
      <c r="K301" s="9" t="s">
        <v>4</v>
      </c>
      <c r="L301" s="7"/>
      <c r="M301" s="7"/>
      <c r="N301" s="10" t="n">
        <f aca="false">IF(AND(ISNUMBER(F301),ISNUMBER(G301)),ABS(G301-F301),"")</f>
        <v>0</v>
      </c>
      <c r="O301" s="4" t="str">
        <f aca="false">IF(AND(ISNUMBER(N301),ISNUMBER(J301)),IF(N301&lt;=J301,"PASS","FAIL"),"n/a")</f>
        <v>PASS</v>
      </c>
    </row>
    <row r="302" customFormat="false" ht="23.85" hidden="false" customHeight="false" outlineLevel="0" collapsed="false">
      <c r="A302" s="7" t="s">
        <v>775</v>
      </c>
      <c r="B302" s="7" t="s">
        <v>437</v>
      </c>
      <c r="C302" s="7" t="s">
        <v>776</v>
      </c>
      <c r="D302" s="7" t="s">
        <v>777</v>
      </c>
      <c r="E302" s="7"/>
      <c r="F302" s="8" t="n">
        <v>8645</v>
      </c>
      <c r="G302" s="8" t="n">
        <v>8645</v>
      </c>
      <c r="H302" s="7" t="n">
        <v>0</v>
      </c>
      <c r="I302" s="7" t="n">
        <v>0</v>
      </c>
      <c r="J302" s="7" t="n">
        <v>0</v>
      </c>
      <c r="K302" s="9" t="s">
        <v>4</v>
      </c>
      <c r="L302" s="7"/>
      <c r="M302" s="7"/>
      <c r="N302" s="10" t="n">
        <f aca="false">IF(AND(ISNUMBER(F302),ISNUMBER(G302)),ABS(G302-F302),"")</f>
        <v>0</v>
      </c>
      <c r="O302" s="4" t="str">
        <f aca="false">IF(AND(ISNUMBER(N302),ISNUMBER(J302)),IF(N302&lt;=J302,"PASS","FAIL"),"n/a")</f>
        <v>PASS</v>
      </c>
    </row>
    <row r="303" customFormat="false" ht="23.85" hidden="false" customHeight="false" outlineLevel="0" collapsed="false">
      <c r="A303" s="7" t="s">
        <v>778</v>
      </c>
      <c r="B303" s="7" t="s">
        <v>437</v>
      </c>
      <c r="C303" s="7" t="s">
        <v>779</v>
      </c>
      <c r="D303" s="7" t="s">
        <v>777</v>
      </c>
      <c r="E303" s="7"/>
      <c r="F303" s="12" t="n">
        <v>0</v>
      </c>
      <c r="G303" s="8" t="n">
        <v>0</v>
      </c>
      <c r="H303" s="7" t="n">
        <v>0</v>
      </c>
      <c r="I303" s="7"/>
      <c r="J303" s="7" t="n">
        <v>0.01</v>
      </c>
      <c r="K303" s="9" t="s">
        <v>4</v>
      </c>
      <c r="L303" s="7"/>
      <c r="M303" s="7"/>
      <c r="N303" s="10" t="n">
        <f aca="false">IF(AND(ISNUMBER(F303),ISNUMBER(G303)),ABS(G303-F303),"")</f>
        <v>0</v>
      </c>
      <c r="O303" s="4" t="str">
        <f aca="false">IF(AND(ISNUMBER(N303),ISNUMBER(J303)),IF(N303&lt;=J303,"PASS","FAIL"),"n/a")</f>
        <v>PASS</v>
      </c>
    </row>
    <row r="304" customFormat="false" ht="23.85" hidden="false" customHeight="false" outlineLevel="0" collapsed="false">
      <c r="A304" s="7" t="s">
        <v>780</v>
      </c>
      <c r="B304" s="7" t="s">
        <v>437</v>
      </c>
      <c r="C304" s="7" t="s">
        <v>781</v>
      </c>
      <c r="D304" s="7" t="s">
        <v>777</v>
      </c>
      <c r="E304" s="7"/>
      <c r="F304" s="12" t="n">
        <v>43812798.7776</v>
      </c>
      <c r="G304" s="12" t="n">
        <v>43812798.7776002</v>
      </c>
      <c r="H304" s="7" t="n">
        <v>1.63912773132324E-007</v>
      </c>
      <c r="I304" s="7" t="n">
        <v>3.741207539933E-015</v>
      </c>
      <c r="J304" s="7" t="n">
        <v>0.01</v>
      </c>
      <c r="K304" s="9" t="s">
        <v>4</v>
      </c>
      <c r="L304" s="7"/>
      <c r="M304" s="7"/>
      <c r="N304" s="10" t="n">
        <f aca="false">IF(AND(ISNUMBER(F304),ISNUMBER(G304)),ABS(G304-F304),"")</f>
        <v>1.63912773132324E-007</v>
      </c>
      <c r="O304" s="4" t="str">
        <f aca="false">IF(AND(ISNUMBER(N304),ISNUMBER(J304)),IF(N304&lt;=J304,"PASS","FAIL"),"n/a")</f>
        <v>PASS</v>
      </c>
    </row>
    <row r="305" customFormat="false" ht="23.85" hidden="false" customHeight="false" outlineLevel="0" collapsed="false">
      <c r="A305" s="7" t="s">
        <v>782</v>
      </c>
      <c r="B305" s="7" t="s">
        <v>437</v>
      </c>
      <c r="C305" s="7" t="s">
        <v>783</v>
      </c>
      <c r="D305" s="7" t="s">
        <v>777</v>
      </c>
      <c r="E305" s="7"/>
      <c r="F305" s="12" t="n">
        <v>-43812798.7776</v>
      </c>
      <c r="G305" s="12" t="n">
        <v>-43812798.7776002</v>
      </c>
      <c r="H305" s="7" t="n">
        <v>1.63912773132324E-007</v>
      </c>
      <c r="I305" s="7" t="n">
        <v>3.741207539933E-015</v>
      </c>
      <c r="J305" s="7" t="n">
        <v>0.01</v>
      </c>
      <c r="K305" s="9" t="s">
        <v>4</v>
      </c>
      <c r="L305" s="7"/>
      <c r="M305" s="7"/>
      <c r="N305" s="10" t="n">
        <f aca="false">IF(AND(ISNUMBER(F305),ISNUMBER(G305)),ABS(G305-F305),"")</f>
        <v>1.63912773132324E-007</v>
      </c>
      <c r="O305" s="4" t="str">
        <f aca="false">IF(AND(ISNUMBER(N305),ISNUMBER(J305)),IF(N305&lt;=J305,"PASS","FAIL"),"n/a")</f>
        <v>PASS</v>
      </c>
    </row>
    <row r="306" customFormat="false" ht="23.85" hidden="false" customHeight="false" outlineLevel="0" collapsed="false">
      <c r="A306" s="7" t="s">
        <v>784</v>
      </c>
      <c r="B306" s="7" t="s">
        <v>437</v>
      </c>
      <c r="C306" s="7" t="s">
        <v>785</v>
      </c>
      <c r="D306" s="7" t="s">
        <v>777</v>
      </c>
      <c r="E306" s="7"/>
      <c r="F306" s="12" t="n">
        <v>0</v>
      </c>
      <c r="G306" s="8" t="n">
        <v>0</v>
      </c>
      <c r="H306" s="7" t="n">
        <v>0</v>
      </c>
      <c r="I306" s="7"/>
      <c r="J306" s="7" t="n">
        <v>0.01</v>
      </c>
      <c r="K306" s="9" t="s">
        <v>4</v>
      </c>
      <c r="L306" s="7"/>
      <c r="M306" s="7"/>
      <c r="N306" s="10" t="n">
        <f aca="false">IF(AND(ISNUMBER(F306),ISNUMBER(G306)),ABS(G306-F306),"")</f>
        <v>0</v>
      </c>
      <c r="O306" s="4" t="str">
        <f aca="false">IF(AND(ISNUMBER(N306),ISNUMBER(J306)),IF(N306&lt;=J306,"PASS","FAIL"),"n/a")</f>
        <v>PASS</v>
      </c>
    </row>
    <row r="307" customFormat="false" ht="23.85" hidden="false" customHeight="false" outlineLevel="0" collapsed="false">
      <c r="A307" s="7" t="s">
        <v>786</v>
      </c>
      <c r="B307" s="7" t="s">
        <v>437</v>
      </c>
      <c r="C307" s="7" t="s">
        <v>787</v>
      </c>
      <c r="D307" s="7" t="s">
        <v>777</v>
      </c>
      <c r="E307" s="7"/>
      <c r="F307" s="12" t="n">
        <v>0</v>
      </c>
      <c r="G307" s="8" t="n">
        <v>0</v>
      </c>
      <c r="H307" s="7" t="n">
        <v>0</v>
      </c>
      <c r="I307" s="7"/>
      <c r="J307" s="7" t="n">
        <v>0.01</v>
      </c>
      <c r="K307" s="9" t="s">
        <v>4</v>
      </c>
      <c r="L307" s="7"/>
      <c r="M307" s="7"/>
      <c r="N307" s="10" t="n">
        <f aca="false">IF(AND(ISNUMBER(F307),ISNUMBER(G307)),ABS(G307-F307),"")</f>
        <v>0</v>
      </c>
      <c r="O307" s="4" t="str">
        <f aca="false">IF(AND(ISNUMBER(N307),ISNUMBER(J307)),IF(N307&lt;=J307,"PASS","FAIL"),"n/a")</f>
        <v>PASS</v>
      </c>
    </row>
    <row r="308" customFormat="false" ht="23.85" hidden="false" customHeight="false" outlineLevel="0" collapsed="false">
      <c r="A308" s="7" t="s">
        <v>788</v>
      </c>
      <c r="B308" s="7" t="s">
        <v>437</v>
      </c>
      <c r="C308" s="7" t="s">
        <v>789</v>
      </c>
      <c r="D308" s="7" t="s">
        <v>777</v>
      </c>
      <c r="E308" s="7"/>
      <c r="F308" s="12" t="n">
        <v>0</v>
      </c>
      <c r="G308" s="8" t="n">
        <v>0</v>
      </c>
      <c r="H308" s="7" t="n">
        <v>0</v>
      </c>
      <c r="I308" s="7"/>
      <c r="J308" s="7" t="n">
        <v>0.01</v>
      </c>
      <c r="K308" s="9" t="s">
        <v>4</v>
      </c>
      <c r="L308" s="7"/>
      <c r="M308" s="7"/>
      <c r="N308" s="10" t="n">
        <f aca="false">IF(AND(ISNUMBER(F308),ISNUMBER(G308)),ABS(G308-F308),"")</f>
        <v>0</v>
      </c>
      <c r="O308" s="4" t="str">
        <f aca="false">IF(AND(ISNUMBER(N308),ISNUMBER(J308)),IF(N308&lt;=J308,"PASS","FAIL"),"n/a")</f>
        <v>PASS</v>
      </c>
    </row>
    <row r="309" customFormat="false" ht="23.85" hidden="false" customHeight="false" outlineLevel="0" collapsed="false">
      <c r="A309" s="7" t="s">
        <v>790</v>
      </c>
      <c r="B309" s="7" t="s">
        <v>437</v>
      </c>
      <c r="C309" s="7" t="s">
        <v>791</v>
      </c>
      <c r="D309" s="7" t="s">
        <v>777</v>
      </c>
      <c r="E309" s="7"/>
      <c r="F309" s="12" t="n">
        <v>43812798.7776</v>
      </c>
      <c r="G309" s="12" t="n">
        <v>43812798.7776002</v>
      </c>
      <c r="H309" s="7" t="n">
        <v>1.63912773132324E-007</v>
      </c>
      <c r="I309" s="7" t="n">
        <v>3.741207539933E-015</v>
      </c>
      <c r="J309" s="7" t="n">
        <v>0.01</v>
      </c>
      <c r="K309" s="9" t="s">
        <v>4</v>
      </c>
      <c r="L309" s="7"/>
      <c r="M309" s="7"/>
      <c r="N309" s="10" t="n">
        <f aca="false">IF(AND(ISNUMBER(F309),ISNUMBER(G309)),ABS(G309-F309),"")</f>
        <v>1.63912773132324E-007</v>
      </c>
      <c r="O309" s="4" t="str">
        <f aca="false">IF(AND(ISNUMBER(N309),ISNUMBER(J309)),IF(N309&lt;=J309,"PASS","FAIL"),"n/a")</f>
        <v>PASS</v>
      </c>
    </row>
    <row r="310" customFormat="false" ht="23.85" hidden="false" customHeight="false" outlineLevel="0" collapsed="false">
      <c r="A310" s="7" t="s">
        <v>792</v>
      </c>
      <c r="B310" s="7" t="s">
        <v>437</v>
      </c>
      <c r="C310" s="7" t="s">
        <v>793</v>
      </c>
      <c r="D310" s="7" t="s">
        <v>777</v>
      </c>
      <c r="E310" s="7"/>
      <c r="F310" s="12" t="n">
        <v>0</v>
      </c>
      <c r="G310" s="8" t="n">
        <v>0</v>
      </c>
      <c r="H310" s="7" t="n">
        <v>0</v>
      </c>
      <c r="I310" s="7"/>
      <c r="J310" s="7" t="n">
        <v>0.01</v>
      </c>
      <c r="K310" s="9" t="s">
        <v>4</v>
      </c>
      <c r="L310" s="7"/>
      <c r="M310" s="7"/>
      <c r="N310" s="10" t="n">
        <f aca="false">IF(AND(ISNUMBER(F310),ISNUMBER(G310)),ABS(G310-F310),"")</f>
        <v>0</v>
      </c>
      <c r="O310" s="4" t="str">
        <f aca="false">IF(AND(ISNUMBER(N310),ISNUMBER(J310)),IF(N310&lt;=J310,"PASS","FAIL"),"n/a")</f>
        <v>PASS</v>
      </c>
    </row>
    <row r="311" customFormat="false" ht="23.85" hidden="false" customHeight="false" outlineLevel="0" collapsed="false">
      <c r="A311" s="7" t="s">
        <v>794</v>
      </c>
      <c r="B311" s="7" t="s">
        <v>437</v>
      </c>
      <c r="C311" s="7" t="s">
        <v>795</v>
      </c>
      <c r="D311" s="7" t="s">
        <v>777</v>
      </c>
      <c r="E311" s="7"/>
      <c r="F311" s="12" t="n">
        <v>0</v>
      </c>
      <c r="G311" s="8" t="n">
        <v>0</v>
      </c>
      <c r="H311" s="7" t="n">
        <v>0</v>
      </c>
      <c r="I311" s="7"/>
      <c r="J311" s="7" t="n">
        <v>0.01</v>
      </c>
      <c r="K311" s="9" t="s">
        <v>4</v>
      </c>
      <c r="L311" s="7"/>
      <c r="M311" s="7"/>
      <c r="N311" s="10" t="n">
        <f aca="false">IF(AND(ISNUMBER(F311),ISNUMBER(G311)),ABS(G311-F311),"")</f>
        <v>0</v>
      </c>
      <c r="O311" s="4" t="str">
        <f aca="false">IF(AND(ISNUMBER(N311),ISNUMBER(J311)),IF(N311&lt;=J311,"PASS","FAIL"),"n/a")</f>
        <v>PASS</v>
      </c>
    </row>
    <row r="312" customFormat="false" ht="23.85" hidden="false" customHeight="false" outlineLevel="0" collapsed="false">
      <c r="A312" s="7" t="s">
        <v>796</v>
      </c>
      <c r="B312" s="7" t="s">
        <v>437</v>
      </c>
      <c r="C312" s="7" t="s">
        <v>797</v>
      </c>
      <c r="D312" s="7" t="s">
        <v>777</v>
      </c>
      <c r="E312" s="7"/>
      <c r="F312" s="12" t="n">
        <v>0</v>
      </c>
      <c r="G312" s="8" t="n">
        <v>0</v>
      </c>
      <c r="H312" s="7" t="n">
        <v>0</v>
      </c>
      <c r="I312" s="7"/>
      <c r="J312" s="7" t="n">
        <v>0.01</v>
      </c>
      <c r="K312" s="9" t="s">
        <v>4</v>
      </c>
      <c r="L312" s="7"/>
      <c r="M312" s="7"/>
      <c r="N312" s="10" t="n">
        <f aca="false">IF(AND(ISNUMBER(F312),ISNUMBER(G312)),ABS(G312-F312),"")</f>
        <v>0</v>
      </c>
      <c r="O312" s="4" t="str">
        <f aca="false">IF(AND(ISNUMBER(N312),ISNUMBER(J312)),IF(N312&lt;=J312,"PASS","FAIL"),"n/a")</f>
        <v>PASS</v>
      </c>
    </row>
    <row r="313" customFormat="false" ht="46.25" hidden="false" customHeight="false" outlineLevel="0" collapsed="false">
      <c r="A313" s="7" t="s">
        <v>798</v>
      </c>
      <c r="B313" s="7" t="s">
        <v>437</v>
      </c>
      <c r="C313" s="7" t="s">
        <v>799</v>
      </c>
      <c r="D313" s="7" t="s">
        <v>777</v>
      </c>
      <c r="E313" s="7" t="s">
        <v>466</v>
      </c>
      <c r="F313" s="7" t="s">
        <v>800</v>
      </c>
      <c r="G313" s="7" t="s">
        <v>801</v>
      </c>
      <c r="H313" s="7"/>
      <c r="I313" s="7"/>
      <c r="J313" s="7" t="s">
        <v>389</v>
      </c>
      <c r="K313" s="9" t="s">
        <v>4</v>
      </c>
      <c r="L313" s="7"/>
      <c r="M313" s="7"/>
      <c r="N313" s="10" t="str">
        <f aca="false">IF(AND(ISNUMBER(F313),ISNUMBER(G313)),ABS(G313-F313),"")</f>
        <v/>
      </c>
      <c r="O313" s="4" t="str">
        <f aca="false">IF(AND(ISNUMBER(N313),ISNUMBER(J313)),IF(N313&lt;=J313,"PASS","FAIL"),"n/a")</f>
        <v>n/a</v>
      </c>
    </row>
    <row r="314" customFormat="false" ht="46.25" hidden="false" customHeight="false" outlineLevel="0" collapsed="false">
      <c r="A314" s="7" t="s">
        <v>802</v>
      </c>
      <c r="B314" s="7" t="s">
        <v>437</v>
      </c>
      <c r="C314" s="7" t="s">
        <v>803</v>
      </c>
      <c r="D314" s="7" t="s">
        <v>777</v>
      </c>
      <c r="E314" s="7" t="s">
        <v>466</v>
      </c>
      <c r="F314" s="7" t="s">
        <v>800</v>
      </c>
      <c r="G314" s="7" t="s">
        <v>801</v>
      </c>
      <c r="H314" s="7"/>
      <c r="I314" s="7"/>
      <c r="J314" s="7" t="s">
        <v>389</v>
      </c>
      <c r="K314" s="9" t="s">
        <v>4</v>
      </c>
      <c r="L314" s="7"/>
      <c r="M314" s="7"/>
      <c r="N314" s="10" t="str">
        <f aca="false">IF(AND(ISNUMBER(F314),ISNUMBER(G314)),ABS(G314-F314),"")</f>
        <v/>
      </c>
      <c r="O314" s="4" t="str">
        <f aca="false">IF(AND(ISNUMBER(N314),ISNUMBER(J314)),IF(N314&lt;=J314,"PASS","FAIL"),"n/a")</f>
        <v>n/a</v>
      </c>
    </row>
    <row r="315" customFormat="false" ht="46.25" hidden="false" customHeight="false" outlineLevel="0" collapsed="false">
      <c r="A315" s="7" t="s">
        <v>804</v>
      </c>
      <c r="B315" s="7" t="s">
        <v>437</v>
      </c>
      <c r="C315" s="7" t="s">
        <v>805</v>
      </c>
      <c r="D315" s="7" t="s">
        <v>777</v>
      </c>
      <c r="E315" s="7" t="s">
        <v>466</v>
      </c>
      <c r="F315" s="7" t="s">
        <v>800</v>
      </c>
      <c r="G315" s="7" t="s">
        <v>801</v>
      </c>
      <c r="H315" s="7"/>
      <c r="I315" s="7"/>
      <c r="J315" s="7" t="s">
        <v>389</v>
      </c>
      <c r="K315" s="9" t="s">
        <v>4</v>
      </c>
      <c r="L315" s="7"/>
      <c r="M315" s="7"/>
      <c r="N315" s="10" t="str">
        <f aca="false">IF(AND(ISNUMBER(F315),ISNUMBER(G315)),ABS(G315-F315),"")</f>
        <v/>
      </c>
      <c r="O315" s="4" t="str">
        <f aca="false">IF(AND(ISNUMBER(N315),ISNUMBER(J315)),IF(N315&lt;=J315,"PASS","FAIL"),"n/a")</f>
        <v>n/a</v>
      </c>
    </row>
    <row r="316" customFormat="false" ht="91" hidden="false" customHeight="false" outlineLevel="0" collapsed="false">
      <c r="A316" s="7" t="s">
        <v>806</v>
      </c>
      <c r="B316" s="7" t="s">
        <v>437</v>
      </c>
      <c r="C316" s="7" t="s">
        <v>807</v>
      </c>
      <c r="D316" s="7" t="s">
        <v>777</v>
      </c>
      <c r="E316" s="7" t="s">
        <v>466</v>
      </c>
      <c r="F316" s="7" t="s">
        <v>479</v>
      </c>
      <c r="G316" s="7" t="s">
        <v>480</v>
      </c>
      <c r="H316" s="7"/>
      <c r="I316" s="7"/>
      <c r="J316" s="7" t="s">
        <v>389</v>
      </c>
      <c r="K316" s="9" t="s">
        <v>4</v>
      </c>
      <c r="L316" s="7"/>
      <c r="M316" s="7"/>
      <c r="N316" s="10" t="str">
        <f aca="false">IF(AND(ISNUMBER(F316),ISNUMBER(G316)),ABS(G316-F316),"")</f>
        <v/>
      </c>
      <c r="O316" s="4" t="str">
        <f aca="false">IF(AND(ISNUMBER(N316),ISNUMBER(J316)),IF(N316&lt;=J316,"PASS","FAIL"),"n/a")</f>
        <v>n/a</v>
      </c>
    </row>
    <row r="317" customFormat="false" ht="57.45" hidden="false" customHeight="false" outlineLevel="0" collapsed="false">
      <c r="A317" s="7" t="s">
        <v>808</v>
      </c>
      <c r="B317" s="7" t="s">
        <v>437</v>
      </c>
      <c r="C317" s="7" t="s">
        <v>809</v>
      </c>
      <c r="D317" s="7" t="s">
        <v>777</v>
      </c>
      <c r="E317" s="7"/>
      <c r="F317" s="7" t="s">
        <v>810</v>
      </c>
      <c r="G317" s="7" t="s">
        <v>810</v>
      </c>
      <c r="H317" s="7"/>
      <c r="I317" s="7"/>
      <c r="J317" s="7"/>
      <c r="K317" s="9" t="s">
        <v>4</v>
      </c>
      <c r="L317" s="7"/>
      <c r="M317" s="7"/>
      <c r="N317" s="10" t="str">
        <f aca="false">IF(AND(ISNUMBER(F317),ISNUMBER(G317)),ABS(G317-F317),"")</f>
        <v/>
      </c>
      <c r="O317" s="4" t="str">
        <f aca="false">IF(AND(ISNUMBER(N317),ISNUMBER(J317)),IF(N317&lt;=J317,"PASS","FAIL"),"n/a")</f>
        <v>n/a</v>
      </c>
    </row>
    <row r="318" customFormat="false" ht="23.85" hidden="false" customHeight="false" outlineLevel="0" collapsed="false">
      <c r="A318" s="7" t="s">
        <v>811</v>
      </c>
      <c r="B318" s="7" t="s">
        <v>437</v>
      </c>
      <c r="C318" s="7" t="s">
        <v>812</v>
      </c>
      <c r="D318" s="7" t="s">
        <v>777</v>
      </c>
      <c r="E318" s="7"/>
      <c r="F318" s="8" t="n">
        <v>0</v>
      </c>
      <c r="G318" s="12" t="n">
        <v>0</v>
      </c>
      <c r="H318" s="7" t="n">
        <v>0</v>
      </c>
      <c r="I318" s="7"/>
      <c r="J318" s="7" t="n">
        <v>0.5</v>
      </c>
      <c r="K318" s="9" t="s">
        <v>4</v>
      </c>
      <c r="L318" s="7"/>
      <c r="M318" s="7"/>
      <c r="N318" s="10" t="n">
        <f aca="false">IF(AND(ISNUMBER(F318),ISNUMBER(G318)),ABS(G318-F318),"")</f>
        <v>0</v>
      </c>
      <c r="O318" s="4" t="str">
        <f aca="false">IF(AND(ISNUMBER(N318),ISNUMBER(J318)),IF(N318&lt;=J318,"PASS","FAIL"),"n/a")</f>
        <v>PASS</v>
      </c>
    </row>
    <row r="319" customFormat="false" ht="23.85" hidden="false" customHeight="false" outlineLevel="0" collapsed="false">
      <c r="A319" s="7" t="s">
        <v>813</v>
      </c>
      <c r="B319" s="7" t="s">
        <v>437</v>
      </c>
      <c r="C319" s="7" t="s">
        <v>814</v>
      </c>
      <c r="D319" s="7" t="s">
        <v>777</v>
      </c>
      <c r="E319" s="7"/>
      <c r="F319" s="12" t="n">
        <v>0</v>
      </c>
      <c r="G319" s="12" t="n">
        <v>0</v>
      </c>
      <c r="H319" s="7" t="n">
        <v>0</v>
      </c>
      <c r="I319" s="7"/>
      <c r="J319" s="7" t="n">
        <v>0.5</v>
      </c>
      <c r="K319" s="9" t="s">
        <v>4</v>
      </c>
      <c r="L319" s="7"/>
      <c r="M319" s="7"/>
      <c r="N319" s="10" t="n">
        <f aca="false">IF(AND(ISNUMBER(F319),ISNUMBER(G319)),ABS(G319-F319),"")</f>
        <v>0</v>
      </c>
      <c r="O319" s="4" t="str">
        <f aca="false">IF(AND(ISNUMBER(N319),ISNUMBER(J319)),IF(N319&lt;=J319,"PASS","FAIL"),"n/a")</f>
        <v>PASS</v>
      </c>
    </row>
    <row r="320" customFormat="false" ht="23.85" hidden="false" customHeight="false" outlineLevel="0" collapsed="false">
      <c r="A320" s="7" t="s">
        <v>815</v>
      </c>
      <c r="B320" s="7" t="s">
        <v>437</v>
      </c>
      <c r="C320" s="7" t="s">
        <v>816</v>
      </c>
      <c r="D320" s="7" t="s">
        <v>777</v>
      </c>
      <c r="E320" s="7"/>
      <c r="F320" s="12" t="n">
        <v>43812798.7776</v>
      </c>
      <c r="G320" s="12" t="n">
        <v>43810000</v>
      </c>
      <c r="H320" s="7" t="n">
        <v>2798.77759999782</v>
      </c>
      <c r="I320" s="7" t="n">
        <v>6.38803655115669E-005</v>
      </c>
      <c r="J320" s="7" t="n">
        <v>5000</v>
      </c>
      <c r="K320" s="9" t="s">
        <v>4</v>
      </c>
      <c r="L320" s="7"/>
      <c r="M320" s="7"/>
      <c r="N320" s="10" t="n">
        <f aca="false">IF(AND(ISNUMBER(F320),ISNUMBER(G320)),ABS(G320-F320),"")</f>
        <v>2798.77759999782</v>
      </c>
      <c r="O320" s="4" t="str">
        <f aca="false">IF(AND(ISNUMBER(N320),ISNUMBER(J320)),IF(N320&lt;=J320,"PASS","FAIL"),"n/a")</f>
        <v>PASS</v>
      </c>
    </row>
    <row r="321" customFormat="false" ht="23.85" hidden="false" customHeight="false" outlineLevel="0" collapsed="false">
      <c r="A321" s="7" t="s">
        <v>817</v>
      </c>
      <c r="B321" s="7" t="s">
        <v>437</v>
      </c>
      <c r="C321" s="7" t="s">
        <v>818</v>
      </c>
      <c r="D321" s="7" t="s">
        <v>777</v>
      </c>
      <c r="E321" s="7"/>
      <c r="F321" s="12" t="n">
        <v>-43812798.7776</v>
      </c>
      <c r="G321" s="12" t="n">
        <v>-43810000</v>
      </c>
      <c r="H321" s="7" t="n">
        <v>2798.77759999782</v>
      </c>
      <c r="I321" s="7" t="n">
        <v>6.38803655115669E-005</v>
      </c>
      <c r="J321" s="7" t="n">
        <v>5000</v>
      </c>
      <c r="K321" s="9" t="s">
        <v>4</v>
      </c>
      <c r="L321" s="7"/>
      <c r="M321" s="7"/>
      <c r="N321" s="10" t="n">
        <f aca="false">IF(AND(ISNUMBER(F321),ISNUMBER(G321)),ABS(G321-F321),"")</f>
        <v>2798.77759999782</v>
      </c>
      <c r="O321" s="4" t="str">
        <f aca="false">IF(AND(ISNUMBER(N321),ISNUMBER(J321)),IF(N321&lt;=J321,"PASS","FAIL"),"n/a")</f>
        <v>PASS</v>
      </c>
    </row>
    <row r="322" customFormat="false" ht="23.85" hidden="false" customHeight="false" outlineLevel="0" collapsed="false">
      <c r="A322" s="7" t="s">
        <v>819</v>
      </c>
      <c r="B322" s="7" t="s">
        <v>437</v>
      </c>
      <c r="C322" s="7" t="s">
        <v>820</v>
      </c>
      <c r="D322" s="7"/>
      <c r="E322" s="7"/>
      <c r="F322" s="8" t="n">
        <v>0</v>
      </c>
      <c r="G322" s="8" t="n">
        <v>0</v>
      </c>
      <c r="H322" s="7" t="n">
        <v>0</v>
      </c>
      <c r="I322" s="7"/>
      <c r="J322" s="7" t="n">
        <v>0</v>
      </c>
      <c r="K322" s="9" t="s">
        <v>4</v>
      </c>
      <c r="L322" s="7"/>
      <c r="M322" s="7"/>
      <c r="N322" s="10" t="n">
        <f aca="false">IF(AND(ISNUMBER(F322),ISNUMBER(G322)),ABS(G322-F322),"")</f>
        <v>0</v>
      </c>
      <c r="O322" s="4" t="str">
        <f aca="false">IF(AND(ISNUMBER(N322),ISNUMBER(J322)),IF(N322&lt;=J322,"PASS","FAIL"),"n/a")</f>
        <v>PASS</v>
      </c>
    </row>
    <row r="323" customFormat="false" ht="23.85" hidden="false" customHeight="false" outlineLevel="0" collapsed="false">
      <c r="A323" s="7" t="s">
        <v>821</v>
      </c>
      <c r="B323" s="7" t="s">
        <v>437</v>
      </c>
      <c r="C323" s="7" t="s">
        <v>822</v>
      </c>
      <c r="D323" s="7" t="s">
        <v>777</v>
      </c>
      <c r="E323" s="7"/>
      <c r="F323" s="8" t="n">
        <v>8645</v>
      </c>
      <c r="G323" s="8" t="n">
        <v>8645</v>
      </c>
      <c r="H323" s="7" t="n">
        <v>0</v>
      </c>
      <c r="I323" s="7" t="n">
        <v>0</v>
      </c>
      <c r="J323" s="7" t="n">
        <v>0</v>
      </c>
      <c r="K323" s="9" t="s">
        <v>4</v>
      </c>
      <c r="L323" s="7"/>
      <c r="M323" s="7"/>
      <c r="N323" s="10" t="n">
        <f aca="false">IF(AND(ISNUMBER(F323),ISNUMBER(G323)),ABS(G323-F323),"")</f>
        <v>0</v>
      </c>
      <c r="O323" s="4" t="str">
        <f aca="false">IF(AND(ISNUMBER(N323),ISNUMBER(J323)),IF(N323&lt;=J323,"PASS","FAIL"),"n/a")</f>
        <v>PASS</v>
      </c>
    </row>
    <row r="324" customFormat="false" ht="23.85" hidden="false" customHeight="false" outlineLevel="0" collapsed="false">
      <c r="A324" s="7" t="s">
        <v>823</v>
      </c>
      <c r="B324" s="7" t="s">
        <v>437</v>
      </c>
      <c r="C324" s="7" t="s">
        <v>824</v>
      </c>
      <c r="D324" s="7"/>
      <c r="E324" s="7"/>
      <c r="F324" s="8" t="n">
        <v>0</v>
      </c>
      <c r="G324" s="8" t="n">
        <v>0</v>
      </c>
      <c r="H324" s="7" t="n">
        <v>0</v>
      </c>
      <c r="I324" s="7"/>
      <c r="J324" s="7" t="n">
        <v>0</v>
      </c>
      <c r="K324" s="9" t="s">
        <v>4</v>
      </c>
      <c r="L324" s="7"/>
      <c r="M324" s="7"/>
      <c r="N324" s="10" t="n">
        <f aca="false">IF(AND(ISNUMBER(F324),ISNUMBER(G324)),ABS(G324-F324),"")</f>
        <v>0</v>
      </c>
      <c r="O324" s="4" t="str">
        <f aca="false">IF(AND(ISNUMBER(N324),ISNUMBER(J324)),IF(N324&lt;=J324,"PASS","FAIL"),"n/a")</f>
        <v>PASS</v>
      </c>
    </row>
    <row r="325" customFormat="false" ht="23.85" hidden="false" customHeight="false" outlineLevel="0" collapsed="false">
      <c r="A325" s="7" t="s">
        <v>825</v>
      </c>
      <c r="B325" s="7" t="s">
        <v>437</v>
      </c>
      <c r="C325" s="7" t="s">
        <v>826</v>
      </c>
      <c r="D325" s="7"/>
      <c r="E325" s="7"/>
      <c r="F325" s="12" t="n">
        <v>0</v>
      </c>
      <c r="G325" s="12" t="n">
        <v>0</v>
      </c>
      <c r="H325" s="7" t="n">
        <v>0</v>
      </c>
      <c r="I325" s="7"/>
      <c r="J325" s="7" t="n">
        <v>0.01</v>
      </c>
      <c r="K325" s="9" t="s">
        <v>4</v>
      </c>
      <c r="L325" s="7"/>
      <c r="M325" s="7"/>
      <c r="N325" s="10" t="n">
        <f aca="false">IF(AND(ISNUMBER(F325),ISNUMBER(G325)),ABS(G325-F325),"")</f>
        <v>0</v>
      </c>
      <c r="O325" s="4" t="str">
        <f aca="false">IF(AND(ISNUMBER(N325),ISNUMBER(J325)),IF(N325&lt;=J325,"PASS","FAIL"),"n/a")</f>
        <v>PASS</v>
      </c>
    </row>
    <row r="326" customFormat="false" ht="23.85" hidden="false" customHeight="false" outlineLevel="0" collapsed="false">
      <c r="A326" s="7" t="s">
        <v>827</v>
      </c>
      <c r="B326" s="7" t="s">
        <v>437</v>
      </c>
      <c r="C326" s="7" t="s">
        <v>828</v>
      </c>
      <c r="D326" s="7"/>
      <c r="E326" s="7"/>
      <c r="F326" s="12" t="n">
        <v>0</v>
      </c>
      <c r="G326" s="12" t="n">
        <v>0</v>
      </c>
      <c r="H326" s="7" t="n">
        <v>0</v>
      </c>
      <c r="I326" s="7"/>
      <c r="J326" s="7" t="n">
        <v>0.01</v>
      </c>
      <c r="K326" s="9" t="s">
        <v>4</v>
      </c>
      <c r="L326" s="7"/>
      <c r="M326" s="7"/>
      <c r="N326" s="10" t="n">
        <f aca="false">IF(AND(ISNUMBER(F326),ISNUMBER(G326)),ABS(G326-F326),"")</f>
        <v>0</v>
      </c>
      <c r="O326" s="4" t="str">
        <f aca="false">IF(AND(ISNUMBER(N326),ISNUMBER(J326)),IF(N326&lt;=J326,"PASS","FAIL"),"n/a")</f>
        <v>PASS</v>
      </c>
    </row>
    <row r="327" customFormat="false" ht="23.85" hidden="false" customHeight="false" outlineLevel="0" collapsed="false">
      <c r="A327" s="7" t="s">
        <v>829</v>
      </c>
      <c r="B327" s="7" t="s">
        <v>437</v>
      </c>
      <c r="C327" s="7" t="s">
        <v>830</v>
      </c>
      <c r="D327" s="7"/>
      <c r="E327" s="7"/>
      <c r="F327" s="12" t="n">
        <v>0</v>
      </c>
      <c r="G327" s="12" t="n">
        <v>0</v>
      </c>
      <c r="H327" s="7" t="n">
        <v>0</v>
      </c>
      <c r="I327" s="7"/>
      <c r="J327" s="7" t="n">
        <v>0.01</v>
      </c>
      <c r="K327" s="9" t="s">
        <v>4</v>
      </c>
      <c r="L327" s="7"/>
      <c r="M327" s="7"/>
      <c r="N327" s="10" t="n">
        <f aca="false">IF(AND(ISNUMBER(F327),ISNUMBER(G327)),ABS(G327-F327),"")</f>
        <v>0</v>
      </c>
      <c r="O327" s="4" t="str">
        <f aca="false">IF(AND(ISNUMBER(N327),ISNUMBER(J327)),IF(N327&lt;=J327,"PASS","FAIL"),"n/a")</f>
        <v>PASS</v>
      </c>
    </row>
    <row r="328" customFormat="false" ht="23.85" hidden="false" customHeight="false" outlineLevel="0" collapsed="false">
      <c r="A328" s="7" t="s">
        <v>831</v>
      </c>
      <c r="B328" s="7" t="s">
        <v>437</v>
      </c>
      <c r="C328" s="7" t="s">
        <v>832</v>
      </c>
      <c r="D328" s="7"/>
      <c r="E328" s="7"/>
      <c r="F328" s="12" t="n">
        <v>43812798.7776</v>
      </c>
      <c r="G328" s="12" t="n">
        <v>43812798.7776</v>
      </c>
      <c r="H328" s="7" t="n">
        <v>0</v>
      </c>
      <c r="I328" s="7" t="n">
        <v>0</v>
      </c>
      <c r="J328" s="7" t="n">
        <v>0.01</v>
      </c>
      <c r="K328" s="9" t="s">
        <v>4</v>
      </c>
      <c r="L328" s="7"/>
      <c r="M328" s="7"/>
      <c r="N328" s="10" t="n">
        <f aca="false">IF(AND(ISNUMBER(F328),ISNUMBER(G328)),ABS(G328-F328),"")</f>
        <v>0</v>
      </c>
      <c r="O328" s="4" t="str">
        <f aca="false">IF(AND(ISNUMBER(N328),ISNUMBER(J328)),IF(N328&lt;=J328,"PASS","FAIL"),"n/a")</f>
        <v>PASS</v>
      </c>
    </row>
    <row r="329" customFormat="false" ht="91" hidden="false" customHeight="false" outlineLevel="0" collapsed="false">
      <c r="A329" s="7" t="s">
        <v>833</v>
      </c>
      <c r="B329" s="7" t="s">
        <v>437</v>
      </c>
      <c r="C329" s="7" t="s">
        <v>834</v>
      </c>
      <c r="D329" s="7"/>
      <c r="E329" s="7"/>
      <c r="F329" s="8" t="n">
        <v>1</v>
      </c>
      <c r="G329" s="8" t="n">
        <v>1</v>
      </c>
      <c r="H329" s="7" t="n">
        <v>0</v>
      </c>
      <c r="I329" s="7" t="n">
        <v>0</v>
      </c>
      <c r="J329" s="7" t="n">
        <v>0</v>
      </c>
      <c r="K329" s="9" t="s">
        <v>4</v>
      </c>
      <c r="L329" s="7" t="s">
        <v>835</v>
      </c>
      <c r="M329" s="7"/>
      <c r="N329" s="10" t="n">
        <f aca="false">IF(AND(ISNUMBER(F329),ISNUMBER(G329)),ABS(G329-F329),"")</f>
        <v>0</v>
      </c>
      <c r="O329" s="4" t="str">
        <f aca="false">IF(AND(ISNUMBER(N329),ISNUMBER(J329)),IF(N329&lt;=J329,"PASS","FAIL"),"n/a")</f>
        <v>PASS</v>
      </c>
    </row>
    <row r="330" customFormat="false" ht="57.45" hidden="false" customHeight="false" outlineLevel="0" collapsed="false">
      <c r="A330" s="7" t="s">
        <v>836</v>
      </c>
      <c r="B330" s="7" t="s">
        <v>437</v>
      </c>
      <c r="C330" s="7" t="s">
        <v>837</v>
      </c>
      <c r="D330" s="7"/>
      <c r="E330" s="7"/>
      <c r="F330" s="8" t="n">
        <v>0</v>
      </c>
      <c r="G330" s="8" t="n">
        <v>0</v>
      </c>
      <c r="H330" s="7" t="n">
        <v>0</v>
      </c>
      <c r="I330" s="7"/>
      <c r="J330" s="7" t="n">
        <v>0</v>
      </c>
      <c r="K330" s="9" t="s">
        <v>4</v>
      </c>
      <c r="L330" s="7" t="s">
        <v>838</v>
      </c>
      <c r="M330" s="7"/>
      <c r="N330" s="10" t="n">
        <f aca="false">IF(AND(ISNUMBER(F330),ISNUMBER(G330)),ABS(G330-F330),"")</f>
        <v>0</v>
      </c>
      <c r="O330" s="4" t="str">
        <f aca="false">IF(AND(ISNUMBER(N330),ISNUMBER(J330)),IF(N330&lt;=J330,"PASS","FAIL"),"n/a")</f>
        <v>PASS</v>
      </c>
    </row>
    <row r="331" customFormat="false" ht="23.85" hidden="false" customHeight="false" outlineLevel="0" collapsed="false">
      <c r="A331" s="7" t="s">
        <v>839</v>
      </c>
      <c r="B331" s="7" t="s">
        <v>437</v>
      </c>
      <c r="C331" s="7" t="s">
        <v>840</v>
      </c>
      <c r="D331" s="7" t="s">
        <v>841</v>
      </c>
      <c r="E331" s="7"/>
      <c r="F331" s="8" t="n">
        <v>32813</v>
      </c>
      <c r="G331" s="8" t="n">
        <v>32813</v>
      </c>
      <c r="H331" s="7" t="n">
        <v>0</v>
      </c>
      <c r="I331" s="7" t="n">
        <v>0</v>
      </c>
      <c r="J331" s="7" t="n">
        <v>0</v>
      </c>
      <c r="K331" s="9" t="s">
        <v>4</v>
      </c>
      <c r="L331" s="7"/>
      <c r="M331" s="7"/>
      <c r="N331" s="10" t="n">
        <f aca="false">IF(AND(ISNUMBER(F331),ISNUMBER(G331)),ABS(G331-F331),"")</f>
        <v>0</v>
      </c>
      <c r="O331" s="4" t="str">
        <f aca="false">IF(AND(ISNUMBER(N331),ISNUMBER(J331)),IF(N331&lt;=J331,"PASS","FAIL"),"n/a")</f>
        <v>PASS</v>
      </c>
    </row>
    <row r="332" customFormat="false" ht="23.85" hidden="false" customHeight="false" outlineLevel="0" collapsed="false">
      <c r="A332" s="7" t="s">
        <v>842</v>
      </c>
      <c r="B332" s="7" t="s">
        <v>437</v>
      </c>
      <c r="C332" s="7" t="s">
        <v>843</v>
      </c>
      <c r="D332" s="7" t="s">
        <v>841</v>
      </c>
      <c r="E332" s="7"/>
      <c r="F332" s="12" t="n">
        <v>202649002.1522</v>
      </c>
      <c r="G332" s="12" t="n">
        <v>202649002.152202</v>
      </c>
      <c r="H332" s="7" t="n">
        <v>1.57952308654785E-006</v>
      </c>
      <c r="I332" s="7" t="n">
        <v>7.79437880163628E-015</v>
      </c>
      <c r="J332" s="7" t="n">
        <v>0.01</v>
      </c>
      <c r="K332" s="9" t="s">
        <v>4</v>
      </c>
      <c r="L332" s="7"/>
      <c r="M332" s="7"/>
      <c r="N332" s="10" t="n">
        <f aca="false">IF(AND(ISNUMBER(F332),ISNUMBER(G332)),ABS(G332-F332),"")</f>
        <v>1.57952308654785E-006</v>
      </c>
      <c r="O332" s="4" t="str">
        <f aca="false">IF(AND(ISNUMBER(N332),ISNUMBER(J332)),IF(N332&lt;=J332,"PASS","FAIL"),"n/a")</f>
        <v>PASS</v>
      </c>
    </row>
    <row r="333" customFormat="false" ht="23.85" hidden="false" customHeight="false" outlineLevel="0" collapsed="false">
      <c r="A333" s="7" t="s">
        <v>844</v>
      </c>
      <c r="B333" s="7" t="s">
        <v>437</v>
      </c>
      <c r="C333" s="7" t="s">
        <v>845</v>
      </c>
      <c r="D333" s="7" t="s">
        <v>841</v>
      </c>
      <c r="E333" s="7"/>
      <c r="F333" s="12" t="n">
        <v>0</v>
      </c>
      <c r="G333" s="8" t="n">
        <v>0</v>
      </c>
      <c r="H333" s="7" t="n">
        <v>0</v>
      </c>
      <c r="I333" s="7"/>
      <c r="J333" s="7" t="n">
        <v>0.01</v>
      </c>
      <c r="K333" s="9" t="s">
        <v>4</v>
      </c>
      <c r="L333" s="7"/>
      <c r="M333" s="7"/>
      <c r="N333" s="10" t="n">
        <f aca="false">IF(AND(ISNUMBER(F333),ISNUMBER(G333)),ABS(G333-F333),"")</f>
        <v>0</v>
      </c>
      <c r="O333" s="4" t="str">
        <f aca="false">IF(AND(ISNUMBER(N333),ISNUMBER(J333)),IF(N333&lt;=J333,"PASS","FAIL"),"n/a")</f>
        <v>PASS</v>
      </c>
    </row>
    <row r="334" customFormat="false" ht="23.85" hidden="false" customHeight="false" outlineLevel="0" collapsed="false">
      <c r="A334" s="7" t="s">
        <v>846</v>
      </c>
      <c r="B334" s="7" t="s">
        <v>437</v>
      </c>
      <c r="C334" s="7" t="s">
        <v>847</v>
      </c>
      <c r="D334" s="7" t="s">
        <v>841</v>
      </c>
      <c r="E334" s="7"/>
      <c r="F334" s="12" t="n">
        <v>202649002.1522</v>
      </c>
      <c r="G334" s="12" t="n">
        <v>202649002.152202</v>
      </c>
      <c r="H334" s="7" t="n">
        <v>1.57952308654785E-006</v>
      </c>
      <c r="I334" s="7" t="n">
        <v>7.79437880163628E-015</v>
      </c>
      <c r="J334" s="7" t="n">
        <v>0.01</v>
      </c>
      <c r="K334" s="9" t="s">
        <v>4</v>
      </c>
      <c r="L334" s="7"/>
      <c r="M334" s="7"/>
      <c r="N334" s="10" t="n">
        <f aca="false">IF(AND(ISNUMBER(F334),ISNUMBER(G334)),ABS(G334-F334),"")</f>
        <v>1.57952308654785E-006</v>
      </c>
      <c r="O334" s="4" t="str">
        <f aca="false">IF(AND(ISNUMBER(N334),ISNUMBER(J334)),IF(N334&lt;=J334,"PASS","FAIL"),"n/a")</f>
        <v>PASS</v>
      </c>
    </row>
    <row r="335" customFormat="false" ht="23.85" hidden="false" customHeight="false" outlineLevel="0" collapsed="false">
      <c r="A335" s="7" t="s">
        <v>848</v>
      </c>
      <c r="B335" s="7" t="s">
        <v>437</v>
      </c>
      <c r="C335" s="7" t="s">
        <v>849</v>
      </c>
      <c r="D335" s="7" t="s">
        <v>841</v>
      </c>
      <c r="E335" s="7"/>
      <c r="F335" s="12" t="n">
        <v>202649002.1522</v>
      </c>
      <c r="G335" s="12" t="n">
        <v>202649002.152202</v>
      </c>
      <c r="H335" s="7" t="n">
        <v>1.57952308654785E-006</v>
      </c>
      <c r="I335" s="7" t="n">
        <v>7.79437880163628E-015</v>
      </c>
      <c r="J335" s="7" t="n">
        <v>0.01</v>
      </c>
      <c r="K335" s="9" t="s">
        <v>4</v>
      </c>
      <c r="L335" s="7"/>
      <c r="M335" s="7"/>
      <c r="N335" s="10" t="n">
        <f aca="false">IF(AND(ISNUMBER(F335),ISNUMBER(G335)),ABS(G335-F335),"")</f>
        <v>1.57952308654785E-006</v>
      </c>
      <c r="O335" s="4" t="str">
        <f aca="false">IF(AND(ISNUMBER(N335),ISNUMBER(J335)),IF(N335&lt;=J335,"PASS","FAIL"),"n/a")</f>
        <v>PASS</v>
      </c>
    </row>
    <row r="336" customFormat="false" ht="23.85" hidden="false" customHeight="false" outlineLevel="0" collapsed="false">
      <c r="A336" s="7" t="s">
        <v>850</v>
      </c>
      <c r="B336" s="7" t="s">
        <v>437</v>
      </c>
      <c r="C336" s="7" t="s">
        <v>851</v>
      </c>
      <c r="D336" s="7" t="s">
        <v>841</v>
      </c>
      <c r="E336" s="7"/>
      <c r="F336" s="12" t="n">
        <v>0</v>
      </c>
      <c r="G336" s="8" t="n">
        <v>0</v>
      </c>
      <c r="H336" s="7" t="n">
        <v>0</v>
      </c>
      <c r="I336" s="7"/>
      <c r="J336" s="7" t="n">
        <v>0.01</v>
      </c>
      <c r="K336" s="9" t="s">
        <v>4</v>
      </c>
      <c r="L336" s="7"/>
      <c r="M336" s="7"/>
      <c r="N336" s="10" t="n">
        <f aca="false">IF(AND(ISNUMBER(F336),ISNUMBER(G336)),ABS(G336-F336),"")</f>
        <v>0</v>
      </c>
      <c r="O336" s="4" t="str">
        <f aca="false">IF(AND(ISNUMBER(N336),ISNUMBER(J336)),IF(N336&lt;=J336,"PASS","FAIL"),"n/a")</f>
        <v>PASS</v>
      </c>
    </row>
    <row r="337" customFormat="false" ht="23.85" hidden="false" customHeight="false" outlineLevel="0" collapsed="false">
      <c r="A337" s="7" t="s">
        <v>852</v>
      </c>
      <c r="B337" s="7" t="s">
        <v>437</v>
      </c>
      <c r="C337" s="7" t="s">
        <v>853</v>
      </c>
      <c r="D337" s="7" t="s">
        <v>841</v>
      </c>
      <c r="E337" s="7"/>
      <c r="F337" s="12" t="n">
        <v>0</v>
      </c>
      <c r="G337" s="8" t="n">
        <v>0</v>
      </c>
      <c r="H337" s="7" t="n">
        <v>0</v>
      </c>
      <c r="I337" s="7"/>
      <c r="J337" s="7" t="n">
        <v>0.01</v>
      </c>
      <c r="K337" s="9" t="s">
        <v>4</v>
      </c>
      <c r="L337" s="7"/>
      <c r="M337" s="7"/>
      <c r="N337" s="10" t="n">
        <f aca="false">IF(AND(ISNUMBER(F337),ISNUMBER(G337)),ABS(G337-F337),"")</f>
        <v>0</v>
      </c>
      <c r="O337" s="4" t="str">
        <f aca="false">IF(AND(ISNUMBER(N337),ISNUMBER(J337)),IF(N337&lt;=J337,"PASS","FAIL"),"n/a")</f>
        <v>PASS</v>
      </c>
    </row>
    <row r="338" customFormat="false" ht="23.85" hidden="false" customHeight="false" outlineLevel="0" collapsed="false">
      <c r="A338" s="7" t="s">
        <v>854</v>
      </c>
      <c r="B338" s="7" t="s">
        <v>437</v>
      </c>
      <c r="C338" s="7" t="s">
        <v>855</v>
      </c>
      <c r="D338" s="7" t="s">
        <v>841</v>
      </c>
      <c r="E338" s="7"/>
      <c r="F338" s="12" t="n">
        <v>0</v>
      </c>
      <c r="G338" s="8" t="n">
        <v>0</v>
      </c>
      <c r="H338" s="7" t="n">
        <v>0</v>
      </c>
      <c r="I338" s="7"/>
      <c r="J338" s="7" t="n">
        <v>0.01</v>
      </c>
      <c r="K338" s="9" t="s">
        <v>4</v>
      </c>
      <c r="L338" s="7"/>
      <c r="M338" s="7"/>
      <c r="N338" s="10" t="n">
        <f aca="false">IF(AND(ISNUMBER(F338),ISNUMBER(G338)),ABS(G338-F338),"")</f>
        <v>0</v>
      </c>
      <c r="O338" s="4" t="str">
        <f aca="false">IF(AND(ISNUMBER(N338),ISNUMBER(J338)),IF(N338&lt;=J338,"PASS","FAIL"),"n/a")</f>
        <v>PASS</v>
      </c>
    </row>
    <row r="339" customFormat="false" ht="23.85" hidden="false" customHeight="false" outlineLevel="0" collapsed="false">
      <c r="A339" s="7" t="s">
        <v>856</v>
      </c>
      <c r="B339" s="7" t="s">
        <v>437</v>
      </c>
      <c r="C339" s="7" t="s">
        <v>857</v>
      </c>
      <c r="D339" s="7" t="s">
        <v>841</v>
      </c>
      <c r="E339" s="7"/>
      <c r="F339" s="12" t="n">
        <v>0</v>
      </c>
      <c r="G339" s="8" t="n">
        <v>0</v>
      </c>
      <c r="H339" s="7" t="n">
        <v>0</v>
      </c>
      <c r="I339" s="7"/>
      <c r="J339" s="7" t="n">
        <v>0.01</v>
      </c>
      <c r="K339" s="9" t="s">
        <v>4</v>
      </c>
      <c r="L339" s="7"/>
      <c r="M339" s="7"/>
      <c r="N339" s="10" t="n">
        <f aca="false">IF(AND(ISNUMBER(F339),ISNUMBER(G339)),ABS(G339-F339),"")</f>
        <v>0</v>
      </c>
      <c r="O339" s="4" t="str">
        <f aca="false">IF(AND(ISNUMBER(N339),ISNUMBER(J339)),IF(N339&lt;=J339,"PASS","FAIL"),"n/a")</f>
        <v>PASS</v>
      </c>
    </row>
    <row r="340" customFormat="false" ht="23.85" hidden="false" customHeight="false" outlineLevel="0" collapsed="false">
      <c r="A340" s="7" t="s">
        <v>858</v>
      </c>
      <c r="B340" s="7" t="s">
        <v>437</v>
      </c>
      <c r="C340" s="7" t="s">
        <v>859</v>
      </c>
      <c r="D340" s="7" t="s">
        <v>841</v>
      </c>
      <c r="E340" s="7"/>
      <c r="F340" s="12" t="n">
        <v>0</v>
      </c>
      <c r="G340" s="8" t="n">
        <v>0</v>
      </c>
      <c r="H340" s="7" t="n">
        <v>0</v>
      </c>
      <c r="I340" s="7"/>
      <c r="J340" s="7" t="n">
        <v>0.01</v>
      </c>
      <c r="K340" s="9" t="s">
        <v>4</v>
      </c>
      <c r="L340" s="7"/>
      <c r="M340" s="7"/>
      <c r="N340" s="10" t="n">
        <f aca="false">IF(AND(ISNUMBER(F340),ISNUMBER(G340)),ABS(G340-F340),"")</f>
        <v>0</v>
      </c>
      <c r="O340" s="4" t="str">
        <f aca="false">IF(AND(ISNUMBER(N340),ISNUMBER(J340)),IF(N340&lt;=J340,"PASS","FAIL"),"n/a")</f>
        <v>PASS</v>
      </c>
    </row>
    <row r="341" customFormat="false" ht="23.85" hidden="false" customHeight="false" outlineLevel="0" collapsed="false">
      <c r="A341" s="7" t="s">
        <v>860</v>
      </c>
      <c r="B341" s="7" t="s">
        <v>437</v>
      </c>
      <c r="C341" s="7" t="s">
        <v>861</v>
      </c>
      <c r="D341" s="7" t="s">
        <v>841</v>
      </c>
      <c r="E341" s="7"/>
      <c r="F341" s="12" t="n">
        <v>0</v>
      </c>
      <c r="G341" s="8" t="n">
        <v>0</v>
      </c>
      <c r="H341" s="7" t="n">
        <v>0</v>
      </c>
      <c r="I341" s="7"/>
      <c r="J341" s="7" t="n">
        <v>0.01</v>
      </c>
      <c r="K341" s="9" t="s">
        <v>4</v>
      </c>
      <c r="L341" s="7"/>
      <c r="M341" s="7"/>
      <c r="N341" s="10" t="n">
        <f aca="false">IF(AND(ISNUMBER(F341),ISNUMBER(G341)),ABS(G341-F341),"")</f>
        <v>0</v>
      </c>
      <c r="O341" s="4" t="str">
        <f aca="false">IF(AND(ISNUMBER(N341),ISNUMBER(J341)),IF(N341&lt;=J341,"PASS","FAIL"),"n/a")</f>
        <v>PASS</v>
      </c>
    </row>
    <row r="342" customFormat="false" ht="91" hidden="false" customHeight="false" outlineLevel="0" collapsed="false">
      <c r="A342" s="7" t="s">
        <v>862</v>
      </c>
      <c r="B342" s="7" t="s">
        <v>437</v>
      </c>
      <c r="C342" s="7" t="s">
        <v>863</v>
      </c>
      <c r="D342" s="7" t="s">
        <v>841</v>
      </c>
      <c r="E342" s="7" t="s">
        <v>466</v>
      </c>
      <c r="F342" s="7" t="s">
        <v>467</v>
      </c>
      <c r="G342" s="7" t="s">
        <v>468</v>
      </c>
      <c r="H342" s="7"/>
      <c r="I342" s="7"/>
      <c r="J342" s="7" t="s">
        <v>389</v>
      </c>
      <c r="K342" s="9" t="s">
        <v>4</v>
      </c>
      <c r="L342" s="7"/>
      <c r="M342" s="7"/>
      <c r="N342" s="10" t="str">
        <f aca="false">IF(AND(ISNUMBER(F342),ISNUMBER(G342)),ABS(G342-F342),"")</f>
        <v/>
      </c>
      <c r="O342" s="4" t="str">
        <f aca="false">IF(AND(ISNUMBER(N342),ISNUMBER(J342)),IF(N342&lt;=J342,"PASS","FAIL"),"n/a")</f>
        <v>n/a</v>
      </c>
    </row>
    <row r="343" customFormat="false" ht="46.25" hidden="false" customHeight="false" outlineLevel="0" collapsed="false">
      <c r="A343" s="7" t="s">
        <v>864</v>
      </c>
      <c r="B343" s="7" t="s">
        <v>437</v>
      </c>
      <c r="C343" s="7" t="s">
        <v>865</v>
      </c>
      <c r="D343" s="7" t="s">
        <v>841</v>
      </c>
      <c r="E343" s="7" t="s">
        <v>466</v>
      </c>
      <c r="F343" s="7" t="s">
        <v>800</v>
      </c>
      <c r="G343" s="7" t="s">
        <v>801</v>
      </c>
      <c r="H343" s="7"/>
      <c r="I343" s="7"/>
      <c r="J343" s="7" t="s">
        <v>389</v>
      </c>
      <c r="K343" s="9" t="s">
        <v>4</v>
      </c>
      <c r="L343" s="7"/>
      <c r="M343" s="7"/>
      <c r="N343" s="10" t="str">
        <f aca="false">IF(AND(ISNUMBER(F343),ISNUMBER(G343)),ABS(G343-F343),"")</f>
        <v/>
      </c>
      <c r="O343" s="4" t="str">
        <f aca="false">IF(AND(ISNUMBER(N343),ISNUMBER(J343)),IF(N343&lt;=J343,"PASS","FAIL"),"n/a")</f>
        <v>n/a</v>
      </c>
    </row>
    <row r="344" customFormat="false" ht="46.25" hidden="false" customHeight="false" outlineLevel="0" collapsed="false">
      <c r="A344" s="7" t="s">
        <v>866</v>
      </c>
      <c r="B344" s="7" t="s">
        <v>437</v>
      </c>
      <c r="C344" s="7" t="s">
        <v>867</v>
      </c>
      <c r="D344" s="7" t="s">
        <v>841</v>
      </c>
      <c r="E344" s="7" t="s">
        <v>466</v>
      </c>
      <c r="F344" s="7" t="s">
        <v>800</v>
      </c>
      <c r="G344" s="7" t="s">
        <v>801</v>
      </c>
      <c r="H344" s="7"/>
      <c r="I344" s="7"/>
      <c r="J344" s="7" t="s">
        <v>389</v>
      </c>
      <c r="K344" s="9" t="s">
        <v>4</v>
      </c>
      <c r="L344" s="7"/>
      <c r="M344" s="7"/>
      <c r="N344" s="10" t="str">
        <f aca="false">IF(AND(ISNUMBER(F344),ISNUMBER(G344)),ABS(G344-F344),"")</f>
        <v/>
      </c>
      <c r="O344" s="4" t="str">
        <f aca="false">IF(AND(ISNUMBER(N344),ISNUMBER(J344)),IF(N344&lt;=J344,"PASS","FAIL"),"n/a")</f>
        <v>n/a</v>
      </c>
    </row>
    <row r="345" customFormat="false" ht="46.25" hidden="false" customHeight="false" outlineLevel="0" collapsed="false">
      <c r="A345" s="7" t="s">
        <v>868</v>
      </c>
      <c r="B345" s="7" t="s">
        <v>437</v>
      </c>
      <c r="C345" s="7" t="s">
        <v>869</v>
      </c>
      <c r="D345" s="7" t="s">
        <v>841</v>
      </c>
      <c r="E345" s="7" t="s">
        <v>466</v>
      </c>
      <c r="F345" s="7" t="s">
        <v>800</v>
      </c>
      <c r="G345" s="7" t="s">
        <v>801</v>
      </c>
      <c r="H345" s="7"/>
      <c r="I345" s="7"/>
      <c r="J345" s="7" t="s">
        <v>389</v>
      </c>
      <c r="K345" s="9" t="s">
        <v>4</v>
      </c>
      <c r="L345" s="7"/>
      <c r="M345" s="7"/>
      <c r="N345" s="10" t="str">
        <f aca="false">IF(AND(ISNUMBER(F345),ISNUMBER(G345)),ABS(G345-F345),"")</f>
        <v/>
      </c>
      <c r="O345" s="4" t="str">
        <f aca="false">IF(AND(ISNUMBER(N345),ISNUMBER(J345)),IF(N345&lt;=J345,"PASS","FAIL"),"n/a")</f>
        <v>n/a</v>
      </c>
    </row>
    <row r="346" customFormat="false" ht="57.45" hidden="false" customHeight="false" outlineLevel="0" collapsed="false">
      <c r="A346" s="7" t="s">
        <v>870</v>
      </c>
      <c r="B346" s="7" t="s">
        <v>437</v>
      </c>
      <c r="C346" s="7" t="s">
        <v>871</v>
      </c>
      <c r="D346" s="7" t="s">
        <v>841</v>
      </c>
      <c r="E346" s="7"/>
      <c r="F346" s="7" t="s">
        <v>872</v>
      </c>
      <c r="G346" s="7" t="s">
        <v>872</v>
      </c>
      <c r="H346" s="7"/>
      <c r="I346" s="7"/>
      <c r="J346" s="7"/>
      <c r="K346" s="9" t="s">
        <v>4</v>
      </c>
      <c r="L346" s="7"/>
      <c r="M346" s="7"/>
      <c r="N346" s="10" t="str">
        <f aca="false">IF(AND(ISNUMBER(F346),ISNUMBER(G346)),ABS(G346-F346),"")</f>
        <v/>
      </c>
      <c r="O346" s="4" t="str">
        <f aca="false">IF(AND(ISNUMBER(N346),ISNUMBER(J346)),IF(N346&lt;=J346,"PASS","FAIL"),"n/a")</f>
        <v>n/a</v>
      </c>
    </row>
    <row r="347" customFormat="false" ht="23.85" hidden="false" customHeight="false" outlineLevel="0" collapsed="false">
      <c r="A347" s="7" t="s">
        <v>873</v>
      </c>
      <c r="B347" s="7" t="s">
        <v>437</v>
      </c>
      <c r="C347" s="7" t="s">
        <v>874</v>
      </c>
      <c r="D347" s="7" t="s">
        <v>841</v>
      </c>
      <c r="E347" s="7"/>
      <c r="F347" s="8" t="n">
        <v>202649002</v>
      </c>
      <c r="G347" s="12" t="n">
        <v>202649002</v>
      </c>
      <c r="H347" s="7" t="n">
        <v>0</v>
      </c>
      <c r="I347" s="7" t="n">
        <v>0</v>
      </c>
      <c r="J347" s="7" t="n">
        <v>0.5</v>
      </c>
      <c r="K347" s="9" t="s">
        <v>4</v>
      </c>
      <c r="L347" s="7"/>
      <c r="M347" s="7"/>
      <c r="N347" s="10" t="n">
        <f aca="false">IF(AND(ISNUMBER(F347),ISNUMBER(G347)),ABS(G347-F347),"")</f>
        <v>0</v>
      </c>
      <c r="O347" s="4" t="str">
        <f aca="false">IF(AND(ISNUMBER(N347),ISNUMBER(J347)),IF(N347&lt;=J347,"PASS","FAIL"),"n/a")</f>
        <v>PASS</v>
      </c>
    </row>
    <row r="348" customFormat="false" ht="23.85" hidden="false" customHeight="false" outlineLevel="0" collapsed="false">
      <c r="A348" s="7" t="s">
        <v>875</v>
      </c>
      <c r="B348" s="7" t="s">
        <v>437</v>
      </c>
      <c r="C348" s="7" t="s">
        <v>876</v>
      </c>
      <c r="D348" s="7" t="s">
        <v>841</v>
      </c>
      <c r="E348" s="7"/>
      <c r="F348" s="12" t="n">
        <v>202649002.1522</v>
      </c>
      <c r="G348" s="12" t="n">
        <v>202650000</v>
      </c>
      <c r="H348" s="7" t="n">
        <v>997.847800016403</v>
      </c>
      <c r="I348" s="7" t="n">
        <v>4.92402029824439E-006</v>
      </c>
      <c r="J348" s="7" t="n">
        <v>5000</v>
      </c>
      <c r="K348" s="9" t="s">
        <v>4</v>
      </c>
      <c r="L348" s="7"/>
      <c r="M348" s="7"/>
      <c r="N348" s="10" t="n">
        <f aca="false">IF(AND(ISNUMBER(F348),ISNUMBER(G348)),ABS(G348-F348),"")</f>
        <v>997.847799986601</v>
      </c>
      <c r="O348" s="4" t="str">
        <f aca="false">IF(AND(ISNUMBER(N348),ISNUMBER(J348)),IF(N348&lt;=J348,"PASS","FAIL"),"n/a")</f>
        <v>PASS</v>
      </c>
    </row>
    <row r="349" customFormat="false" ht="23.85" hidden="false" customHeight="false" outlineLevel="0" collapsed="false">
      <c r="A349" s="7" t="s">
        <v>877</v>
      </c>
      <c r="B349" s="7" t="s">
        <v>437</v>
      </c>
      <c r="C349" s="7" t="s">
        <v>878</v>
      </c>
      <c r="D349" s="7" t="s">
        <v>841</v>
      </c>
      <c r="E349" s="7"/>
      <c r="F349" s="12" t="n">
        <v>0</v>
      </c>
      <c r="G349" s="12" t="n">
        <v>0</v>
      </c>
      <c r="H349" s="7" t="n">
        <v>0</v>
      </c>
      <c r="I349" s="7"/>
      <c r="J349" s="7" t="n">
        <v>0.5</v>
      </c>
      <c r="K349" s="9" t="s">
        <v>4</v>
      </c>
      <c r="L349" s="7"/>
      <c r="M349" s="7"/>
      <c r="N349" s="10" t="n">
        <f aca="false">IF(AND(ISNUMBER(F349),ISNUMBER(G349)),ABS(G349-F349),"")</f>
        <v>0</v>
      </c>
      <c r="O349" s="4" t="str">
        <f aca="false">IF(AND(ISNUMBER(N349),ISNUMBER(J349)),IF(N349&lt;=J349,"PASS","FAIL"),"n/a")</f>
        <v>PASS</v>
      </c>
    </row>
    <row r="350" customFormat="false" ht="23.85" hidden="false" customHeight="false" outlineLevel="0" collapsed="false">
      <c r="A350" s="7" t="s">
        <v>879</v>
      </c>
      <c r="B350" s="7" t="s">
        <v>437</v>
      </c>
      <c r="C350" s="7" t="s">
        <v>880</v>
      </c>
      <c r="D350" s="7" t="s">
        <v>841</v>
      </c>
      <c r="E350" s="7"/>
      <c r="F350" s="12" t="n">
        <v>202649002.1522</v>
      </c>
      <c r="G350" s="12" t="n">
        <v>202650000</v>
      </c>
      <c r="H350" s="7" t="n">
        <v>997.847800016403</v>
      </c>
      <c r="I350" s="7" t="n">
        <v>4.92402029824439E-006</v>
      </c>
      <c r="J350" s="7" t="n">
        <v>5000</v>
      </c>
      <c r="K350" s="9" t="s">
        <v>4</v>
      </c>
      <c r="L350" s="7"/>
      <c r="M350" s="7"/>
      <c r="N350" s="10" t="n">
        <f aca="false">IF(AND(ISNUMBER(F350),ISNUMBER(G350)),ABS(G350-F350),"")</f>
        <v>997.847799986601</v>
      </c>
      <c r="O350" s="4" t="str">
        <f aca="false">IF(AND(ISNUMBER(N350),ISNUMBER(J350)),IF(N350&lt;=J350,"PASS","FAIL"),"n/a")</f>
        <v>PASS</v>
      </c>
    </row>
    <row r="351" customFormat="false" ht="23.85" hidden="false" customHeight="false" outlineLevel="0" collapsed="false">
      <c r="A351" s="7" t="s">
        <v>881</v>
      </c>
      <c r="B351" s="7" t="s">
        <v>437</v>
      </c>
      <c r="C351" s="7" t="s">
        <v>882</v>
      </c>
      <c r="D351" s="7"/>
      <c r="E351" s="7"/>
      <c r="F351" s="8" t="n">
        <v>0</v>
      </c>
      <c r="G351" s="8" t="n">
        <v>0</v>
      </c>
      <c r="H351" s="7" t="n">
        <v>0</v>
      </c>
      <c r="I351" s="7"/>
      <c r="J351" s="7" t="n">
        <v>0</v>
      </c>
      <c r="K351" s="9" t="s">
        <v>4</v>
      </c>
      <c r="L351" s="7"/>
      <c r="M351" s="7"/>
      <c r="N351" s="10" t="n">
        <f aca="false">IF(AND(ISNUMBER(F351),ISNUMBER(G351)),ABS(G351-F351),"")</f>
        <v>0</v>
      </c>
      <c r="O351" s="4" t="str">
        <f aca="false">IF(AND(ISNUMBER(N351),ISNUMBER(J351)),IF(N351&lt;=J351,"PASS","FAIL"),"n/a")</f>
        <v>PASS</v>
      </c>
    </row>
    <row r="352" customFormat="false" ht="23.85" hidden="false" customHeight="false" outlineLevel="0" collapsed="false">
      <c r="A352" s="7" t="s">
        <v>883</v>
      </c>
      <c r="B352" s="7" t="s">
        <v>437</v>
      </c>
      <c r="C352" s="7" t="s">
        <v>884</v>
      </c>
      <c r="D352" s="7" t="s">
        <v>841</v>
      </c>
      <c r="E352" s="7"/>
      <c r="F352" s="8" t="n">
        <v>32813</v>
      </c>
      <c r="G352" s="8" t="n">
        <v>32813</v>
      </c>
      <c r="H352" s="7" t="n">
        <v>0</v>
      </c>
      <c r="I352" s="7" t="n">
        <v>0</v>
      </c>
      <c r="J352" s="7" t="n">
        <v>0</v>
      </c>
      <c r="K352" s="9" t="s">
        <v>4</v>
      </c>
      <c r="L352" s="7"/>
      <c r="M352" s="7"/>
      <c r="N352" s="10" t="n">
        <f aca="false">IF(AND(ISNUMBER(F352),ISNUMBER(G352)),ABS(G352-F352),"")</f>
        <v>0</v>
      </c>
      <c r="O352" s="4" t="str">
        <f aca="false">IF(AND(ISNUMBER(N352),ISNUMBER(J352)),IF(N352&lt;=J352,"PASS","FAIL"),"n/a")</f>
        <v>PASS</v>
      </c>
    </row>
    <row r="353" customFormat="false" ht="23.85" hidden="false" customHeight="false" outlineLevel="0" collapsed="false">
      <c r="A353" s="7" t="s">
        <v>885</v>
      </c>
      <c r="B353" s="7" t="s">
        <v>437</v>
      </c>
      <c r="C353" s="7" t="s">
        <v>886</v>
      </c>
      <c r="D353" s="7"/>
      <c r="E353" s="7"/>
      <c r="F353" s="8" t="n">
        <v>0</v>
      </c>
      <c r="G353" s="8" t="n">
        <v>0</v>
      </c>
      <c r="H353" s="7" t="n">
        <v>0</v>
      </c>
      <c r="I353" s="7"/>
      <c r="J353" s="7" t="n">
        <v>0</v>
      </c>
      <c r="K353" s="9" t="s">
        <v>4</v>
      </c>
      <c r="L353" s="7"/>
      <c r="M353" s="7"/>
      <c r="N353" s="10" t="n">
        <f aca="false">IF(AND(ISNUMBER(F353),ISNUMBER(G353)),ABS(G353-F353),"")</f>
        <v>0</v>
      </c>
      <c r="O353" s="4" t="str">
        <f aca="false">IF(AND(ISNUMBER(N353),ISNUMBER(J353)),IF(N353&lt;=J353,"PASS","FAIL"),"n/a")</f>
        <v>PASS</v>
      </c>
    </row>
    <row r="354" customFormat="false" ht="23.85" hidden="false" customHeight="false" outlineLevel="0" collapsed="false">
      <c r="A354" s="7" t="s">
        <v>887</v>
      </c>
      <c r="B354" s="7" t="s">
        <v>437</v>
      </c>
      <c r="C354" s="7" t="s">
        <v>888</v>
      </c>
      <c r="D354" s="7"/>
      <c r="E354" s="7"/>
      <c r="F354" s="12" t="n">
        <v>202649002.1522</v>
      </c>
      <c r="G354" s="12" t="n">
        <v>202649002.1522</v>
      </c>
      <c r="H354" s="7" t="n">
        <v>0</v>
      </c>
      <c r="I354" s="7" t="n">
        <v>0</v>
      </c>
      <c r="J354" s="7" t="n">
        <v>0.01</v>
      </c>
      <c r="K354" s="9" t="s">
        <v>4</v>
      </c>
      <c r="L354" s="7"/>
      <c r="M354" s="7"/>
      <c r="N354" s="10" t="n">
        <f aca="false">IF(AND(ISNUMBER(F354),ISNUMBER(G354)),ABS(G354-F354),"")</f>
        <v>0</v>
      </c>
      <c r="O354" s="4" t="str">
        <f aca="false">IF(AND(ISNUMBER(N354),ISNUMBER(J354)),IF(N354&lt;=J354,"PASS","FAIL"),"n/a")</f>
        <v>PASS</v>
      </c>
    </row>
    <row r="355" customFormat="false" ht="23.85" hidden="false" customHeight="false" outlineLevel="0" collapsed="false">
      <c r="A355" s="7" t="s">
        <v>889</v>
      </c>
      <c r="B355" s="7" t="s">
        <v>437</v>
      </c>
      <c r="C355" s="7" t="s">
        <v>890</v>
      </c>
      <c r="D355" s="7"/>
      <c r="E355" s="7"/>
      <c r="F355" s="12" t="n">
        <v>0</v>
      </c>
      <c r="G355" s="12" t="n">
        <v>0</v>
      </c>
      <c r="H355" s="7" t="n">
        <v>0</v>
      </c>
      <c r="I355" s="7"/>
      <c r="J355" s="7" t="n">
        <v>0.01</v>
      </c>
      <c r="K355" s="9" t="s">
        <v>4</v>
      </c>
      <c r="L355" s="7"/>
      <c r="M355" s="7"/>
      <c r="N355" s="10" t="n">
        <f aca="false">IF(AND(ISNUMBER(F355),ISNUMBER(G355)),ABS(G355-F355),"")</f>
        <v>0</v>
      </c>
      <c r="O355" s="4" t="str">
        <f aca="false">IF(AND(ISNUMBER(N355),ISNUMBER(J355)),IF(N355&lt;=J355,"PASS","FAIL"),"n/a")</f>
        <v>PASS</v>
      </c>
    </row>
    <row r="356" customFormat="false" ht="23.85" hidden="false" customHeight="false" outlineLevel="0" collapsed="false">
      <c r="A356" s="7" t="s">
        <v>891</v>
      </c>
      <c r="B356" s="7" t="s">
        <v>437</v>
      </c>
      <c r="C356" s="7" t="s">
        <v>892</v>
      </c>
      <c r="D356" s="7"/>
      <c r="E356" s="7"/>
      <c r="F356" s="12" t="n">
        <v>0</v>
      </c>
      <c r="G356" s="12" t="n">
        <v>0</v>
      </c>
      <c r="H356" s="7" t="n">
        <v>0</v>
      </c>
      <c r="I356" s="7"/>
      <c r="J356" s="7" t="n">
        <v>0.01</v>
      </c>
      <c r="K356" s="9" t="s">
        <v>4</v>
      </c>
      <c r="L356" s="7"/>
      <c r="M356" s="7"/>
      <c r="N356" s="10" t="n">
        <f aca="false">IF(AND(ISNUMBER(F356),ISNUMBER(G356)),ABS(G356-F356),"")</f>
        <v>0</v>
      </c>
      <c r="O356" s="4" t="str">
        <f aca="false">IF(AND(ISNUMBER(N356),ISNUMBER(J356)),IF(N356&lt;=J356,"PASS","FAIL"),"n/a")</f>
        <v>PASS</v>
      </c>
    </row>
    <row r="357" customFormat="false" ht="23.85" hidden="false" customHeight="false" outlineLevel="0" collapsed="false">
      <c r="A357" s="7" t="s">
        <v>893</v>
      </c>
      <c r="B357" s="7" t="s">
        <v>437</v>
      </c>
      <c r="C357" s="7" t="s">
        <v>894</v>
      </c>
      <c r="D357" s="7"/>
      <c r="E357" s="7"/>
      <c r="F357" s="12" t="n">
        <v>0</v>
      </c>
      <c r="G357" s="12" t="n">
        <v>0</v>
      </c>
      <c r="H357" s="7" t="n">
        <v>0</v>
      </c>
      <c r="I357" s="7"/>
      <c r="J357" s="7" t="n">
        <v>0.01</v>
      </c>
      <c r="K357" s="9" t="s">
        <v>4</v>
      </c>
      <c r="L357" s="7"/>
      <c r="M357" s="7"/>
      <c r="N357" s="10" t="n">
        <f aca="false">IF(AND(ISNUMBER(F357),ISNUMBER(G357)),ABS(G357-F357),"")</f>
        <v>0</v>
      </c>
      <c r="O357" s="4" t="str">
        <f aca="false">IF(AND(ISNUMBER(N357),ISNUMBER(J357)),IF(N357&lt;=J357,"PASS","FAIL"),"n/a")</f>
        <v>PASS</v>
      </c>
    </row>
    <row r="358" customFormat="false" ht="23.85" hidden="false" customHeight="false" outlineLevel="0" collapsed="false">
      <c r="A358" s="7" t="s">
        <v>895</v>
      </c>
      <c r="B358" s="7" t="s">
        <v>437</v>
      </c>
      <c r="C358" s="7" t="s">
        <v>896</v>
      </c>
      <c r="D358" s="7" t="s">
        <v>897</v>
      </c>
      <c r="E358" s="7"/>
      <c r="F358" s="8" t="n">
        <v>1565</v>
      </c>
      <c r="G358" s="8" t="n">
        <v>1565</v>
      </c>
      <c r="H358" s="7" t="n">
        <v>0</v>
      </c>
      <c r="I358" s="7" t="n">
        <v>0</v>
      </c>
      <c r="J358" s="7" t="n">
        <v>0</v>
      </c>
      <c r="K358" s="9" t="s">
        <v>4</v>
      </c>
      <c r="L358" s="7"/>
      <c r="M358" s="7"/>
      <c r="N358" s="10" t="n">
        <f aca="false">IF(AND(ISNUMBER(F358),ISNUMBER(G358)),ABS(G358-F358),"")</f>
        <v>0</v>
      </c>
      <c r="O358" s="4" t="str">
        <f aca="false">IF(AND(ISNUMBER(N358),ISNUMBER(J358)),IF(N358&lt;=J358,"PASS","FAIL"),"n/a")</f>
        <v>PASS</v>
      </c>
    </row>
    <row r="359" customFormat="false" ht="23.85" hidden="false" customHeight="false" outlineLevel="0" collapsed="false">
      <c r="A359" s="7" t="s">
        <v>898</v>
      </c>
      <c r="B359" s="7" t="s">
        <v>437</v>
      </c>
      <c r="C359" s="7" t="s">
        <v>899</v>
      </c>
      <c r="D359" s="7" t="s">
        <v>897</v>
      </c>
      <c r="E359" s="7"/>
      <c r="F359" s="12" t="n">
        <v>7870736.9617</v>
      </c>
      <c r="G359" s="12" t="n">
        <v>7870736.9617</v>
      </c>
      <c r="H359" s="7" t="n">
        <v>2.79396772384644E-009</v>
      </c>
      <c r="I359" s="7" t="n">
        <v>3.5498171739727E-016</v>
      </c>
      <c r="J359" s="7" t="n">
        <v>0.01</v>
      </c>
      <c r="K359" s="9" t="s">
        <v>4</v>
      </c>
      <c r="L359" s="7"/>
      <c r="M359" s="7"/>
      <c r="N359" s="10" t="n">
        <f aca="false">IF(AND(ISNUMBER(F359),ISNUMBER(G359)),ABS(G359-F359),"")</f>
        <v>0</v>
      </c>
      <c r="O359" s="4" t="str">
        <f aca="false">IF(AND(ISNUMBER(N359),ISNUMBER(J359)),IF(N359&lt;=J359,"PASS","FAIL"),"n/a")</f>
        <v>PASS</v>
      </c>
    </row>
    <row r="360" customFormat="false" ht="23.85" hidden="false" customHeight="false" outlineLevel="0" collapsed="false">
      <c r="A360" s="7" t="s">
        <v>900</v>
      </c>
      <c r="B360" s="7" t="s">
        <v>437</v>
      </c>
      <c r="C360" s="7" t="s">
        <v>901</v>
      </c>
      <c r="D360" s="7" t="s">
        <v>897</v>
      </c>
      <c r="E360" s="7"/>
      <c r="F360" s="12" t="n">
        <v>6386447.3593</v>
      </c>
      <c r="G360" s="12" t="n">
        <v>6386447.3593</v>
      </c>
      <c r="H360" s="7" t="n">
        <v>9.31322574615479E-010</v>
      </c>
      <c r="I360" s="7" t="n">
        <v>1.45827957582595E-016</v>
      </c>
      <c r="J360" s="7" t="n">
        <v>0.01</v>
      </c>
      <c r="K360" s="9" t="s">
        <v>4</v>
      </c>
      <c r="L360" s="7"/>
      <c r="M360" s="7"/>
      <c r="N360" s="10" t="n">
        <f aca="false">IF(AND(ISNUMBER(F360),ISNUMBER(G360)),ABS(G360-F360),"")</f>
        <v>0</v>
      </c>
      <c r="O360" s="4" t="str">
        <f aca="false">IF(AND(ISNUMBER(N360),ISNUMBER(J360)),IF(N360&lt;=J360,"PASS","FAIL"),"n/a")</f>
        <v>PASS</v>
      </c>
    </row>
    <row r="361" customFormat="false" ht="23.85" hidden="false" customHeight="false" outlineLevel="0" collapsed="false">
      <c r="A361" s="7" t="s">
        <v>902</v>
      </c>
      <c r="B361" s="7" t="s">
        <v>437</v>
      </c>
      <c r="C361" s="7" t="s">
        <v>903</v>
      </c>
      <c r="D361" s="7" t="s">
        <v>897</v>
      </c>
      <c r="E361" s="7"/>
      <c r="F361" s="12" t="n">
        <v>1484289.6024</v>
      </c>
      <c r="G361" s="12" t="n">
        <v>1484289.6024</v>
      </c>
      <c r="H361" s="7" t="n">
        <v>1.86264514923096E-009</v>
      </c>
      <c r="I361" s="7" t="n">
        <v>1.25490682291325E-015</v>
      </c>
      <c r="J361" s="7" t="n">
        <v>0.01</v>
      </c>
      <c r="K361" s="9" t="s">
        <v>4</v>
      </c>
      <c r="L361" s="7"/>
      <c r="M361" s="7"/>
      <c r="N361" s="10" t="n">
        <f aca="false">IF(AND(ISNUMBER(F361),ISNUMBER(G361)),ABS(G361-F361),"")</f>
        <v>0</v>
      </c>
      <c r="O361" s="4" t="str">
        <f aca="false">IF(AND(ISNUMBER(N361),ISNUMBER(J361)),IF(N361&lt;=J361,"PASS","FAIL"),"n/a")</f>
        <v>PASS</v>
      </c>
    </row>
    <row r="362" customFormat="false" ht="23.85" hidden="false" customHeight="false" outlineLevel="0" collapsed="false">
      <c r="A362" s="7" t="s">
        <v>904</v>
      </c>
      <c r="B362" s="7" t="s">
        <v>437</v>
      </c>
      <c r="C362" s="7" t="s">
        <v>905</v>
      </c>
      <c r="D362" s="7" t="s">
        <v>897</v>
      </c>
      <c r="E362" s="7"/>
      <c r="F362" s="12" t="n">
        <v>7870736.9617</v>
      </c>
      <c r="G362" s="12" t="n">
        <v>7870736.9617</v>
      </c>
      <c r="H362" s="7" t="n">
        <v>2.79396772384644E-009</v>
      </c>
      <c r="I362" s="7" t="n">
        <v>3.5498171739727E-016</v>
      </c>
      <c r="J362" s="7" t="n">
        <v>0.01</v>
      </c>
      <c r="K362" s="9" t="s">
        <v>4</v>
      </c>
      <c r="L362" s="7"/>
      <c r="M362" s="7"/>
      <c r="N362" s="10" t="n">
        <f aca="false">IF(AND(ISNUMBER(F362),ISNUMBER(G362)),ABS(G362-F362),"")</f>
        <v>0</v>
      </c>
      <c r="O362" s="4" t="str">
        <f aca="false">IF(AND(ISNUMBER(N362),ISNUMBER(J362)),IF(N362&lt;=J362,"PASS","FAIL"),"n/a")</f>
        <v>PASS</v>
      </c>
    </row>
    <row r="363" customFormat="false" ht="23.85" hidden="false" customHeight="false" outlineLevel="0" collapsed="false">
      <c r="A363" s="7" t="s">
        <v>906</v>
      </c>
      <c r="B363" s="7" t="s">
        <v>437</v>
      </c>
      <c r="C363" s="7" t="s">
        <v>907</v>
      </c>
      <c r="D363" s="7" t="s">
        <v>897</v>
      </c>
      <c r="E363" s="7"/>
      <c r="F363" s="12" t="n">
        <v>3871019.6376</v>
      </c>
      <c r="G363" s="12" t="n">
        <v>3871019.6376</v>
      </c>
      <c r="H363" s="7" t="n">
        <v>9.31322574615479E-010</v>
      </c>
      <c r="I363" s="7" t="n">
        <v>2.40588439688953E-016</v>
      </c>
      <c r="J363" s="7" t="n">
        <v>0.01</v>
      </c>
      <c r="K363" s="9" t="s">
        <v>4</v>
      </c>
      <c r="L363" s="7"/>
      <c r="M363" s="7"/>
      <c r="N363" s="10" t="n">
        <f aca="false">IF(AND(ISNUMBER(F363),ISNUMBER(G363)),ABS(G363-F363),"")</f>
        <v>0</v>
      </c>
      <c r="O363" s="4" t="str">
        <f aca="false">IF(AND(ISNUMBER(N363),ISNUMBER(J363)),IF(N363&lt;=J363,"PASS","FAIL"),"n/a")</f>
        <v>PASS</v>
      </c>
    </row>
    <row r="364" customFormat="false" ht="23.85" hidden="false" customHeight="false" outlineLevel="0" collapsed="false">
      <c r="A364" s="7" t="s">
        <v>908</v>
      </c>
      <c r="B364" s="7" t="s">
        <v>437</v>
      </c>
      <c r="C364" s="7" t="s">
        <v>909</v>
      </c>
      <c r="D364" s="7" t="s">
        <v>897</v>
      </c>
      <c r="E364" s="7"/>
      <c r="F364" s="12" t="n">
        <v>1104321.9498</v>
      </c>
      <c r="G364" s="12" t="n">
        <v>1104321.9498</v>
      </c>
      <c r="H364" s="7" t="n">
        <v>0</v>
      </c>
      <c r="I364" s="7" t="n">
        <v>0</v>
      </c>
      <c r="J364" s="7" t="n">
        <v>0.01</v>
      </c>
      <c r="K364" s="9" t="s">
        <v>4</v>
      </c>
      <c r="L364" s="7"/>
      <c r="M364" s="7"/>
      <c r="N364" s="10" t="n">
        <f aca="false">IF(AND(ISNUMBER(F364),ISNUMBER(G364)),ABS(G364-F364),"")</f>
        <v>0</v>
      </c>
      <c r="O364" s="4" t="str">
        <f aca="false">IF(AND(ISNUMBER(N364),ISNUMBER(J364)),IF(N364&lt;=J364,"PASS","FAIL"),"n/a")</f>
        <v>PASS</v>
      </c>
    </row>
    <row r="365" customFormat="false" ht="23.85" hidden="false" customHeight="false" outlineLevel="0" collapsed="false">
      <c r="A365" s="7" t="s">
        <v>910</v>
      </c>
      <c r="B365" s="7" t="s">
        <v>437</v>
      </c>
      <c r="C365" s="7" t="s">
        <v>911</v>
      </c>
      <c r="D365" s="7" t="s">
        <v>897</v>
      </c>
      <c r="E365" s="7"/>
      <c r="F365" s="12" t="n">
        <v>1411105.7719</v>
      </c>
      <c r="G365" s="12" t="n">
        <v>1411105.7719</v>
      </c>
      <c r="H365" s="7" t="n">
        <v>0</v>
      </c>
      <c r="I365" s="7" t="n">
        <v>0</v>
      </c>
      <c r="J365" s="7" t="n">
        <v>0.01</v>
      </c>
      <c r="K365" s="9" t="s">
        <v>4</v>
      </c>
      <c r="L365" s="7"/>
      <c r="M365" s="7"/>
      <c r="N365" s="10" t="n">
        <f aca="false">IF(AND(ISNUMBER(F365),ISNUMBER(G365)),ABS(G365-F365),"")</f>
        <v>0</v>
      </c>
      <c r="O365" s="4" t="str">
        <f aca="false">IF(AND(ISNUMBER(N365),ISNUMBER(J365)),IF(N365&lt;=J365,"PASS","FAIL"),"n/a")</f>
        <v>PASS</v>
      </c>
    </row>
    <row r="366" customFormat="false" ht="23.85" hidden="false" customHeight="false" outlineLevel="0" collapsed="false">
      <c r="A366" s="7" t="s">
        <v>912</v>
      </c>
      <c r="B366" s="7" t="s">
        <v>437</v>
      </c>
      <c r="C366" s="7" t="s">
        <v>913</v>
      </c>
      <c r="D366" s="7" t="s">
        <v>897</v>
      </c>
      <c r="E366" s="7"/>
      <c r="F366" s="12" t="n">
        <v>90255.52</v>
      </c>
      <c r="G366" s="12" t="n">
        <v>90255.52</v>
      </c>
      <c r="H366" s="7" t="n">
        <v>1.45519152283669E-011</v>
      </c>
      <c r="I366" s="7" t="n">
        <v>1.61230196539412E-016</v>
      </c>
      <c r="J366" s="7" t="n">
        <v>0.01</v>
      </c>
      <c r="K366" s="9" t="s">
        <v>4</v>
      </c>
      <c r="L366" s="7"/>
      <c r="M366" s="7"/>
      <c r="N366" s="10" t="n">
        <f aca="false">IF(AND(ISNUMBER(F366),ISNUMBER(G366)),ABS(G366-F366),"")</f>
        <v>0</v>
      </c>
      <c r="O366" s="4" t="str">
        <f aca="false">IF(AND(ISNUMBER(N366),ISNUMBER(J366)),IF(N366&lt;=J366,"PASS","FAIL"),"n/a")</f>
        <v>PASS</v>
      </c>
    </row>
    <row r="367" customFormat="false" ht="23.85" hidden="false" customHeight="false" outlineLevel="0" collapsed="false">
      <c r="A367" s="7" t="s">
        <v>914</v>
      </c>
      <c r="B367" s="7" t="s">
        <v>437</v>
      </c>
      <c r="C367" s="7" t="s">
        <v>915</v>
      </c>
      <c r="D367" s="7" t="s">
        <v>897</v>
      </c>
      <c r="E367" s="7"/>
      <c r="F367" s="12" t="n">
        <v>36277.8076</v>
      </c>
      <c r="G367" s="12" t="n">
        <v>36277.8076</v>
      </c>
      <c r="H367" s="7" t="n">
        <v>0</v>
      </c>
      <c r="I367" s="7" t="n">
        <v>0</v>
      </c>
      <c r="J367" s="7" t="n">
        <v>0.01</v>
      </c>
      <c r="K367" s="9" t="s">
        <v>4</v>
      </c>
      <c r="L367" s="7"/>
      <c r="M367" s="7"/>
      <c r="N367" s="10" t="n">
        <f aca="false">IF(AND(ISNUMBER(F367),ISNUMBER(G367)),ABS(G367-F367),"")</f>
        <v>0</v>
      </c>
      <c r="O367" s="4" t="str">
        <f aca="false">IF(AND(ISNUMBER(N367),ISNUMBER(J367)),IF(N367&lt;=J367,"PASS","FAIL"),"n/a")</f>
        <v>PASS</v>
      </c>
    </row>
    <row r="368" customFormat="false" ht="23.85" hidden="false" customHeight="false" outlineLevel="0" collapsed="false">
      <c r="A368" s="7" t="s">
        <v>916</v>
      </c>
      <c r="B368" s="7" t="s">
        <v>437</v>
      </c>
      <c r="C368" s="7" t="s">
        <v>917</v>
      </c>
      <c r="D368" s="7" t="s">
        <v>897</v>
      </c>
      <c r="E368" s="7"/>
      <c r="F368" s="12" t="n">
        <v>164557.5623</v>
      </c>
      <c r="G368" s="12" t="n">
        <v>164557.5623</v>
      </c>
      <c r="H368" s="7" t="n">
        <v>2.91038304567337E-011</v>
      </c>
      <c r="I368" s="7" t="n">
        <v>1.76861093771403E-016</v>
      </c>
      <c r="J368" s="7" t="n">
        <v>0.01</v>
      </c>
      <c r="K368" s="9" t="s">
        <v>4</v>
      </c>
      <c r="L368" s="7"/>
      <c r="M368" s="7"/>
      <c r="N368" s="10" t="n">
        <f aca="false">IF(AND(ISNUMBER(F368),ISNUMBER(G368)),ABS(G368-F368),"")</f>
        <v>0</v>
      </c>
      <c r="O368" s="4" t="str">
        <f aca="false">IF(AND(ISNUMBER(N368),ISNUMBER(J368)),IF(N368&lt;=J368,"PASS","FAIL"),"n/a")</f>
        <v>PASS</v>
      </c>
    </row>
    <row r="369" customFormat="false" ht="68.65" hidden="false" customHeight="false" outlineLevel="0" collapsed="false">
      <c r="A369" s="7" t="s">
        <v>918</v>
      </c>
      <c r="B369" s="7" t="s">
        <v>437</v>
      </c>
      <c r="C369" s="7" t="s">
        <v>919</v>
      </c>
      <c r="D369" s="7" t="s">
        <v>897</v>
      </c>
      <c r="E369" s="7" t="s">
        <v>466</v>
      </c>
      <c r="F369" s="7" t="s">
        <v>920</v>
      </c>
      <c r="G369" s="7" t="s">
        <v>921</v>
      </c>
      <c r="H369" s="7"/>
      <c r="I369" s="7"/>
      <c r="J369" s="7" t="s">
        <v>389</v>
      </c>
      <c r="K369" s="9" t="s">
        <v>4</v>
      </c>
      <c r="L369" s="7"/>
      <c r="M369" s="7"/>
      <c r="N369" s="10" t="str">
        <f aca="false">IF(AND(ISNUMBER(F369),ISNUMBER(G369)),ABS(G369-F369),"")</f>
        <v/>
      </c>
      <c r="O369" s="4" t="str">
        <f aca="false">IF(AND(ISNUMBER(N369),ISNUMBER(J369)),IF(N369&lt;=J369,"PASS","FAIL"),"n/a")</f>
        <v>n/a</v>
      </c>
    </row>
    <row r="370" customFormat="false" ht="68.65" hidden="false" customHeight="false" outlineLevel="0" collapsed="false">
      <c r="A370" s="7" t="s">
        <v>922</v>
      </c>
      <c r="B370" s="7" t="s">
        <v>437</v>
      </c>
      <c r="C370" s="7" t="s">
        <v>923</v>
      </c>
      <c r="D370" s="7" t="s">
        <v>897</v>
      </c>
      <c r="E370" s="7" t="s">
        <v>466</v>
      </c>
      <c r="F370" s="7" t="s">
        <v>924</v>
      </c>
      <c r="G370" s="7" t="s">
        <v>925</v>
      </c>
      <c r="H370" s="7"/>
      <c r="I370" s="7"/>
      <c r="J370" s="7" t="s">
        <v>389</v>
      </c>
      <c r="K370" s="9" t="s">
        <v>4</v>
      </c>
      <c r="L370" s="7"/>
      <c r="M370" s="7"/>
      <c r="N370" s="10" t="str">
        <f aca="false">IF(AND(ISNUMBER(F370),ISNUMBER(G370)),ABS(G370-F370),"")</f>
        <v/>
      </c>
      <c r="O370" s="4" t="str">
        <f aca="false">IF(AND(ISNUMBER(N370),ISNUMBER(J370)),IF(N370&lt;=J370,"PASS","FAIL"),"n/a")</f>
        <v>n/a</v>
      </c>
    </row>
    <row r="371" customFormat="false" ht="68.65" hidden="false" customHeight="false" outlineLevel="0" collapsed="false">
      <c r="A371" s="7" t="s">
        <v>926</v>
      </c>
      <c r="B371" s="7" t="s">
        <v>437</v>
      </c>
      <c r="C371" s="7" t="s">
        <v>927</v>
      </c>
      <c r="D371" s="7" t="s">
        <v>897</v>
      </c>
      <c r="E371" s="7" t="s">
        <v>466</v>
      </c>
      <c r="F371" s="7" t="s">
        <v>928</v>
      </c>
      <c r="G371" s="7" t="s">
        <v>929</v>
      </c>
      <c r="H371" s="7"/>
      <c r="I371" s="7"/>
      <c r="J371" s="7" t="s">
        <v>389</v>
      </c>
      <c r="K371" s="9" t="s">
        <v>4</v>
      </c>
      <c r="L371" s="7"/>
      <c r="M371" s="7"/>
      <c r="N371" s="10" t="str">
        <f aca="false">IF(AND(ISNUMBER(F371),ISNUMBER(G371)),ABS(G371-F371),"")</f>
        <v/>
      </c>
      <c r="O371" s="4" t="str">
        <f aca="false">IF(AND(ISNUMBER(N371),ISNUMBER(J371)),IF(N371&lt;=J371,"PASS","FAIL"),"n/a")</f>
        <v>n/a</v>
      </c>
    </row>
    <row r="372" customFormat="false" ht="68.65" hidden="false" customHeight="false" outlineLevel="0" collapsed="false">
      <c r="A372" s="7" t="s">
        <v>930</v>
      </c>
      <c r="B372" s="7" t="s">
        <v>437</v>
      </c>
      <c r="C372" s="7" t="s">
        <v>931</v>
      </c>
      <c r="D372" s="7" t="s">
        <v>897</v>
      </c>
      <c r="E372" s="7" t="s">
        <v>466</v>
      </c>
      <c r="F372" s="7" t="s">
        <v>932</v>
      </c>
      <c r="G372" s="7" t="s">
        <v>933</v>
      </c>
      <c r="H372" s="7"/>
      <c r="I372" s="7"/>
      <c r="J372" s="7" t="s">
        <v>389</v>
      </c>
      <c r="K372" s="9" t="s">
        <v>4</v>
      </c>
      <c r="L372" s="7"/>
      <c r="M372" s="7"/>
      <c r="N372" s="10" t="str">
        <f aca="false">IF(AND(ISNUMBER(F372),ISNUMBER(G372)),ABS(G372-F372),"")</f>
        <v/>
      </c>
      <c r="O372" s="4" t="str">
        <f aca="false">IF(AND(ISNUMBER(N372),ISNUMBER(J372)),IF(N372&lt;=J372,"PASS","FAIL"),"n/a")</f>
        <v>n/a</v>
      </c>
    </row>
    <row r="373" customFormat="false" ht="57.45" hidden="false" customHeight="false" outlineLevel="0" collapsed="false">
      <c r="A373" s="7" t="s">
        <v>934</v>
      </c>
      <c r="B373" s="7" t="s">
        <v>437</v>
      </c>
      <c r="C373" s="7" t="s">
        <v>935</v>
      </c>
      <c r="D373" s="7" t="s">
        <v>897</v>
      </c>
      <c r="E373" s="7"/>
      <c r="F373" s="7" t="s">
        <v>936</v>
      </c>
      <c r="G373" s="7" t="s">
        <v>936</v>
      </c>
      <c r="H373" s="7"/>
      <c r="I373" s="7"/>
      <c r="J373" s="7"/>
      <c r="K373" s="9" t="s">
        <v>4</v>
      </c>
      <c r="L373" s="7"/>
      <c r="M373" s="7"/>
      <c r="N373" s="10" t="str">
        <f aca="false">IF(AND(ISNUMBER(F373),ISNUMBER(G373)),ABS(G373-F373),"")</f>
        <v/>
      </c>
      <c r="O373" s="4" t="str">
        <f aca="false">IF(AND(ISNUMBER(N373),ISNUMBER(J373)),IF(N373&lt;=J373,"PASS","FAIL"),"n/a")</f>
        <v>n/a</v>
      </c>
    </row>
    <row r="374" customFormat="false" ht="23.85" hidden="false" customHeight="false" outlineLevel="0" collapsed="false">
      <c r="A374" s="7" t="s">
        <v>937</v>
      </c>
      <c r="B374" s="7" t="s">
        <v>437</v>
      </c>
      <c r="C374" s="7" t="s">
        <v>938</v>
      </c>
      <c r="D374" s="7" t="s">
        <v>897</v>
      </c>
      <c r="E374" s="7"/>
      <c r="F374" s="8" t="n">
        <v>7870737</v>
      </c>
      <c r="G374" s="12" t="n">
        <v>7870737</v>
      </c>
      <c r="H374" s="7" t="n">
        <v>0</v>
      </c>
      <c r="I374" s="7" t="n">
        <v>0</v>
      </c>
      <c r="J374" s="7" t="n">
        <v>0.5</v>
      </c>
      <c r="K374" s="9" t="s">
        <v>4</v>
      </c>
      <c r="L374" s="7"/>
      <c r="M374" s="7"/>
      <c r="N374" s="10" t="n">
        <f aca="false">IF(AND(ISNUMBER(F374),ISNUMBER(G374)),ABS(G374-F374),"")</f>
        <v>0</v>
      </c>
      <c r="O374" s="4" t="str">
        <f aca="false">IF(AND(ISNUMBER(N374),ISNUMBER(J374)),IF(N374&lt;=J374,"PASS","FAIL"),"n/a")</f>
        <v>PASS</v>
      </c>
    </row>
    <row r="375" customFormat="false" ht="23.85" hidden="false" customHeight="false" outlineLevel="0" collapsed="false">
      <c r="A375" s="7" t="s">
        <v>939</v>
      </c>
      <c r="B375" s="7" t="s">
        <v>437</v>
      </c>
      <c r="C375" s="7" t="s">
        <v>940</v>
      </c>
      <c r="D375" s="7" t="s">
        <v>897</v>
      </c>
      <c r="E375" s="7"/>
      <c r="F375" s="12" t="n">
        <v>7870736.9617</v>
      </c>
      <c r="G375" s="12" t="n">
        <v>7870000</v>
      </c>
      <c r="H375" s="7" t="n">
        <v>736.961699999869</v>
      </c>
      <c r="I375" s="7" t="n">
        <v>9.3633125282425E-005</v>
      </c>
      <c r="J375" s="7" t="n">
        <v>5000</v>
      </c>
      <c r="K375" s="9" t="s">
        <v>4</v>
      </c>
      <c r="L375" s="7"/>
      <c r="M375" s="7"/>
      <c r="N375" s="10" t="n">
        <f aca="false">IF(AND(ISNUMBER(F375),ISNUMBER(G375)),ABS(G375-F375),"")</f>
        <v>736.961699999869</v>
      </c>
      <c r="O375" s="4" t="str">
        <f aca="false">IF(AND(ISNUMBER(N375),ISNUMBER(J375)),IF(N375&lt;=J375,"PASS","FAIL"),"n/a")</f>
        <v>PASS</v>
      </c>
    </row>
    <row r="376" customFormat="false" ht="23.85" hidden="false" customHeight="false" outlineLevel="0" collapsed="false">
      <c r="A376" s="7" t="s">
        <v>941</v>
      </c>
      <c r="B376" s="7" t="s">
        <v>437</v>
      </c>
      <c r="C376" s="7" t="s">
        <v>942</v>
      </c>
      <c r="D376" s="7" t="s">
        <v>897</v>
      </c>
      <c r="E376" s="7"/>
      <c r="F376" s="12" t="n">
        <v>6386447.3593</v>
      </c>
      <c r="G376" s="12" t="n">
        <v>6390000</v>
      </c>
      <c r="H376" s="7" t="n">
        <v>3552.64070000034</v>
      </c>
      <c r="I376" s="7" t="n">
        <v>0.000556278083906376</v>
      </c>
      <c r="J376" s="7" t="n">
        <v>5000</v>
      </c>
      <c r="K376" s="9" t="s">
        <v>4</v>
      </c>
      <c r="L376" s="7"/>
      <c r="M376" s="7"/>
      <c r="N376" s="10" t="n">
        <f aca="false">IF(AND(ISNUMBER(F376),ISNUMBER(G376)),ABS(G376-F376),"")</f>
        <v>3552.64070000034</v>
      </c>
      <c r="O376" s="4" t="str">
        <f aca="false">IF(AND(ISNUMBER(N376),ISNUMBER(J376)),IF(N376&lt;=J376,"PASS","FAIL"),"n/a")</f>
        <v>PASS</v>
      </c>
    </row>
    <row r="377" customFormat="false" ht="23.85" hidden="false" customHeight="false" outlineLevel="0" collapsed="false">
      <c r="A377" s="7" t="s">
        <v>943</v>
      </c>
      <c r="B377" s="7" t="s">
        <v>437</v>
      </c>
      <c r="C377" s="7" t="s">
        <v>944</v>
      </c>
      <c r="D377" s="7" t="s">
        <v>897</v>
      </c>
      <c r="E377" s="7"/>
      <c r="F377" s="12" t="n">
        <v>1484289.6024</v>
      </c>
      <c r="G377" s="12" t="n">
        <v>1480000</v>
      </c>
      <c r="H377" s="7" t="n">
        <v>4289.60240000021</v>
      </c>
      <c r="I377" s="7" t="n">
        <v>0.00289000367115972</v>
      </c>
      <c r="J377" s="7" t="n">
        <v>5000</v>
      </c>
      <c r="K377" s="9" t="s">
        <v>4</v>
      </c>
      <c r="L377" s="7"/>
      <c r="M377" s="7"/>
      <c r="N377" s="10" t="n">
        <f aca="false">IF(AND(ISNUMBER(F377),ISNUMBER(G377)),ABS(G377-F377),"")</f>
        <v>4289.60239999997</v>
      </c>
      <c r="O377" s="4" t="str">
        <f aca="false">IF(AND(ISNUMBER(N377),ISNUMBER(J377)),IF(N377&lt;=J377,"PASS","FAIL"),"n/a")</f>
        <v>PASS</v>
      </c>
    </row>
    <row r="378" customFormat="false" ht="23.85" hidden="false" customHeight="false" outlineLevel="0" collapsed="false">
      <c r="A378" s="7" t="s">
        <v>945</v>
      </c>
      <c r="B378" s="7" t="s">
        <v>437</v>
      </c>
      <c r="C378" s="7" t="s">
        <v>946</v>
      </c>
      <c r="D378" s="7"/>
      <c r="E378" s="7"/>
      <c r="F378" s="8" t="n">
        <v>0</v>
      </c>
      <c r="G378" s="8" t="n">
        <v>0</v>
      </c>
      <c r="H378" s="7" t="n">
        <v>0</v>
      </c>
      <c r="I378" s="7"/>
      <c r="J378" s="7" t="n">
        <v>0</v>
      </c>
      <c r="K378" s="9" t="s">
        <v>4</v>
      </c>
      <c r="L378" s="7"/>
      <c r="M378" s="7"/>
      <c r="N378" s="10" t="n">
        <f aca="false">IF(AND(ISNUMBER(F378),ISNUMBER(G378)),ABS(G378-F378),"")</f>
        <v>0</v>
      </c>
      <c r="O378" s="4" t="str">
        <f aca="false">IF(AND(ISNUMBER(N378),ISNUMBER(J378)),IF(N378&lt;=J378,"PASS","FAIL"),"n/a")</f>
        <v>PASS</v>
      </c>
    </row>
    <row r="379" customFormat="false" ht="23.85" hidden="false" customHeight="false" outlineLevel="0" collapsed="false">
      <c r="A379" s="7" t="s">
        <v>947</v>
      </c>
      <c r="B379" s="7" t="s">
        <v>437</v>
      </c>
      <c r="C379" s="7" t="s">
        <v>948</v>
      </c>
      <c r="D379" s="7" t="s">
        <v>897</v>
      </c>
      <c r="E379" s="7"/>
      <c r="F379" s="8" t="n">
        <v>1565</v>
      </c>
      <c r="G379" s="8" t="n">
        <v>1565</v>
      </c>
      <c r="H379" s="7" t="n">
        <v>0</v>
      </c>
      <c r="I379" s="7" t="n">
        <v>0</v>
      </c>
      <c r="J379" s="7" t="n">
        <v>0</v>
      </c>
      <c r="K379" s="9" t="s">
        <v>4</v>
      </c>
      <c r="L379" s="7"/>
      <c r="M379" s="7"/>
      <c r="N379" s="10" t="n">
        <f aca="false">IF(AND(ISNUMBER(F379),ISNUMBER(G379)),ABS(G379-F379),"")</f>
        <v>0</v>
      </c>
      <c r="O379" s="4" t="str">
        <f aca="false">IF(AND(ISNUMBER(N379),ISNUMBER(J379)),IF(N379&lt;=J379,"PASS","FAIL"),"n/a")</f>
        <v>PASS</v>
      </c>
    </row>
    <row r="380" customFormat="false" ht="23.85" hidden="false" customHeight="false" outlineLevel="0" collapsed="false">
      <c r="A380" s="7" t="s">
        <v>949</v>
      </c>
      <c r="B380" s="7" t="s">
        <v>437</v>
      </c>
      <c r="C380" s="7" t="s">
        <v>950</v>
      </c>
      <c r="D380" s="7"/>
      <c r="E380" s="7"/>
      <c r="F380" s="8" t="n">
        <v>0</v>
      </c>
      <c r="G380" s="8" t="n">
        <v>0</v>
      </c>
      <c r="H380" s="7" t="n">
        <v>0</v>
      </c>
      <c r="I380" s="7"/>
      <c r="J380" s="7" t="n">
        <v>0</v>
      </c>
      <c r="K380" s="9" t="s">
        <v>4</v>
      </c>
      <c r="L380" s="7"/>
      <c r="M380" s="7"/>
      <c r="N380" s="10" t="n">
        <f aca="false">IF(AND(ISNUMBER(F380),ISNUMBER(G380)),ABS(G380-F380),"")</f>
        <v>0</v>
      </c>
      <c r="O380" s="4" t="str">
        <f aca="false">IF(AND(ISNUMBER(N380),ISNUMBER(J380)),IF(N380&lt;=J380,"PASS","FAIL"),"n/a")</f>
        <v>PASS</v>
      </c>
    </row>
    <row r="381" customFormat="false" ht="23.85" hidden="false" customHeight="false" outlineLevel="0" collapsed="false">
      <c r="A381" s="7" t="s">
        <v>951</v>
      </c>
      <c r="B381" s="7" t="s">
        <v>437</v>
      </c>
      <c r="C381" s="7" t="s">
        <v>952</v>
      </c>
      <c r="D381" s="7"/>
      <c r="E381" s="7"/>
      <c r="F381" s="12" t="n">
        <v>7870736.9617</v>
      </c>
      <c r="G381" s="12" t="n">
        <v>7870736.9617</v>
      </c>
      <c r="H381" s="7" t="n">
        <v>0</v>
      </c>
      <c r="I381" s="7" t="n">
        <v>0</v>
      </c>
      <c r="J381" s="7" t="n">
        <v>0.01</v>
      </c>
      <c r="K381" s="9" t="s">
        <v>4</v>
      </c>
      <c r="L381" s="7"/>
      <c r="M381" s="7"/>
      <c r="N381" s="10" t="n">
        <f aca="false">IF(AND(ISNUMBER(F381),ISNUMBER(G381)),ABS(G381-F381),"")</f>
        <v>0</v>
      </c>
      <c r="O381" s="4" t="str">
        <f aca="false">IF(AND(ISNUMBER(N381),ISNUMBER(J381)),IF(N381&lt;=J381,"PASS","FAIL"),"n/a")</f>
        <v>PASS</v>
      </c>
    </row>
    <row r="382" customFormat="false" ht="23.85" hidden="false" customHeight="false" outlineLevel="0" collapsed="false">
      <c r="A382" s="7" t="s">
        <v>953</v>
      </c>
      <c r="B382" s="7" t="s">
        <v>437</v>
      </c>
      <c r="C382" s="7" t="s">
        <v>954</v>
      </c>
      <c r="D382" s="7"/>
      <c r="E382" s="7"/>
      <c r="F382" s="12" t="n">
        <v>3871019.6376</v>
      </c>
      <c r="G382" s="12" t="n">
        <v>3871019.6376</v>
      </c>
      <c r="H382" s="7" t="n">
        <v>0</v>
      </c>
      <c r="I382" s="7" t="n">
        <v>0</v>
      </c>
      <c r="J382" s="7" t="n">
        <v>0.01</v>
      </c>
      <c r="K382" s="9" t="s">
        <v>4</v>
      </c>
      <c r="L382" s="7"/>
      <c r="M382" s="7"/>
      <c r="N382" s="10" t="n">
        <f aca="false">IF(AND(ISNUMBER(F382),ISNUMBER(G382)),ABS(G382-F382),"")</f>
        <v>0</v>
      </c>
      <c r="O382" s="4" t="str">
        <f aca="false">IF(AND(ISNUMBER(N382),ISNUMBER(J382)),IF(N382&lt;=J382,"PASS","FAIL"),"n/a")</f>
        <v>PASS</v>
      </c>
    </row>
    <row r="383" customFormat="false" ht="23.85" hidden="false" customHeight="false" outlineLevel="0" collapsed="false">
      <c r="A383" s="7" t="s">
        <v>955</v>
      </c>
      <c r="B383" s="7" t="s">
        <v>437</v>
      </c>
      <c r="C383" s="7" t="s">
        <v>956</v>
      </c>
      <c r="D383" s="7"/>
      <c r="E383" s="7"/>
      <c r="F383" s="12" t="n">
        <v>1104321.9498</v>
      </c>
      <c r="G383" s="12" t="n">
        <v>1104321.9498</v>
      </c>
      <c r="H383" s="7" t="n">
        <v>0</v>
      </c>
      <c r="I383" s="7" t="n">
        <v>0</v>
      </c>
      <c r="J383" s="7" t="n">
        <v>0.01</v>
      </c>
      <c r="K383" s="9" t="s">
        <v>4</v>
      </c>
      <c r="L383" s="7"/>
      <c r="M383" s="7"/>
      <c r="N383" s="10" t="n">
        <f aca="false">IF(AND(ISNUMBER(F383),ISNUMBER(G383)),ABS(G383-F383),"")</f>
        <v>0</v>
      </c>
      <c r="O383" s="4" t="str">
        <f aca="false">IF(AND(ISNUMBER(N383),ISNUMBER(J383)),IF(N383&lt;=J383,"PASS","FAIL"),"n/a")</f>
        <v>PASS</v>
      </c>
    </row>
    <row r="384" customFormat="false" ht="23.85" hidden="false" customHeight="false" outlineLevel="0" collapsed="false">
      <c r="A384" s="7" t="s">
        <v>957</v>
      </c>
      <c r="B384" s="7" t="s">
        <v>437</v>
      </c>
      <c r="C384" s="7" t="s">
        <v>958</v>
      </c>
      <c r="D384" s="7"/>
      <c r="E384" s="7"/>
      <c r="F384" s="12" t="n">
        <v>1411105.7719</v>
      </c>
      <c r="G384" s="12" t="n">
        <v>1411105.7719</v>
      </c>
      <c r="H384" s="7" t="n">
        <v>0</v>
      </c>
      <c r="I384" s="7" t="n">
        <v>0</v>
      </c>
      <c r="J384" s="7" t="n">
        <v>0.01</v>
      </c>
      <c r="K384" s="9" t="s">
        <v>4</v>
      </c>
      <c r="L384" s="7"/>
      <c r="M384" s="7"/>
      <c r="N384" s="10" t="n">
        <f aca="false">IF(AND(ISNUMBER(F384),ISNUMBER(G384)),ABS(G384-F384),"")</f>
        <v>0</v>
      </c>
      <c r="O384" s="4" t="str">
        <f aca="false">IF(AND(ISNUMBER(N384),ISNUMBER(J384)),IF(N384&lt;=J384,"PASS","FAIL"),"n/a")</f>
        <v>PASS</v>
      </c>
    </row>
    <row r="385" customFormat="false" ht="23.85" hidden="false" customHeight="false" outlineLevel="0" collapsed="false">
      <c r="A385" s="7" t="s">
        <v>959</v>
      </c>
      <c r="B385" s="7" t="s">
        <v>437</v>
      </c>
      <c r="C385" s="7" t="s">
        <v>960</v>
      </c>
      <c r="D385" s="7" t="s">
        <v>961</v>
      </c>
      <c r="E385" s="7"/>
      <c r="F385" s="8" t="n">
        <v>4561</v>
      </c>
      <c r="G385" s="8" t="n">
        <v>4561</v>
      </c>
      <c r="H385" s="7" t="n">
        <v>0</v>
      </c>
      <c r="I385" s="7" t="n">
        <v>0</v>
      </c>
      <c r="J385" s="7" t="n">
        <v>0</v>
      </c>
      <c r="K385" s="9" t="s">
        <v>4</v>
      </c>
      <c r="L385" s="7"/>
      <c r="M385" s="7"/>
      <c r="N385" s="10" t="n">
        <f aca="false">IF(AND(ISNUMBER(F385),ISNUMBER(G385)),ABS(G385-F385),"")</f>
        <v>0</v>
      </c>
      <c r="O385" s="4" t="str">
        <f aca="false">IF(AND(ISNUMBER(N385),ISNUMBER(J385)),IF(N385&lt;=J385,"PASS","FAIL"),"n/a")</f>
        <v>PASS</v>
      </c>
    </row>
    <row r="386" customFormat="false" ht="23.85" hidden="false" customHeight="false" outlineLevel="0" collapsed="false">
      <c r="A386" s="7" t="s">
        <v>962</v>
      </c>
      <c r="B386" s="7" t="s">
        <v>437</v>
      </c>
      <c r="C386" s="7" t="s">
        <v>963</v>
      </c>
      <c r="D386" s="7" t="s">
        <v>961</v>
      </c>
      <c r="E386" s="7"/>
      <c r="F386" s="12" t="n">
        <v>0</v>
      </c>
      <c r="G386" s="8" t="n">
        <v>0</v>
      </c>
      <c r="H386" s="7" t="n">
        <v>0</v>
      </c>
      <c r="I386" s="7"/>
      <c r="J386" s="7" t="n">
        <v>0.01</v>
      </c>
      <c r="K386" s="9" t="s">
        <v>4</v>
      </c>
      <c r="L386" s="7"/>
      <c r="M386" s="7"/>
      <c r="N386" s="10" t="n">
        <f aca="false">IF(AND(ISNUMBER(F386),ISNUMBER(G386)),ABS(G386-F386),"")</f>
        <v>0</v>
      </c>
      <c r="O386" s="4" t="str">
        <f aca="false">IF(AND(ISNUMBER(N386),ISNUMBER(J386)),IF(N386&lt;=J386,"PASS","FAIL"),"n/a")</f>
        <v>PASS</v>
      </c>
    </row>
    <row r="387" customFormat="false" ht="23.85" hidden="false" customHeight="false" outlineLevel="0" collapsed="false">
      <c r="A387" s="7" t="s">
        <v>964</v>
      </c>
      <c r="B387" s="7" t="s">
        <v>437</v>
      </c>
      <c r="C387" s="7" t="s">
        <v>965</v>
      </c>
      <c r="D387" s="7" t="s">
        <v>961</v>
      </c>
      <c r="E387" s="7"/>
      <c r="F387" s="12" t="n">
        <v>36974942.7685</v>
      </c>
      <c r="G387" s="12" t="n">
        <v>36974942.7685001</v>
      </c>
      <c r="H387" s="7" t="n">
        <v>5.96046447753906E-008</v>
      </c>
      <c r="I387" s="7" t="n">
        <v>1.61202804690125E-015</v>
      </c>
      <c r="J387" s="7" t="n">
        <v>0.01</v>
      </c>
      <c r="K387" s="9" t="s">
        <v>4</v>
      </c>
      <c r="L387" s="7"/>
      <c r="M387" s="7"/>
      <c r="N387" s="10" t="n">
        <f aca="false">IF(AND(ISNUMBER(F387),ISNUMBER(G387)),ABS(G387-F387),"")</f>
        <v>0</v>
      </c>
      <c r="O387" s="4" t="str">
        <f aca="false">IF(AND(ISNUMBER(N387),ISNUMBER(J387)),IF(N387&lt;=J387,"PASS","FAIL"),"n/a")</f>
        <v>PASS</v>
      </c>
    </row>
    <row r="388" customFormat="false" ht="23.85" hidden="false" customHeight="false" outlineLevel="0" collapsed="false">
      <c r="A388" s="7" t="s">
        <v>966</v>
      </c>
      <c r="B388" s="7" t="s">
        <v>437</v>
      </c>
      <c r="C388" s="7" t="s">
        <v>967</v>
      </c>
      <c r="D388" s="7" t="s">
        <v>961</v>
      </c>
      <c r="E388" s="7"/>
      <c r="F388" s="12" t="n">
        <v>-36974942.7685</v>
      </c>
      <c r="G388" s="12" t="n">
        <v>-36974942.7685001</v>
      </c>
      <c r="H388" s="7" t="n">
        <v>5.96046447753906E-008</v>
      </c>
      <c r="I388" s="7" t="n">
        <v>1.61202804690125E-015</v>
      </c>
      <c r="J388" s="7" t="n">
        <v>0.01</v>
      </c>
      <c r="K388" s="9" t="s">
        <v>4</v>
      </c>
      <c r="L388" s="7"/>
      <c r="M388" s="7"/>
      <c r="N388" s="10" t="n">
        <f aca="false">IF(AND(ISNUMBER(F388),ISNUMBER(G388)),ABS(G388-F388),"")</f>
        <v>0</v>
      </c>
      <c r="O388" s="4" t="str">
        <f aca="false">IF(AND(ISNUMBER(N388),ISNUMBER(J388)),IF(N388&lt;=J388,"PASS","FAIL"),"n/a")</f>
        <v>PASS</v>
      </c>
    </row>
    <row r="389" customFormat="false" ht="23.85" hidden="false" customHeight="false" outlineLevel="0" collapsed="false">
      <c r="A389" s="7" t="s">
        <v>968</v>
      </c>
      <c r="B389" s="7" t="s">
        <v>437</v>
      </c>
      <c r="C389" s="7" t="s">
        <v>969</v>
      </c>
      <c r="D389" s="7" t="s">
        <v>961</v>
      </c>
      <c r="E389" s="7"/>
      <c r="F389" s="12" t="n">
        <v>0</v>
      </c>
      <c r="G389" s="8" t="n">
        <v>0</v>
      </c>
      <c r="H389" s="7" t="n">
        <v>0</v>
      </c>
      <c r="I389" s="7"/>
      <c r="J389" s="7" t="n">
        <v>0.01</v>
      </c>
      <c r="K389" s="9" t="s">
        <v>4</v>
      </c>
      <c r="L389" s="7"/>
      <c r="M389" s="7"/>
      <c r="N389" s="10" t="n">
        <f aca="false">IF(AND(ISNUMBER(F389),ISNUMBER(G389)),ABS(G389-F389),"")</f>
        <v>0</v>
      </c>
      <c r="O389" s="4" t="str">
        <f aca="false">IF(AND(ISNUMBER(N389),ISNUMBER(J389)),IF(N389&lt;=J389,"PASS","FAIL"),"n/a")</f>
        <v>PASS</v>
      </c>
    </row>
    <row r="390" customFormat="false" ht="23.85" hidden="false" customHeight="false" outlineLevel="0" collapsed="false">
      <c r="A390" s="7" t="s">
        <v>970</v>
      </c>
      <c r="B390" s="7" t="s">
        <v>437</v>
      </c>
      <c r="C390" s="7" t="s">
        <v>971</v>
      </c>
      <c r="D390" s="7" t="s">
        <v>961</v>
      </c>
      <c r="E390" s="7"/>
      <c r="F390" s="12" t="n">
        <v>30057897.2486</v>
      </c>
      <c r="G390" s="12" t="n">
        <v>30057897.2486001</v>
      </c>
      <c r="H390" s="7" t="n">
        <v>5.58793544769287E-008</v>
      </c>
      <c r="I390" s="7" t="n">
        <v>1.8590573390669E-015</v>
      </c>
      <c r="J390" s="7" t="n">
        <v>0.01</v>
      </c>
      <c r="K390" s="9" t="s">
        <v>4</v>
      </c>
      <c r="L390" s="7"/>
      <c r="M390" s="7"/>
      <c r="N390" s="10" t="n">
        <f aca="false">IF(AND(ISNUMBER(F390),ISNUMBER(G390)),ABS(G390-F390),"")</f>
        <v>0</v>
      </c>
      <c r="O390" s="4" t="str">
        <f aca="false">IF(AND(ISNUMBER(N390),ISNUMBER(J390)),IF(N390&lt;=J390,"PASS","FAIL"),"n/a")</f>
        <v>PASS</v>
      </c>
    </row>
    <row r="391" customFormat="false" ht="23.85" hidden="false" customHeight="false" outlineLevel="0" collapsed="false">
      <c r="A391" s="7" t="s">
        <v>972</v>
      </c>
      <c r="B391" s="7" t="s">
        <v>437</v>
      </c>
      <c r="C391" s="7" t="s">
        <v>973</v>
      </c>
      <c r="D391" s="7" t="s">
        <v>961</v>
      </c>
      <c r="E391" s="7"/>
      <c r="F391" s="12" t="n">
        <v>6917045.5199</v>
      </c>
      <c r="G391" s="12" t="n">
        <v>6917045.5199</v>
      </c>
      <c r="H391" s="7" t="n">
        <v>2.79396772384644E-009</v>
      </c>
      <c r="I391" s="7" t="n">
        <v>4.03925016223809E-016</v>
      </c>
      <c r="J391" s="7" t="n">
        <v>0.01</v>
      </c>
      <c r="K391" s="9" t="s">
        <v>4</v>
      </c>
      <c r="L391" s="7"/>
      <c r="M391" s="7"/>
      <c r="N391" s="10" t="n">
        <f aca="false">IF(AND(ISNUMBER(F391),ISNUMBER(G391)),ABS(G391-F391),"")</f>
        <v>0</v>
      </c>
      <c r="O391" s="4" t="str">
        <f aca="false">IF(AND(ISNUMBER(N391),ISNUMBER(J391)),IF(N391&lt;=J391,"PASS","FAIL"),"n/a")</f>
        <v>PASS</v>
      </c>
    </row>
    <row r="392" customFormat="false" ht="23.85" hidden="false" customHeight="false" outlineLevel="0" collapsed="false">
      <c r="A392" s="7" t="s">
        <v>974</v>
      </c>
      <c r="B392" s="7" t="s">
        <v>437</v>
      </c>
      <c r="C392" s="7" t="s">
        <v>975</v>
      </c>
      <c r="D392" s="7" t="s">
        <v>961</v>
      </c>
      <c r="E392" s="7"/>
      <c r="F392" s="12" t="n">
        <v>0</v>
      </c>
      <c r="G392" s="8" t="n">
        <v>0</v>
      </c>
      <c r="H392" s="7" t="n">
        <v>0</v>
      </c>
      <c r="I392" s="7"/>
      <c r="J392" s="7" t="n">
        <v>0.01</v>
      </c>
      <c r="K392" s="9" t="s">
        <v>4</v>
      </c>
      <c r="L392" s="7"/>
      <c r="M392" s="7"/>
      <c r="N392" s="10" t="n">
        <f aca="false">IF(AND(ISNUMBER(F392),ISNUMBER(G392)),ABS(G392-F392),"")</f>
        <v>0</v>
      </c>
      <c r="O392" s="4" t="str">
        <f aca="false">IF(AND(ISNUMBER(N392),ISNUMBER(J392)),IF(N392&lt;=J392,"PASS","FAIL"),"n/a")</f>
        <v>PASS</v>
      </c>
    </row>
    <row r="393" customFormat="false" ht="23.85" hidden="false" customHeight="false" outlineLevel="0" collapsed="false">
      <c r="A393" s="7" t="s">
        <v>976</v>
      </c>
      <c r="B393" s="7" t="s">
        <v>437</v>
      </c>
      <c r="C393" s="7" t="s">
        <v>977</v>
      </c>
      <c r="D393" s="7" t="s">
        <v>961</v>
      </c>
      <c r="E393" s="7"/>
      <c r="F393" s="12" t="n">
        <v>849920.2354</v>
      </c>
      <c r="G393" s="12" t="n">
        <v>849920.2354</v>
      </c>
      <c r="H393" s="7" t="n">
        <v>2.3283064365387E-010</v>
      </c>
      <c r="I393" s="7" t="n">
        <v>2.73944111407457E-016</v>
      </c>
      <c r="J393" s="7" t="n">
        <v>0.01</v>
      </c>
      <c r="K393" s="9" t="s">
        <v>4</v>
      </c>
      <c r="L393" s="7"/>
      <c r="M393" s="7"/>
      <c r="N393" s="10" t="n">
        <f aca="false">IF(AND(ISNUMBER(F393),ISNUMBER(G393)),ABS(G393-F393),"")</f>
        <v>0</v>
      </c>
      <c r="O393" s="4" t="str">
        <f aca="false">IF(AND(ISNUMBER(N393),ISNUMBER(J393)),IF(N393&lt;=J393,"PASS","FAIL"),"n/a")</f>
        <v>PASS</v>
      </c>
    </row>
    <row r="394" customFormat="false" ht="23.85" hidden="false" customHeight="false" outlineLevel="0" collapsed="false">
      <c r="A394" s="7" t="s">
        <v>978</v>
      </c>
      <c r="B394" s="7" t="s">
        <v>437</v>
      </c>
      <c r="C394" s="7" t="s">
        <v>979</v>
      </c>
      <c r="D394" s="7" t="s">
        <v>961</v>
      </c>
      <c r="E394" s="7"/>
      <c r="F394" s="12" t="n">
        <v>0</v>
      </c>
      <c r="G394" s="8" t="n">
        <v>0</v>
      </c>
      <c r="H394" s="7" t="n">
        <v>0</v>
      </c>
      <c r="I394" s="7"/>
      <c r="J394" s="7" t="n">
        <v>0.01</v>
      </c>
      <c r="K394" s="9" t="s">
        <v>4</v>
      </c>
      <c r="L394" s="7"/>
      <c r="M394" s="7"/>
      <c r="N394" s="10" t="n">
        <f aca="false">IF(AND(ISNUMBER(F394),ISNUMBER(G394)),ABS(G394-F394),"")</f>
        <v>0</v>
      </c>
      <c r="O394" s="4" t="str">
        <f aca="false">IF(AND(ISNUMBER(N394),ISNUMBER(J394)),IF(N394&lt;=J394,"PASS","FAIL"),"n/a")</f>
        <v>PASS</v>
      </c>
    </row>
    <row r="395" customFormat="false" ht="23.85" hidden="false" customHeight="false" outlineLevel="0" collapsed="false">
      <c r="A395" s="7" t="s">
        <v>980</v>
      </c>
      <c r="B395" s="7" t="s">
        <v>437</v>
      </c>
      <c r="C395" s="7" t="s">
        <v>981</v>
      </c>
      <c r="D395" s="7" t="s">
        <v>961</v>
      </c>
      <c r="E395" s="7"/>
      <c r="F395" s="12" t="n">
        <v>0</v>
      </c>
      <c r="G395" s="8" t="n">
        <v>0</v>
      </c>
      <c r="H395" s="7" t="n">
        <v>0</v>
      </c>
      <c r="I395" s="7"/>
      <c r="J395" s="7" t="n">
        <v>0.01</v>
      </c>
      <c r="K395" s="9" t="s">
        <v>4</v>
      </c>
      <c r="L395" s="7"/>
      <c r="M395" s="7"/>
      <c r="N395" s="10" t="n">
        <f aca="false">IF(AND(ISNUMBER(F395),ISNUMBER(G395)),ABS(G395-F395),"")</f>
        <v>0</v>
      </c>
      <c r="O395" s="4" t="str">
        <f aca="false">IF(AND(ISNUMBER(N395),ISNUMBER(J395)),IF(N395&lt;=J395,"PASS","FAIL"),"n/a")</f>
        <v>PASS</v>
      </c>
    </row>
    <row r="396" customFormat="false" ht="46.25" hidden="false" customHeight="false" outlineLevel="0" collapsed="false">
      <c r="A396" s="7" t="s">
        <v>982</v>
      </c>
      <c r="B396" s="7" t="s">
        <v>437</v>
      </c>
      <c r="C396" s="7" t="s">
        <v>983</v>
      </c>
      <c r="D396" s="7" t="s">
        <v>961</v>
      </c>
      <c r="E396" s="7" t="s">
        <v>466</v>
      </c>
      <c r="F396" s="7" t="s">
        <v>800</v>
      </c>
      <c r="G396" s="7" t="s">
        <v>801</v>
      </c>
      <c r="H396" s="7"/>
      <c r="I396" s="7"/>
      <c r="J396" s="7" t="s">
        <v>389</v>
      </c>
      <c r="K396" s="9" t="s">
        <v>4</v>
      </c>
      <c r="L396" s="7"/>
      <c r="M396" s="7"/>
      <c r="N396" s="10" t="str">
        <f aca="false">IF(AND(ISNUMBER(F396),ISNUMBER(G396)),ABS(G396-F396),"")</f>
        <v/>
      </c>
      <c r="O396" s="4" t="str">
        <f aca="false">IF(AND(ISNUMBER(N396),ISNUMBER(J396)),IF(N396&lt;=J396,"PASS","FAIL"),"n/a")</f>
        <v>n/a</v>
      </c>
    </row>
    <row r="397" customFormat="false" ht="91" hidden="false" customHeight="false" outlineLevel="0" collapsed="false">
      <c r="A397" s="7" t="s">
        <v>984</v>
      </c>
      <c r="B397" s="7" t="s">
        <v>437</v>
      </c>
      <c r="C397" s="7" t="s">
        <v>985</v>
      </c>
      <c r="D397" s="7" t="s">
        <v>961</v>
      </c>
      <c r="E397" s="7" t="s">
        <v>466</v>
      </c>
      <c r="F397" s="7" t="s">
        <v>986</v>
      </c>
      <c r="G397" s="7" t="s">
        <v>987</v>
      </c>
      <c r="H397" s="7"/>
      <c r="I397" s="7"/>
      <c r="J397" s="7" t="s">
        <v>389</v>
      </c>
      <c r="K397" s="9" t="s">
        <v>4</v>
      </c>
      <c r="L397" s="7"/>
      <c r="M397" s="7"/>
      <c r="N397" s="10" t="str">
        <f aca="false">IF(AND(ISNUMBER(F397),ISNUMBER(G397)),ABS(G397-F397),"")</f>
        <v/>
      </c>
      <c r="O397" s="4" t="str">
        <f aca="false">IF(AND(ISNUMBER(N397),ISNUMBER(J397)),IF(N397&lt;=J397,"PASS","FAIL"),"n/a")</f>
        <v>n/a</v>
      </c>
    </row>
    <row r="398" customFormat="false" ht="79.85" hidden="false" customHeight="false" outlineLevel="0" collapsed="false">
      <c r="A398" s="7" t="s">
        <v>988</v>
      </c>
      <c r="B398" s="7" t="s">
        <v>437</v>
      </c>
      <c r="C398" s="7" t="s">
        <v>989</v>
      </c>
      <c r="D398" s="7" t="s">
        <v>961</v>
      </c>
      <c r="E398" s="7" t="s">
        <v>466</v>
      </c>
      <c r="F398" s="7" t="s">
        <v>990</v>
      </c>
      <c r="G398" s="7" t="s">
        <v>991</v>
      </c>
      <c r="H398" s="7"/>
      <c r="I398" s="7"/>
      <c r="J398" s="7" t="s">
        <v>389</v>
      </c>
      <c r="K398" s="9" t="s">
        <v>4</v>
      </c>
      <c r="L398" s="7"/>
      <c r="M398" s="7"/>
      <c r="N398" s="10" t="str">
        <f aca="false">IF(AND(ISNUMBER(F398),ISNUMBER(G398)),ABS(G398-F398),"")</f>
        <v/>
      </c>
      <c r="O398" s="4" t="str">
        <f aca="false">IF(AND(ISNUMBER(N398),ISNUMBER(J398)),IF(N398&lt;=J398,"PASS","FAIL"),"n/a")</f>
        <v>n/a</v>
      </c>
    </row>
    <row r="399" customFormat="false" ht="46.25" hidden="false" customHeight="false" outlineLevel="0" collapsed="false">
      <c r="A399" s="7" t="s">
        <v>992</v>
      </c>
      <c r="B399" s="7" t="s">
        <v>437</v>
      </c>
      <c r="C399" s="7" t="s">
        <v>993</v>
      </c>
      <c r="D399" s="7" t="s">
        <v>961</v>
      </c>
      <c r="E399" s="7" t="s">
        <v>466</v>
      </c>
      <c r="F399" s="7" t="s">
        <v>800</v>
      </c>
      <c r="G399" s="7" t="s">
        <v>801</v>
      </c>
      <c r="H399" s="7"/>
      <c r="I399" s="7"/>
      <c r="J399" s="7" t="s">
        <v>389</v>
      </c>
      <c r="K399" s="9" t="s">
        <v>4</v>
      </c>
      <c r="L399" s="7"/>
      <c r="M399" s="7"/>
      <c r="N399" s="10" t="str">
        <f aca="false">IF(AND(ISNUMBER(F399),ISNUMBER(G399)),ABS(G399-F399),"")</f>
        <v/>
      </c>
      <c r="O399" s="4" t="str">
        <f aca="false">IF(AND(ISNUMBER(N399),ISNUMBER(J399)),IF(N399&lt;=J399,"PASS","FAIL"),"n/a")</f>
        <v>n/a</v>
      </c>
    </row>
    <row r="400" customFormat="false" ht="57.45" hidden="false" customHeight="false" outlineLevel="0" collapsed="false">
      <c r="A400" s="7" t="s">
        <v>994</v>
      </c>
      <c r="B400" s="7" t="s">
        <v>437</v>
      </c>
      <c r="C400" s="7" t="s">
        <v>995</v>
      </c>
      <c r="D400" s="7" t="s">
        <v>961</v>
      </c>
      <c r="E400" s="7"/>
      <c r="F400" s="7" t="s">
        <v>996</v>
      </c>
      <c r="G400" s="7" t="s">
        <v>996</v>
      </c>
      <c r="H400" s="7"/>
      <c r="I400" s="7"/>
      <c r="J400" s="7"/>
      <c r="K400" s="9" t="s">
        <v>4</v>
      </c>
      <c r="L400" s="7"/>
      <c r="M400" s="7"/>
      <c r="N400" s="10" t="str">
        <f aca="false">IF(AND(ISNUMBER(F400),ISNUMBER(G400)),ABS(G400-F400),"")</f>
        <v/>
      </c>
      <c r="O400" s="4" t="str">
        <f aca="false">IF(AND(ISNUMBER(N400),ISNUMBER(J400)),IF(N400&lt;=J400,"PASS","FAIL"),"n/a")</f>
        <v>n/a</v>
      </c>
    </row>
    <row r="401" customFormat="false" ht="23.85" hidden="false" customHeight="false" outlineLevel="0" collapsed="false">
      <c r="A401" s="7" t="s">
        <v>997</v>
      </c>
      <c r="B401" s="7" t="s">
        <v>437</v>
      </c>
      <c r="C401" s="7" t="s">
        <v>998</v>
      </c>
      <c r="D401" s="7" t="s">
        <v>961</v>
      </c>
      <c r="E401" s="7"/>
      <c r="F401" s="8" t="n">
        <v>0</v>
      </c>
      <c r="G401" s="12" t="n">
        <v>0</v>
      </c>
      <c r="H401" s="7" t="n">
        <v>0</v>
      </c>
      <c r="I401" s="7"/>
      <c r="J401" s="7" t="n">
        <v>0.5</v>
      </c>
      <c r="K401" s="9" t="s">
        <v>4</v>
      </c>
      <c r="L401" s="7"/>
      <c r="M401" s="7"/>
      <c r="N401" s="10" t="n">
        <f aca="false">IF(AND(ISNUMBER(F401),ISNUMBER(G401)),ABS(G401-F401),"")</f>
        <v>0</v>
      </c>
      <c r="O401" s="4" t="str">
        <f aca="false">IF(AND(ISNUMBER(N401),ISNUMBER(J401)),IF(N401&lt;=J401,"PASS","FAIL"),"n/a")</f>
        <v>PASS</v>
      </c>
    </row>
    <row r="402" customFormat="false" ht="23.85" hidden="false" customHeight="false" outlineLevel="0" collapsed="false">
      <c r="A402" s="7" t="s">
        <v>999</v>
      </c>
      <c r="B402" s="7" t="s">
        <v>437</v>
      </c>
      <c r="C402" s="7" t="s">
        <v>1000</v>
      </c>
      <c r="D402" s="7" t="s">
        <v>961</v>
      </c>
      <c r="E402" s="7"/>
      <c r="F402" s="12" t="n">
        <v>0</v>
      </c>
      <c r="G402" s="12" t="n">
        <v>0</v>
      </c>
      <c r="H402" s="7" t="n">
        <v>0</v>
      </c>
      <c r="I402" s="7"/>
      <c r="J402" s="7" t="n">
        <v>0.5</v>
      </c>
      <c r="K402" s="9" t="s">
        <v>4</v>
      </c>
      <c r="L402" s="7"/>
      <c r="M402" s="7"/>
      <c r="N402" s="10" t="n">
        <f aca="false">IF(AND(ISNUMBER(F402),ISNUMBER(G402)),ABS(G402-F402),"")</f>
        <v>0</v>
      </c>
      <c r="O402" s="4" t="str">
        <f aca="false">IF(AND(ISNUMBER(N402),ISNUMBER(J402)),IF(N402&lt;=J402,"PASS","FAIL"),"n/a")</f>
        <v>PASS</v>
      </c>
    </row>
    <row r="403" customFormat="false" ht="23.85" hidden="false" customHeight="false" outlineLevel="0" collapsed="false">
      <c r="A403" s="7" t="s">
        <v>1001</v>
      </c>
      <c r="B403" s="7" t="s">
        <v>437</v>
      </c>
      <c r="C403" s="7" t="s">
        <v>1002</v>
      </c>
      <c r="D403" s="7" t="s">
        <v>961</v>
      </c>
      <c r="E403" s="7"/>
      <c r="F403" s="12" t="n">
        <v>36974942.7685</v>
      </c>
      <c r="G403" s="12" t="n">
        <v>36970000</v>
      </c>
      <c r="H403" s="7" t="n">
        <v>4942.76850000024</v>
      </c>
      <c r="I403" s="7" t="n">
        <v>0.000133678868171532</v>
      </c>
      <c r="J403" s="7" t="n">
        <v>5000</v>
      </c>
      <c r="K403" s="9" t="s">
        <v>4</v>
      </c>
      <c r="L403" s="7"/>
      <c r="M403" s="7"/>
      <c r="N403" s="10" t="n">
        <f aca="false">IF(AND(ISNUMBER(F403),ISNUMBER(G403)),ABS(G403-F403),"")</f>
        <v>4942.76850000024</v>
      </c>
      <c r="O403" s="4" t="str">
        <f aca="false">IF(AND(ISNUMBER(N403),ISNUMBER(J403)),IF(N403&lt;=J403,"PASS","FAIL"),"n/a")</f>
        <v>PASS</v>
      </c>
    </row>
    <row r="404" customFormat="false" ht="23.85" hidden="false" customHeight="false" outlineLevel="0" collapsed="false">
      <c r="A404" s="7" t="s">
        <v>1003</v>
      </c>
      <c r="B404" s="7" t="s">
        <v>437</v>
      </c>
      <c r="C404" s="7" t="s">
        <v>1004</v>
      </c>
      <c r="D404" s="7" t="s">
        <v>961</v>
      </c>
      <c r="E404" s="7"/>
      <c r="F404" s="12" t="n">
        <v>-36974942.7685</v>
      </c>
      <c r="G404" s="12" t="n">
        <v>-36970000</v>
      </c>
      <c r="H404" s="7" t="n">
        <v>4942.76850000024</v>
      </c>
      <c r="I404" s="7" t="n">
        <v>0.000133678868171532</v>
      </c>
      <c r="J404" s="7" t="n">
        <v>5000</v>
      </c>
      <c r="K404" s="9" t="s">
        <v>4</v>
      </c>
      <c r="L404" s="7"/>
      <c r="M404" s="7"/>
      <c r="N404" s="10" t="n">
        <f aca="false">IF(AND(ISNUMBER(F404),ISNUMBER(G404)),ABS(G404-F404),"")</f>
        <v>4942.76850000024</v>
      </c>
      <c r="O404" s="4" t="str">
        <f aca="false">IF(AND(ISNUMBER(N404),ISNUMBER(J404)),IF(N404&lt;=J404,"PASS","FAIL"),"n/a")</f>
        <v>PASS</v>
      </c>
    </row>
    <row r="405" customFormat="false" ht="23.85" hidden="false" customHeight="false" outlineLevel="0" collapsed="false">
      <c r="A405" s="7" t="s">
        <v>1005</v>
      </c>
      <c r="B405" s="7" t="s">
        <v>437</v>
      </c>
      <c r="C405" s="7" t="s">
        <v>1006</v>
      </c>
      <c r="D405" s="7"/>
      <c r="E405" s="7"/>
      <c r="F405" s="8" t="n">
        <v>0</v>
      </c>
      <c r="G405" s="8" t="n">
        <v>0</v>
      </c>
      <c r="H405" s="7" t="n">
        <v>0</v>
      </c>
      <c r="I405" s="7"/>
      <c r="J405" s="7" t="n">
        <v>0</v>
      </c>
      <c r="K405" s="9" t="s">
        <v>4</v>
      </c>
      <c r="L405" s="7"/>
      <c r="M405" s="7"/>
      <c r="N405" s="10" t="n">
        <f aca="false">IF(AND(ISNUMBER(F405),ISNUMBER(G405)),ABS(G405-F405),"")</f>
        <v>0</v>
      </c>
      <c r="O405" s="4" t="str">
        <f aca="false">IF(AND(ISNUMBER(N405),ISNUMBER(J405)),IF(N405&lt;=J405,"PASS","FAIL"),"n/a")</f>
        <v>PASS</v>
      </c>
    </row>
    <row r="406" customFormat="false" ht="23.85" hidden="false" customHeight="false" outlineLevel="0" collapsed="false">
      <c r="A406" s="7" t="s">
        <v>1007</v>
      </c>
      <c r="B406" s="7" t="s">
        <v>437</v>
      </c>
      <c r="C406" s="7" t="s">
        <v>1008</v>
      </c>
      <c r="D406" s="7" t="s">
        <v>961</v>
      </c>
      <c r="E406" s="7"/>
      <c r="F406" s="8" t="n">
        <v>4561</v>
      </c>
      <c r="G406" s="8" t="n">
        <v>4561</v>
      </c>
      <c r="H406" s="7" t="n">
        <v>0</v>
      </c>
      <c r="I406" s="7" t="n">
        <v>0</v>
      </c>
      <c r="J406" s="7" t="n">
        <v>0</v>
      </c>
      <c r="K406" s="9" t="s">
        <v>4</v>
      </c>
      <c r="L406" s="7"/>
      <c r="M406" s="7"/>
      <c r="N406" s="10" t="n">
        <f aca="false">IF(AND(ISNUMBER(F406),ISNUMBER(G406)),ABS(G406-F406),"")</f>
        <v>0</v>
      </c>
      <c r="O406" s="4" t="str">
        <f aca="false">IF(AND(ISNUMBER(N406),ISNUMBER(J406)),IF(N406&lt;=J406,"PASS","FAIL"),"n/a")</f>
        <v>PASS</v>
      </c>
    </row>
    <row r="407" customFormat="false" ht="23.85" hidden="false" customHeight="false" outlineLevel="0" collapsed="false">
      <c r="A407" s="7" t="s">
        <v>1009</v>
      </c>
      <c r="B407" s="7" t="s">
        <v>437</v>
      </c>
      <c r="C407" s="7" t="s">
        <v>1010</v>
      </c>
      <c r="D407" s="7"/>
      <c r="E407" s="7"/>
      <c r="F407" s="8" t="n">
        <v>0</v>
      </c>
      <c r="G407" s="8" t="n">
        <v>0</v>
      </c>
      <c r="H407" s="7" t="n">
        <v>0</v>
      </c>
      <c r="I407" s="7"/>
      <c r="J407" s="7" t="n">
        <v>0</v>
      </c>
      <c r="K407" s="9" t="s">
        <v>4</v>
      </c>
      <c r="L407" s="7"/>
      <c r="M407" s="7"/>
      <c r="N407" s="10" t="n">
        <f aca="false">IF(AND(ISNUMBER(F407),ISNUMBER(G407)),ABS(G407-F407),"")</f>
        <v>0</v>
      </c>
      <c r="O407" s="4" t="str">
        <f aca="false">IF(AND(ISNUMBER(N407),ISNUMBER(J407)),IF(N407&lt;=J407,"PASS","FAIL"),"n/a")</f>
        <v>PASS</v>
      </c>
    </row>
    <row r="408" customFormat="false" ht="23.85" hidden="false" customHeight="false" outlineLevel="0" collapsed="false">
      <c r="A408" s="7" t="s">
        <v>1011</v>
      </c>
      <c r="B408" s="7" t="s">
        <v>437</v>
      </c>
      <c r="C408" s="7" t="s">
        <v>1012</v>
      </c>
      <c r="D408" s="7"/>
      <c r="E408" s="7"/>
      <c r="F408" s="12" t="n">
        <v>0</v>
      </c>
      <c r="G408" s="12" t="n">
        <v>0</v>
      </c>
      <c r="H408" s="7" t="n">
        <v>0</v>
      </c>
      <c r="I408" s="7"/>
      <c r="J408" s="7" t="n">
        <v>0.01</v>
      </c>
      <c r="K408" s="9" t="s">
        <v>4</v>
      </c>
      <c r="L408" s="7"/>
      <c r="M408" s="7"/>
      <c r="N408" s="10" t="n">
        <f aca="false">IF(AND(ISNUMBER(F408),ISNUMBER(G408)),ABS(G408-F408),"")</f>
        <v>0</v>
      </c>
      <c r="O408" s="4" t="str">
        <f aca="false">IF(AND(ISNUMBER(N408),ISNUMBER(J408)),IF(N408&lt;=J408,"PASS","FAIL"),"n/a")</f>
        <v>PASS</v>
      </c>
    </row>
    <row r="409" customFormat="false" ht="23.85" hidden="false" customHeight="false" outlineLevel="0" collapsed="false">
      <c r="A409" s="7" t="s">
        <v>1013</v>
      </c>
      <c r="B409" s="7" t="s">
        <v>437</v>
      </c>
      <c r="C409" s="7" t="s">
        <v>1014</v>
      </c>
      <c r="D409" s="7"/>
      <c r="E409" s="7"/>
      <c r="F409" s="12" t="n">
        <v>30057897.2486</v>
      </c>
      <c r="G409" s="12" t="n">
        <v>30057897.2486</v>
      </c>
      <c r="H409" s="7" t="n">
        <v>0</v>
      </c>
      <c r="I409" s="7" t="n">
        <v>0</v>
      </c>
      <c r="J409" s="7" t="n">
        <v>0.01</v>
      </c>
      <c r="K409" s="9" t="s">
        <v>4</v>
      </c>
      <c r="L409" s="7"/>
      <c r="M409" s="7"/>
      <c r="N409" s="10" t="n">
        <f aca="false">IF(AND(ISNUMBER(F409),ISNUMBER(G409)),ABS(G409-F409),"")</f>
        <v>0</v>
      </c>
      <c r="O409" s="4" t="str">
        <f aca="false">IF(AND(ISNUMBER(N409),ISNUMBER(J409)),IF(N409&lt;=J409,"PASS","FAIL"),"n/a")</f>
        <v>PASS</v>
      </c>
    </row>
    <row r="410" customFormat="false" ht="23.85" hidden="false" customHeight="false" outlineLevel="0" collapsed="false">
      <c r="A410" s="7" t="s">
        <v>1015</v>
      </c>
      <c r="B410" s="7" t="s">
        <v>437</v>
      </c>
      <c r="C410" s="7" t="s">
        <v>1016</v>
      </c>
      <c r="D410" s="7"/>
      <c r="E410" s="7"/>
      <c r="F410" s="12" t="n">
        <v>6917045.5199</v>
      </c>
      <c r="G410" s="12" t="n">
        <v>6917045.5199</v>
      </c>
      <c r="H410" s="7" t="n">
        <v>0</v>
      </c>
      <c r="I410" s="7" t="n">
        <v>0</v>
      </c>
      <c r="J410" s="7" t="n">
        <v>0.01</v>
      </c>
      <c r="K410" s="9" t="s">
        <v>4</v>
      </c>
      <c r="L410" s="7"/>
      <c r="M410" s="7"/>
      <c r="N410" s="10" t="n">
        <f aca="false">IF(AND(ISNUMBER(F410),ISNUMBER(G410)),ABS(G410-F410),"")</f>
        <v>0</v>
      </c>
      <c r="O410" s="4" t="str">
        <f aca="false">IF(AND(ISNUMBER(N410),ISNUMBER(J410)),IF(N410&lt;=J410,"PASS","FAIL"),"n/a")</f>
        <v>PASS</v>
      </c>
    </row>
    <row r="411" customFormat="false" ht="23.85" hidden="false" customHeight="false" outlineLevel="0" collapsed="false">
      <c r="A411" s="7" t="s">
        <v>1017</v>
      </c>
      <c r="B411" s="7" t="s">
        <v>437</v>
      </c>
      <c r="C411" s="7" t="s">
        <v>1018</v>
      </c>
      <c r="D411" s="7"/>
      <c r="E411" s="7"/>
      <c r="F411" s="12" t="n">
        <v>0</v>
      </c>
      <c r="G411" s="12" t="n">
        <v>0</v>
      </c>
      <c r="H411" s="7" t="n">
        <v>0</v>
      </c>
      <c r="I411" s="7"/>
      <c r="J411" s="7" t="n">
        <v>0.01</v>
      </c>
      <c r="K411" s="9" t="s">
        <v>4</v>
      </c>
      <c r="L411" s="7"/>
      <c r="M411" s="7"/>
      <c r="N411" s="10" t="n">
        <f aca="false">IF(AND(ISNUMBER(F411),ISNUMBER(G411)),ABS(G411-F411),"")</f>
        <v>0</v>
      </c>
      <c r="O411" s="4" t="str">
        <f aca="false">IF(AND(ISNUMBER(N411),ISNUMBER(J411)),IF(N411&lt;=J411,"PASS","FAIL"),"n/a")</f>
        <v>PASS</v>
      </c>
    </row>
    <row r="412" customFormat="false" ht="23.85" hidden="false" customHeight="false" outlineLevel="0" collapsed="false">
      <c r="A412" s="7" t="s">
        <v>1019</v>
      </c>
      <c r="B412" s="7" t="s">
        <v>437</v>
      </c>
      <c r="C412" s="7" t="s">
        <v>1020</v>
      </c>
      <c r="D412" s="7" t="s">
        <v>1021</v>
      </c>
      <c r="E412" s="7"/>
      <c r="F412" s="8" t="n">
        <v>10820</v>
      </c>
      <c r="G412" s="8" t="n">
        <v>10820</v>
      </c>
      <c r="H412" s="7" t="n">
        <v>0</v>
      </c>
      <c r="I412" s="7" t="n">
        <v>0</v>
      </c>
      <c r="J412" s="7" t="n">
        <v>0</v>
      </c>
      <c r="K412" s="9" t="s">
        <v>4</v>
      </c>
      <c r="L412" s="7"/>
      <c r="M412" s="7"/>
      <c r="N412" s="10" t="n">
        <f aca="false">IF(AND(ISNUMBER(F412),ISNUMBER(G412)),ABS(G412-F412),"")</f>
        <v>0</v>
      </c>
      <c r="O412" s="4" t="str">
        <f aca="false">IF(AND(ISNUMBER(N412),ISNUMBER(J412)),IF(N412&lt;=J412,"PASS","FAIL"),"n/a")</f>
        <v>PASS</v>
      </c>
    </row>
    <row r="413" customFormat="false" ht="23.85" hidden="false" customHeight="false" outlineLevel="0" collapsed="false">
      <c r="A413" s="7" t="s">
        <v>1022</v>
      </c>
      <c r="B413" s="7" t="s">
        <v>437</v>
      </c>
      <c r="C413" s="7" t="s">
        <v>1023</v>
      </c>
      <c r="D413" s="7" t="s">
        <v>1021</v>
      </c>
      <c r="E413" s="7"/>
      <c r="F413" s="12" t="n">
        <v>-2533482.9154</v>
      </c>
      <c r="G413" s="12" t="n">
        <v>-2533482.9154</v>
      </c>
      <c r="H413" s="7" t="n">
        <v>3.72529029846191E-009</v>
      </c>
      <c r="I413" s="7" t="n">
        <v>1.47042250643074E-015</v>
      </c>
      <c r="J413" s="7" t="n">
        <v>0.01</v>
      </c>
      <c r="K413" s="9" t="s">
        <v>4</v>
      </c>
      <c r="L413" s="7"/>
      <c r="M413" s="7"/>
      <c r="N413" s="10" t="n">
        <f aca="false">IF(AND(ISNUMBER(F413),ISNUMBER(G413)),ABS(G413-F413),"")</f>
        <v>0</v>
      </c>
      <c r="O413" s="4" t="str">
        <f aca="false">IF(AND(ISNUMBER(N413),ISNUMBER(J413)),IF(N413&lt;=J413,"PASS","FAIL"),"n/a")</f>
        <v>PASS</v>
      </c>
    </row>
    <row r="414" customFormat="false" ht="23.85" hidden="false" customHeight="false" outlineLevel="0" collapsed="false">
      <c r="A414" s="7" t="s">
        <v>1024</v>
      </c>
      <c r="B414" s="7" t="s">
        <v>437</v>
      </c>
      <c r="C414" s="7" t="s">
        <v>1025</v>
      </c>
      <c r="D414" s="7" t="s">
        <v>1021</v>
      </c>
      <c r="E414" s="7"/>
      <c r="F414" s="12" t="n">
        <v>0</v>
      </c>
      <c r="G414" s="8" t="n">
        <v>0</v>
      </c>
      <c r="H414" s="7" t="n">
        <v>0</v>
      </c>
      <c r="I414" s="7"/>
      <c r="J414" s="7" t="n">
        <v>0.01</v>
      </c>
      <c r="K414" s="9" t="s">
        <v>4</v>
      </c>
      <c r="L414" s="7"/>
      <c r="M414" s="7"/>
      <c r="N414" s="10" t="n">
        <f aca="false">IF(AND(ISNUMBER(F414),ISNUMBER(G414)),ABS(G414-F414),"")</f>
        <v>0</v>
      </c>
      <c r="O414" s="4" t="str">
        <f aca="false">IF(AND(ISNUMBER(N414),ISNUMBER(J414)),IF(N414&lt;=J414,"PASS","FAIL"),"n/a")</f>
        <v>PASS</v>
      </c>
    </row>
    <row r="415" customFormat="false" ht="23.85" hidden="false" customHeight="false" outlineLevel="0" collapsed="false">
      <c r="A415" s="7" t="s">
        <v>1026</v>
      </c>
      <c r="B415" s="7" t="s">
        <v>437</v>
      </c>
      <c r="C415" s="7" t="s">
        <v>1027</v>
      </c>
      <c r="D415" s="7" t="s">
        <v>1021</v>
      </c>
      <c r="E415" s="7"/>
      <c r="F415" s="12" t="n">
        <v>-2533482.9154</v>
      </c>
      <c r="G415" s="12" t="n">
        <v>-2533482.9154</v>
      </c>
      <c r="H415" s="7" t="n">
        <v>3.72529029846191E-009</v>
      </c>
      <c r="I415" s="7" t="n">
        <v>1.47042250643074E-015</v>
      </c>
      <c r="J415" s="7" t="n">
        <v>0.01</v>
      </c>
      <c r="K415" s="9" t="s">
        <v>4</v>
      </c>
      <c r="L415" s="7"/>
      <c r="M415" s="7"/>
      <c r="N415" s="10" t="n">
        <f aca="false">IF(AND(ISNUMBER(F415),ISNUMBER(G415)),ABS(G415-F415),"")</f>
        <v>0</v>
      </c>
      <c r="O415" s="4" t="str">
        <f aca="false">IF(AND(ISNUMBER(N415),ISNUMBER(J415)),IF(N415&lt;=J415,"PASS","FAIL"),"n/a")</f>
        <v>PASS</v>
      </c>
    </row>
    <row r="416" customFormat="false" ht="23.85" hidden="false" customHeight="false" outlineLevel="0" collapsed="false">
      <c r="A416" s="7" t="s">
        <v>1028</v>
      </c>
      <c r="B416" s="7" t="s">
        <v>437</v>
      </c>
      <c r="C416" s="7" t="s">
        <v>1029</v>
      </c>
      <c r="D416" s="7" t="s">
        <v>1021</v>
      </c>
      <c r="E416" s="7"/>
      <c r="F416" s="12" t="n">
        <v>-2533482.9154</v>
      </c>
      <c r="G416" s="12" t="n">
        <v>-2533482.9154</v>
      </c>
      <c r="H416" s="7" t="n">
        <v>3.72529029846191E-009</v>
      </c>
      <c r="I416" s="7" t="n">
        <v>1.47042250643074E-015</v>
      </c>
      <c r="J416" s="7" t="n">
        <v>0.01</v>
      </c>
      <c r="K416" s="9" t="s">
        <v>4</v>
      </c>
      <c r="L416" s="7"/>
      <c r="M416" s="7"/>
      <c r="N416" s="10" t="n">
        <f aca="false">IF(AND(ISNUMBER(F416),ISNUMBER(G416)),ABS(G416-F416),"")</f>
        <v>0</v>
      </c>
      <c r="O416" s="4" t="str">
        <f aca="false">IF(AND(ISNUMBER(N416),ISNUMBER(J416)),IF(N416&lt;=J416,"PASS","FAIL"),"n/a")</f>
        <v>PASS</v>
      </c>
    </row>
    <row r="417" customFormat="false" ht="23.85" hidden="false" customHeight="false" outlineLevel="0" collapsed="false">
      <c r="A417" s="7" t="s">
        <v>1030</v>
      </c>
      <c r="B417" s="7" t="s">
        <v>437</v>
      </c>
      <c r="C417" s="7" t="s">
        <v>1031</v>
      </c>
      <c r="D417" s="7" t="s">
        <v>1021</v>
      </c>
      <c r="E417" s="7"/>
      <c r="F417" s="12" t="n">
        <v>0</v>
      </c>
      <c r="G417" s="8" t="n">
        <v>0</v>
      </c>
      <c r="H417" s="7" t="n">
        <v>0</v>
      </c>
      <c r="I417" s="7"/>
      <c r="J417" s="7" t="n">
        <v>0.01</v>
      </c>
      <c r="K417" s="9" t="s">
        <v>4</v>
      </c>
      <c r="L417" s="7"/>
      <c r="M417" s="7"/>
      <c r="N417" s="10" t="n">
        <f aca="false">IF(AND(ISNUMBER(F417),ISNUMBER(G417)),ABS(G417-F417),"")</f>
        <v>0</v>
      </c>
      <c r="O417" s="4" t="str">
        <f aca="false">IF(AND(ISNUMBER(N417),ISNUMBER(J417)),IF(N417&lt;=J417,"PASS","FAIL"),"n/a")</f>
        <v>PASS</v>
      </c>
    </row>
    <row r="418" customFormat="false" ht="23.85" hidden="false" customHeight="false" outlineLevel="0" collapsed="false">
      <c r="A418" s="7" t="s">
        <v>1032</v>
      </c>
      <c r="B418" s="7" t="s">
        <v>437</v>
      </c>
      <c r="C418" s="7" t="s">
        <v>1033</v>
      </c>
      <c r="D418" s="7" t="s">
        <v>1021</v>
      </c>
      <c r="E418" s="7"/>
      <c r="F418" s="12" t="n">
        <v>0</v>
      </c>
      <c r="G418" s="8" t="n">
        <v>0</v>
      </c>
      <c r="H418" s="7" t="n">
        <v>0</v>
      </c>
      <c r="I418" s="7"/>
      <c r="J418" s="7" t="n">
        <v>0.01</v>
      </c>
      <c r="K418" s="9" t="s">
        <v>4</v>
      </c>
      <c r="L418" s="7"/>
      <c r="M418" s="7"/>
      <c r="N418" s="10" t="n">
        <f aca="false">IF(AND(ISNUMBER(F418),ISNUMBER(G418)),ABS(G418-F418),"")</f>
        <v>0</v>
      </c>
      <c r="O418" s="4" t="str">
        <f aca="false">IF(AND(ISNUMBER(N418),ISNUMBER(J418)),IF(N418&lt;=J418,"PASS","FAIL"),"n/a")</f>
        <v>PASS</v>
      </c>
    </row>
    <row r="419" customFormat="false" ht="23.85" hidden="false" customHeight="false" outlineLevel="0" collapsed="false">
      <c r="A419" s="7" t="s">
        <v>1034</v>
      </c>
      <c r="B419" s="7" t="s">
        <v>437</v>
      </c>
      <c r="C419" s="7" t="s">
        <v>1035</v>
      </c>
      <c r="D419" s="7" t="s">
        <v>1021</v>
      </c>
      <c r="E419" s="7"/>
      <c r="F419" s="12" t="n">
        <v>0</v>
      </c>
      <c r="G419" s="8" t="n">
        <v>0</v>
      </c>
      <c r="H419" s="7" t="n">
        <v>0</v>
      </c>
      <c r="I419" s="7"/>
      <c r="J419" s="7" t="n">
        <v>0.01</v>
      </c>
      <c r="K419" s="9" t="s">
        <v>4</v>
      </c>
      <c r="L419" s="7"/>
      <c r="M419" s="7"/>
      <c r="N419" s="10" t="n">
        <f aca="false">IF(AND(ISNUMBER(F419),ISNUMBER(G419)),ABS(G419-F419),"")</f>
        <v>0</v>
      </c>
      <c r="O419" s="4" t="str">
        <f aca="false">IF(AND(ISNUMBER(N419),ISNUMBER(J419)),IF(N419&lt;=J419,"PASS","FAIL"),"n/a")</f>
        <v>PASS</v>
      </c>
    </row>
    <row r="420" customFormat="false" ht="23.85" hidden="false" customHeight="false" outlineLevel="0" collapsed="false">
      <c r="A420" s="7" t="s">
        <v>1036</v>
      </c>
      <c r="B420" s="7" t="s">
        <v>437</v>
      </c>
      <c r="C420" s="7" t="s">
        <v>1037</v>
      </c>
      <c r="D420" s="7" t="s">
        <v>1021</v>
      </c>
      <c r="E420" s="7"/>
      <c r="F420" s="12" t="n">
        <v>0</v>
      </c>
      <c r="G420" s="8" t="n">
        <v>0</v>
      </c>
      <c r="H420" s="7" t="n">
        <v>0</v>
      </c>
      <c r="I420" s="7"/>
      <c r="J420" s="7" t="n">
        <v>0.01</v>
      </c>
      <c r="K420" s="9" t="s">
        <v>4</v>
      </c>
      <c r="L420" s="7"/>
      <c r="M420" s="7"/>
      <c r="N420" s="10" t="n">
        <f aca="false">IF(AND(ISNUMBER(F420),ISNUMBER(G420)),ABS(G420-F420),"")</f>
        <v>0</v>
      </c>
      <c r="O420" s="4" t="str">
        <f aca="false">IF(AND(ISNUMBER(N420),ISNUMBER(J420)),IF(N420&lt;=J420,"PASS","FAIL"),"n/a")</f>
        <v>PASS</v>
      </c>
    </row>
    <row r="421" customFormat="false" ht="23.85" hidden="false" customHeight="false" outlineLevel="0" collapsed="false">
      <c r="A421" s="7" t="s">
        <v>1038</v>
      </c>
      <c r="B421" s="7" t="s">
        <v>437</v>
      </c>
      <c r="C421" s="7" t="s">
        <v>1039</v>
      </c>
      <c r="D421" s="7" t="s">
        <v>1021</v>
      </c>
      <c r="E421" s="7"/>
      <c r="F421" s="12" t="n">
        <v>0</v>
      </c>
      <c r="G421" s="8" t="n">
        <v>0</v>
      </c>
      <c r="H421" s="7" t="n">
        <v>0</v>
      </c>
      <c r="I421" s="7"/>
      <c r="J421" s="7" t="n">
        <v>0.01</v>
      </c>
      <c r="K421" s="9" t="s">
        <v>4</v>
      </c>
      <c r="L421" s="7"/>
      <c r="M421" s="7"/>
      <c r="N421" s="10" t="n">
        <f aca="false">IF(AND(ISNUMBER(F421),ISNUMBER(G421)),ABS(G421-F421),"")</f>
        <v>0</v>
      </c>
      <c r="O421" s="4" t="str">
        <f aca="false">IF(AND(ISNUMBER(N421),ISNUMBER(J421)),IF(N421&lt;=J421,"PASS","FAIL"),"n/a")</f>
        <v>PASS</v>
      </c>
    </row>
    <row r="422" customFormat="false" ht="23.85" hidden="false" customHeight="false" outlineLevel="0" collapsed="false">
      <c r="A422" s="7" t="s">
        <v>1040</v>
      </c>
      <c r="B422" s="7" t="s">
        <v>437</v>
      </c>
      <c r="C422" s="7" t="s">
        <v>1041</v>
      </c>
      <c r="D422" s="7" t="s">
        <v>1021</v>
      </c>
      <c r="E422" s="7"/>
      <c r="F422" s="12" t="n">
        <v>0</v>
      </c>
      <c r="G422" s="8" t="n">
        <v>0</v>
      </c>
      <c r="H422" s="7" t="n">
        <v>0</v>
      </c>
      <c r="I422" s="7"/>
      <c r="J422" s="7" t="n">
        <v>0.01</v>
      </c>
      <c r="K422" s="9" t="s">
        <v>4</v>
      </c>
      <c r="L422" s="7"/>
      <c r="M422" s="7"/>
      <c r="N422" s="10" t="n">
        <f aca="false">IF(AND(ISNUMBER(F422),ISNUMBER(G422)),ABS(G422-F422),"")</f>
        <v>0</v>
      </c>
      <c r="O422" s="4" t="str">
        <f aca="false">IF(AND(ISNUMBER(N422),ISNUMBER(J422)),IF(N422&lt;=J422,"PASS","FAIL"),"n/a")</f>
        <v>PASS</v>
      </c>
    </row>
    <row r="423" customFormat="false" ht="68.65" hidden="false" customHeight="false" outlineLevel="0" collapsed="false">
      <c r="A423" s="7" t="s">
        <v>1042</v>
      </c>
      <c r="B423" s="7" t="s">
        <v>437</v>
      </c>
      <c r="C423" s="7" t="s">
        <v>1043</v>
      </c>
      <c r="D423" s="7" t="s">
        <v>1021</v>
      </c>
      <c r="E423" s="7" t="s">
        <v>466</v>
      </c>
      <c r="F423" s="7" t="s">
        <v>1044</v>
      </c>
      <c r="G423" s="7" t="s">
        <v>1045</v>
      </c>
      <c r="H423" s="7"/>
      <c r="I423" s="7"/>
      <c r="J423" s="7" t="s">
        <v>389</v>
      </c>
      <c r="K423" s="9" t="s">
        <v>4</v>
      </c>
      <c r="L423" s="7"/>
      <c r="M423" s="7"/>
      <c r="N423" s="10" t="str">
        <f aca="false">IF(AND(ISNUMBER(F423),ISNUMBER(G423)),ABS(G423-F423),"")</f>
        <v/>
      </c>
      <c r="O423" s="4" t="str">
        <f aca="false">IF(AND(ISNUMBER(N423),ISNUMBER(J423)),IF(N423&lt;=J423,"PASS","FAIL"),"n/a")</f>
        <v>n/a</v>
      </c>
    </row>
    <row r="424" customFormat="false" ht="46.25" hidden="false" customHeight="false" outlineLevel="0" collapsed="false">
      <c r="A424" s="7" t="s">
        <v>1046</v>
      </c>
      <c r="B424" s="7" t="s">
        <v>437</v>
      </c>
      <c r="C424" s="7" t="s">
        <v>1047</v>
      </c>
      <c r="D424" s="7" t="s">
        <v>1021</v>
      </c>
      <c r="E424" s="7" t="s">
        <v>466</v>
      </c>
      <c r="F424" s="7" t="s">
        <v>800</v>
      </c>
      <c r="G424" s="7" t="s">
        <v>801</v>
      </c>
      <c r="H424" s="7"/>
      <c r="I424" s="7"/>
      <c r="J424" s="7" t="s">
        <v>389</v>
      </c>
      <c r="K424" s="9" t="s">
        <v>4</v>
      </c>
      <c r="L424" s="7"/>
      <c r="M424" s="7"/>
      <c r="N424" s="10" t="str">
        <f aca="false">IF(AND(ISNUMBER(F424),ISNUMBER(G424)),ABS(G424-F424),"")</f>
        <v/>
      </c>
      <c r="O424" s="4" t="str">
        <f aca="false">IF(AND(ISNUMBER(N424),ISNUMBER(J424)),IF(N424&lt;=J424,"PASS","FAIL"),"n/a")</f>
        <v>n/a</v>
      </c>
    </row>
    <row r="425" customFormat="false" ht="46.25" hidden="false" customHeight="false" outlineLevel="0" collapsed="false">
      <c r="A425" s="7" t="s">
        <v>1048</v>
      </c>
      <c r="B425" s="7" t="s">
        <v>437</v>
      </c>
      <c r="C425" s="7" t="s">
        <v>1049</v>
      </c>
      <c r="D425" s="7" t="s">
        <v>1021</v>
      </c>
      <c r="E425" s="7" t="s">
        <v>466</v>
      </c>
      <c r="F425" s="7" t="s">
        <v>800</v>
      </c>
      <c r="G425" s="7" t="s">
        <v>801</v>
      </c>
      <c r="H425" s="7"/>
      <c r="I425" s="7"/>
      <c r="J425" s="7" t="s">
        <v>389</v>
      </c>
      <c r="K425" s="9" t="s">
        <v>4</v>
      </c>
      <c r="L425" s="7"/>
      <c r="M425" s="7"/>
      <c r="N425" s="10" t="str">
        <f aca="false">IF(AND(ISNUMBER(F425),ISNUMBER(G425)),ABS(G425-F425),"")</f>
        <v/>
      </c>
      <c r="O425" s="4" t="str">
        <f aca="false">IF(AND(ISNUMBER(N425),ISNUMBER(J425)),IF(N425&lt;=J425,"PASS","FAIL"),"n/a")</f>
        <v>n/a</v>
      </c>
    </row>
    <row r="426" customFormat="false" ht="46.25" hidden="false" customHeight="false" outlineLevel="0" collapsed="false">
      <c r="A426" s="7" t="s">
        <v>1050</v>
      </c>
      <c r="B426" s="7" t="s">
        <v>437</v>
      </c>
      <c r="C426" s="7" t="s">
        <v>1051</v>
      </c>
      <c r="D426" s="7" t="s">
        <v>1021</v>
      </c>
      <c r="E426" s="7" t="s">
        <v>466</v>
      </c>
      <c r="F426" s="7" t="s">
        <v>800</v>
      </c>
      <c r="G426" s="7" t="s">
        <v>801</v>
      </c>
      <c r="H426" s="7"/>
      <c r="I426" s="7"/>
      <c r="J426" s="7" t="s">
        <v>389</v>
      </c>
      <c r="K426" s="9" t="s">
        <v>4</v>
      </c>
      <c r="L426" s="7"/>
      <c r="M426" s="7"/>
      <c r="N426" s="10" t="str">
        <f aca="false">IF(AND(ISNUMBER(F426),ISNUMBER(G426)),ABS(G426-F426),"")</f>
        <v/>
      </c>
      <c r="O426" s="4" t="str">
        <f aca="false">IF(AND(ISNUMBER(N426),ISNUMBER(J426)),IF(N426&lt;=J426,"PASS","FAIL"),"n/a")</f>
        <v>n/a</v>
      </c>
    </row>
    <row r="427" customFormat="false" ht="57.45" hidden="false" customHeight="false" outlineLevel="0" collapsed="false">
      <c r="A427" s="7" t="s">
        <v>1052</v>
      </c>
      <c r="B427" s="7" t="s">
        <v>437</v>
      </c>
      <c r="C427" s="7" t="s">
        <v>1053</v>
      </c>
      <c r="D427" s="7" t="s">
        <v>1021</v>
      </c>
      <c r="E427" s="7"/>
      <c r="F427" s="7" t="s">
        <v>1054</v>
      </c>
      <c r="G427" s="7" t="s">
        <v>1054</v>
      </c>
      <c r="H427" s="7"/>
      <c r="I427" s="7"/>
      <c r="J427" s="7"/>
      <c r="K427" s="9" t="s">
        <v>4</v>
      </c>
      <c r="L427" s="7"/>
      <c r="M427" s="7"/>
      <c r="N427" s="10" t="str">
        <f aca="false">IF(AND(ISNUMBER(F427),ISNUMBER(G427)),ABS(G427-F427),"")</f>
        <v/>
      </c>
      <c r="O427" s="4" t="str">
        <f aca="false">IF(AND(ISNUMBER(N427),ISNUMBER(J427)),IF(N427&lt;=J427,"PASS","FAIL"),"n/a")</f>
        <v>n/a</v>
      </c>
    </row>
    <row r="428" customFormat="false" ht="23.85" hidden="false" customHeight="false" outlineLevel="0" collapsed="false">
      <c r="A428" s="7" t="s">
        <v>1055</v>
      </c>
      <c r="B428" s="7" t="s">
        <v>437</v>
      </c>
      <c r="C428" s="7" t="s">
        <v>1056</v>
      </c>
      <c r="D428" s="7" t="s">
        <v>1021</v>
      </c>
      <c r="E428" s="7"/>
      <c r="F428" s="8" t="n">
        <v>-2533483</v>
      </c>
      <c r="G428" s="12" t="n">
        <v>-2533483</v>
      </c>
      <c r="H428" s="7" t="n">
        <v>0</v>
      </c>
      <c r="I428" s="7" t="n">
        <v>0</v>
      </c>
      <c r="J428" s="7" t="n">
        <v>0.5</v>
      </c>
      <c r="K428" s="9" t="s">
        <v>4</v>
      </c>
      <c r="L428" s="7"/>
      <c r="M428" s="7"/>
      <c r="N428" s="10" t="n">
        <f aca="false">IF(AND(ISNUMBER(F428),ISNUMBER(G428)),ABS(G428-F428),"")</f>
        <v>0</v>
      </c>
      <c r="O428" s="4" t="str">
        <f aca="false">IF(AND(ISNUMBER(N428),ISNUMBER(J428)),IF(N428&lt;=J428,"PASS","FAIL"),"n/a")</f>
        <v>PASS</v>
      </c>
    </row>
    <row r="429" customFormat="false" ht="23.85" hidden="false" customHeight="false" outlineLevel="0" collapsed="false">
      <c r="A429" s="7" t="s">
        <v>1057</v>
      </c>
      <c r="B429" s="7" t="s">
        <v>437</v>
      </c>
      <c r="C429" s="7" t="s">
        <v>1058</v>
      </c>
      <c r="D429" s="7" t="s">
        <v>1021</v>
      </c>
      <c r="E429" s="7"/>
      <c r="F429" s="12" t="n">
        <v>-2533482.9154</v>
      </c>
      <c r="G429" s="12" t="n">
        <v>-2530000</v>
      </c>
      <c r="H429" s="7" t="n">
        <v>3482.91540000029</v>
      </c>
      <c r="I429" s="7" t="n">
        <v>0.00137475385321491</v>
      </c>
      <c r="J429" s="7" t="n">
        <v>5000</v>
      </c>
      <c r="K429" s="9" t="s">
        <v>4</v>
      </c>
      <c r="L429" s="7"/>
      <c r="M429" s="7"/>
      <c r="N429" s="10" t="n">
        <f aca="false">IF(AND(ISNUMBER(F429),ISNUMBER(G429)),ABS(G429-F429),"")</f>
        <v>3482.91539999982</v>
      </c>
      <c r="O429" s="4" t="str">
        <f aca="false">IF(AND(ISNUMBER(N429),ISNUMBER(J429)),IF(N429&lt;=J429,"PASS","FAIL"),"n/a")</f>
        <v>PASS</v>
      </c>
    </row>
    <row r="430" customFormat="false" ht="23.85" hidden="false" customHeight="false" outlineLevel="0" collapsed="false">
      <c r="A430" s="7" t="s">
        <v>1059</v>
      </c>
      <c r="B430" s="7" t="s">
        <v>437</v>
      </c>
      <c r="C430" s="7" t="s">
        <v>1060</v>
      </c>
      <c r="D430" s="7" t="s">
        <v>1021</v>
      </c>
      <c r="E430" s="7"/>
      <c r="F430" s="12" t="n">
        <v>0</v>
      </c>
      <c r="G430" s="12" t="n">
        <v>0</v>
      </c>
      <c r="H430" s="7" t="n">
        <v>0</v>
      </c>
      <c r="I430" s="7"/>
      <c r="J430" s="7" t="n">
        <v>0.5</v>
      </c>
      <c r="K430" s="9" t="s">
        <v>4</v>
      </c>
      <c r="L430" s="7"/>
      <c r="M430" s="7"/>
      <c r="N430" s="10" t="n">
        <f aca="false">IF(AND(ISNUMBER(F430),ISNUMBER(G430)),ABS(G430-F430),"")</f>
        <v>0</v>
      </c>
      <c r="O430" s="4" t="str">
        <f aca="false">IF(AND(ISNUMBER(N430),ISNUMBER(J430)),IF(N430&lt;=J430,"PASS","FAIL"),"n/a")</f>
        <v>PASS</v>
      </c>
    </row>
    <row r="431" customFormat="false" ht="23.85" hidden="false" customHeight="false" outlineLevel="0" collapsed="false">
      <c r="A431" s="7" t="s">
        <v>1061</v>
      </c>
      <c r="B431" s="7" t="s">
        <v>437</v>
      </c>
      <c r="C431" s="7" t="s">
        <v>1062</v>
      </c>
      <c r="D431" s="7" t="s">
        <v>1021</v>
      </c>
      <c r="E431" s="7"/>
      <c r="F431" s="12" t="n">
        <v>-2533482.9154</v>
      </c>
      <c r="G431" s="12" t="n">
        <v>-2530000</v>
      </c>
      <c r="H431" s="7" t="n">
        <v>3482.91540000029</v>
      </c>
      <c r="I431" s="7" t="n">
        <v>0.00137475385321491</v>
      </c>
      <c r="J431" s="7" t="n">
        <v>5000</v>
      </c>
      <c r="K431" s="9" t="s">
        <v>4</v>
      </c>
      <c r="L431" s="7"/>
      <c r="M431" s="7"/>
      <c r="N431" s="10" t="n">
        <f aca="false">IF(AND(ISNUMBER(F431),ISNUMBER(G431)),ABS(G431-F431),"")</f>
        <v>3482.91539999982</v>
      </c>
      <c r="O431" s="4" t="str">
        <f aca="false">IF(AND(ISNUMBER(N431),ISNUMBER(J431)),IF(N431&lt;=J431,"PASS","FAIL"),"n/a")</f>
        <v>PASS</v>
      </c>
    </row>
    <row r="432" customFormat="false" ht="23.85" hidden="false" customHeight="false" outlineLevel="0" collapsed="false">
      <c r="A432" s="7" t="s">
        <v>1063</v>
      </c>
      <c r="B432" s="7" t="s">
        <v>437</v>
      </c>
      <c r="C432" s="7" t="s">
        <v>1064</v>
      </c>
      <c r="D432" s="7"/>
      <c r="E432" s="7"/>
      <c r="F432" s="8" t="n">
        <v>0</v>
      </c>
      <c r="G432" s="8" t="n">
        <v>0</v>
      </c>
      <c r="H432" s="7" t="n">
        <v>0</v>
      </c>
      <c r="I432" s="7"/>
      <c r="J432" s="7" t="n">
        <v>0</v>
      </c>
      <c r="K432" s="9" t="s">
        <v>4</v>
      </c>
      <c r="L432" s="7"/>
      <c r="M432" s="7"/>
      <c r="N432" s="10" t="n">
        <f aca="false">IF(AND(ISNUMBER(F432),ISNUMBER(G432)),ABS(G432-F432),"")</f>
        <v>0</v>
      </c>
      <c r="O432" s="4" t="str">
        <f aca="false">IF(AND(ISNUMBER(N432),ISNUMBER(J432)),IF(N432&lt;=J432,"PASS","FAIL"),"n/a")</f>
        <v>PASS</v>
      </c>
    </row>
    <row r="433" customFormat="false" ht="23.85" hidden="false" customHeight="false" outlineLevel="0" collapsed="false">
      <c r="A433" s="7" t="s">
        <v>1065</v>
      </c>
      <c r="B433" s="7" t="s">
        <v>437</v>
      </c>
      <c r="C433" s="7" t="s">
        <v>1066</v>
      </c>
      <c r="D433" s="7" t="s">
        <v>1021</v>
      </c>
      <c r="E433" s="7"/>
      <c r="F433" s="8" t="n">
        <v>10820</v>
      </c>
      <c r="G433" s="8" t="n">
        <v>10820</v>
      </c>
      <c r="H433" s="7" t="n">
        <v>0</v>
      </c>
      <c r="I433" s="7" t="n">
        <v>0</v>
      </c>
      <c r="J433" s="7" t="n">
        <v>0</v>
      </c>
      <c r="K433" s="9" t="s">
        <v>4</v>
      </c>
      <c r="L433" s="7"/>
      <c r="M433" s="7"/>
      <c r="N433" s="10" t="n">
        <f aca="false">IF(AND(ISNUMBER(F433),ISNUMBER(G433)),ABS(G433-F433),"")</f>
        <v>0</v>
      </c>
      <c r="O433" s="4" t="str">
        <f aca="false">IF(AND(ISNUMBER(N433),ISNUMBER(J433)),IF(N433&lt;=J433,"PASS","FAIL"),"n/a")</f>
        <v>PASS</v>
      </c>
    </row>
    <row r="434" customFormat="false" ht="23.85" hidden="false" customHeight="false" outlineLevel="0" collapsed="false">
      <c r="A434" s="7" t="s">
        <v>1067</v>
      </c>
      <c r="B434" s="7" t="s">
        <v>437</v>
      </c>
      <c r="C434" s="7" t="s">
        <v>1068</v>
      </c>
      <c r="D434" s="7"/>
      <c r="E434" s="7"/>
      <c r="F434" s="8" t="n">
        <v>0</v>
      </c>
      <c r="G434" s="8" t="n">
        <v>0</v>
      </c>
      <c r="H434" s="7" t="n">
        <v>0</v>
      </c>
      <c r="I434" s="7"/>
      <c r="J434" s="7" t="n">
        <v>0</v>
      </c>
      <c r="K434" s="9" t="s">
        <v>4</v>
      </c>
      <c r="L434" s="7"/>
      <c r="M434" s="7"/>
      <c r="N434" s="10" t="n">
        <f aca="false">IF(AND(ISNUMBER(F434),ISNUMBER(G434)),ABS(G434-F434),"")</f>
        <v>0</v>
      </c>
      <c r="O434" s="4" t="str">
        <f aca="false">IF(AND(ISNUMBER(N434),ISNUMBER(J434)),IF(N434&lt;=J434,"PASS","FAIL"),"n/a")</f>
        <v>PASS</v>
      </c>
    </row>
    <row r="435" customFormat="false" ht="23.85" hidden="false" customHeight="false" outlineLevel="0" collapsed="false">
      <c r="A435" s="7" t="s">
        <v>1069</v>
      </c>
      <c r="B435" s="7" t="s">
        <v>437</v>
      </c>
      <c r="C435" s="7" t="s">
        <v>1070</v>
      </c>
      <c r="D435" s="7"/>
      <c r="E435" s="7"/>
      <c r="F435" s="12" t="n">
        <v>-2533482.9154</v>
      </c>
      <c r="G435" s="12" t="n">
        <v>-2533482.9154</v>
      </c>
      <c r="H435" s="7" t="n">
        <v>0</v>
      </c>
      <c r="I435" s="7" t="n">
        <v>0</v>
      </c>
      <c r="J435" s="7" t="n">
        <v>0.01</v>
      </c>
      <c r="K435" s="9" t="s">
        <v>4</v>
      </c>
      <c r="L435" s="7"/>
      <c r="M435" s="7"/>
      <c r="N435" s="10" t="n">
        <f aca="false">IF(AND(ISNUMBER(F435),ISNUMBER(G435)),ABS(G435-F435),"")</f>
        <v>0</v>
      </c>
      <c r="O435" s="4" t="str">
        <f aca="false">IF(AND(ISNUMBER(N435),ISNUMBER(J435)),IF(N435&lt;=J435,"PASS","FAIL"),"n/a")</f>
        <v>PASS</v>
      </c>
    </row>
    <row r="436" customFormat="false" ht="23.85" hidden="false" customHeight="false" outlineLevel="0" collapsed="false">
      <c r="A436" s="7" t="s">
        <v>1071</v>
      </c>
      <c r="B436" s="7" t="s">
        <v>437</v>
      </c>
      <c r="C436" s="7" t="s">
        <v>1072</v>
      </c>
      <c r="D436" s="7"/>
      <c r="E436" s="7"/>
      <c r="F436" s="12" t="n">
        <v>0</v>
      </c>
      <c r="G436" s="12" t="n">
        <v>0</v>
      </c>
      <c r="H436" s="7" t="n">
        <v>0</v>
      </c>
      <c r="I436" s="7"/>
      <c r="J436" s="7" t="n">
        <v>0.01</v>
      </c>
      <c r="K436" s="9" t="s">
        <v>4</v>
      </c>
      <c r="L436" s="7"/>
      <c r="M436" s="7"/>
      <c r="N436" s="10" t="n">
        <f aca="false">IF(AND(ISNUMBER(F436),ISNUMBER(G436)),ABS(G436-F436),"")</f>
        <v>0</v>
      </c>
      <c r="O436" s="4" t="str">
        <f aca="false">IF(AND(ISNUMBER(N436),ISNUMBER(J436)),IF(N436&lt;=J436,"PASS","FAIL"),"n/a")</f>
        <v>PASS</v>
      </c>
    </row>
    <row r="437" customFormat="false" ht="23.85" hidden="false" customHeight="false" outlineLevel="0" collapsed="false">
      <c r="A437" s="7" t="s">
        <v>1073</v>
      </c>
      <c r="B437" s="7" t="s">
        <v>437</v>
      </c>
      <c r="C437" s="7" t="s">
        <v>1074</v>
      </c>
      <c r="D437" s="7"/>
      <c r="E437" s="7"/>
      <c r="F437" s="12" t="n">
        <v>0</v>
      </c>
      <c r="G437" s="12" t="n">
        <v>0</v>
      </c>
      <c r="H437" s="7" t="n">
        <v>0</v>
      </c>
      <c r="I437" s="7"/>
      <c r="J437" s="7" t="n">
        <v>0.01</v>
      </c>
      <c r="K437" s="9" t="s">
        <v>4</v>
      </c>
      <c r="L437" s="7"/>
      <c r="M437" s="7"/>
      <c r="N437" s="10" t="n">
        <f aca="false">IF(AND(ISNUMBER(F437),ISNUMBER(G437)),ABS(G437-F437),"")</f>
        <v>0</v>
      </c>
      <c r="O437" s="4" t="str">
        <f aca="false">IF(AND(ISNUMBER(N437),ISNUMBER(J437)),IF(N437&lt;=J437,"PASS","FAIL"),"n/a")</f>
        <v>PASS</v>
      </c>
    </row>
    <row r="438" customFormat="false" ht="23.85" hidden="false" customHeight="false" outlineLevel="0" collapsed="false">
      <c r="A438" s="7" t="s">
        <v>1075</v>
      </c>
      <c r="B438" s="7" t="s">
        <v>437</v>
      </c>
      <c r="C438" s="7" t="s">
        <v>1076</v>
      </c>
      <c r="D438" s="7"/>
      <c r="E438" s="7"/>
      <c r="F438" s="12" t="n">
        <v>0</v>
      </c>
      <c r="G438" s="12" t="n">
        <v>0</v>
      </c>
      <c r="H438" s="7" t="n">
        <v>0</v>
      </c>
      <c r="I438" s="7"/>
      <c r="J438" s="7" t="n">
        <v>0.01</v>
      </c>
      <c r="K438" s="9" t="s">
        <v>4</v>
      </c>
      <c r="L438" s="7"/>
      <c r="M438" s="7"/>
      <c r="N438" s="10" t="n">
        <f aca="false">IF(AND(ISNUMBER(F438),ISNUMBER(G438)),ABS(G438-F438),"")</f>
        <v>0</v>
      </c>
      <c r="O438" s="4" t="str">
        <f aca="false">IF(AND(ISNUMBER(N438),ISNUMBER(J438)),IF(N438&lt;=J438,"PASS","FAIL"),"n/a")</f>
        <v>PASS</v>
      </c>
    </row>
    <row r="439" customFormat="false" ht="23.85" hidden="false" customHeight="false" outlineLevel="0" collapsed="false">
      <c r="A439" s="7" t="s">
        <v>1077</v>
      </c>
      <c r="B439" s="7" t="s">
        <v>437</v>
      </c>
      <c r="C439" s="7" t="s">
        <v>1078</v>
      </c>
      <c r="D439" s="7" t="s">
        <v>1079</v>
      </c>
      <c r="E439" s="7"/>
      <c r="F439" s="8" t="n">
        <v>4867</v>
      </c>
      <c r="G439" s="8" t="n">
        <v>4867</v>
      </c>
      <c r="H439" s="7" t="n">
        <v>0</v>
      </c>
      <c r="I439" s="7" t="n">
        <v>0</v>
      </c>
      <c r="J439" s="7" t="n">
        <v>0</v>
      </c>
      <c r="K439" s="9" t="s">
        <v>4</v>
      </c>
      <c r="L439" s="7"/>
      <c r="M439" s="7"/>
      <c r="N439" s="10" t="n">
        <f aca="false">IF(AND(ISNUMBER(F439),ISNUMBER(G439)),ABS(G439-F439),"")</f>
        <v>0</v>
      </c>
      <c r="O439" s="4" t="str">
        <f aca="false">IF(AND(ISNUMBER(N439),ISNUMBER(J439)),IF(N439&lt;=J439,"PASS","FAIL"),"n/a")</f>
        <v>PASS</v>
      </c>
    </row>
    <row r="440" customFormat="false" ht="23.85" hidden="false" customHeight="false" outlineLevel="0" collapsed="false">
      <c r="A440" s="7" t="s">
        <v>1080</v>
      </c>
      <c r="B440" s="7" t="s">
        <v>437</v>
      </c>
      <c r="C440" s="7" t="s">
        <v>1081</v>
      </c>
      <c r="D440" s="7" t="s">
        <v>1079</v>
      </c>
      <c r="E440" s="7"/>
      <c r="F440" s="12" t="n">
        <v>16351401.0316</v>
      </c>
      <c r="G440" s="12" t="n">
        <v>16351401.0316</v>
      </c>
      <c r="H440" s="7" t="n">
        <v>1.86264514923096E-009</v>
      </c>
      <c r="I440" s="7" t="n">
        <v>1.1391348946988E-016</v>
      </c>
      <c r="J440" s="7" t="n">
        <v>0.01</v>
      </c>
      <c r="K440" s="9" t="s">
        <v>4</v>
      </c>
      <c r="L440" s="7"/>
      <c r="M440" s="7"/>
      <c r="N440" s="10" t="n">
        <f aca="false">IF(AND(ISNUMBER(F440),ISNUMBER(G440)),ABS(G440-F440),"")</f>
        <v>0</v>
      </c>
      <c r="O440" s="4" t="str">
        <f aca="false">IF(AND(ISNUMBER(N440),ISNUMBER(J440)),IF(N440&lt;=J440,"PASS","FAIL"),"n/a")</f>
        <v>PASS</v>
      </c>
    </row>
    <row r="441" customFormat="false" ht="23.85" hidden="false" customHeight="false" outlineLevel="0" collapsed="false">
      <c r="A441" s="7" t="s">
        <v>1082</v>
      </c>
      <c r="B441" s="7" t="s">
        <v>437</v>
      </c>
      <c r="C441" s="7" t="s">
        <v>1083</v>
      </c>
      <c r="D441" s="7" t="s">
        <v>1079</v>
      </c>
      <c r="E441" s="7"/>
      <c r="F441" s="12" t="n">
        <v>13607976.7716</v>
      </c>
      <c r="G441" s="12" t="n">
        <v>13607976.7716</v>
      </c>
      <c r="H441" s="7" t="n">
        <v>7.45058059692383E-009</v>
      </c>
      <c r="I441" s="7" t="n">
        <v>5.47515675693485E-016</v>
      </c>
      <c r="J441" s="7" t="n">
        <v>0.01</v>
      </c>
      <c r="K441" s="9" t="s">
        <v>4</v>
      </c>
      <c r="L441" s="7"/>
      <c r="M441" s="7"/>
      <c r="N441" s="10" t="n">
        <f aca="false">IF(AND(ISNUMBER(F441),ISNUMBER(G441)),ABS(G441-F441),"")</f>
        <v>0</v>
      </c>
      <c r="O441" s="4" t="str">
        <f aca="false">IF(AND(ISNUMBER(N441),ISNUMBER(J441)),IF(N441&lt;=J441,"PASS","FAIL"),"n/a")</f>
        <v>PASS</v>
      </c>
    </row>
    <row r="442" customFormat="false" ht="23.85" hidden="false" customHeight="false" outlineLevel="0" collapsed="false">
      <c r="A442" s="7" t="s">
        <v>1084</v>
      </c>
      <c r="B442" s="7" t="s">
        <v>437</v>
      </c>
      <c r="C442" s="7" t="s">
        <v>1085</v>
      </c>
      <c r="D442" s="7" t="s">
        <v>1079</v>
      </c>
      <c r="E442" s="7"/>
      <c r="F442" s="12" t="n">
        <v>2743424.26</v>
      </c>
      <c r="G442" s="12" t="n">
        <v>2743424.25999999</v>
      </c>
      <c r="H442" s="7" t="n">
        <v>9.31322574615479E-009</v>
      </c>
      <c r="I442" s="7" t="n">
        <v>3.39474498419533E-015</v>
      </c>
      <c r="J442" s="7" t="n">
        <v>0.01</v>
      </c>
      <c r="K442" s="9" t="s">
        <v>4</v>
      </c>
      <c r="L442" s="7"/>
      <c r="M442" s="7"/>
      <c r="N442" s="10" t="n">
        <f aca="false">IF(AND(ISNUMBER(F442),ISNUMBER(G442)),ABS(G442-F442),"")</f>
        <v>9.77888703346252E-009</v>
      </c>
      <c r="O442" s="4" t="str">
        <f aca="false">IF(AND(ISNUMBER(N442),ISNUMBER(J442)),IF(N442&lt;=J442,"PASS","FAIL"),"n/a")</f>
        <v>PASS</v>
      </c>
    </row>
    <row r="443" customFormat="false" ht="23.85" hidden="false" customHeight="false" outlineLevel="0" collapsed="false">
      <c r="A443" s="7" t="s">
        <v>1086</v>
      </c>
      <c r="B443" s="7" t="s">
        <v>437</v>
      </c>
      <c r="C443" s="7" t="s">
        <v>1087</v>
      </c>
      <c r="D443" s="7" t="s">
        <v>1079</v>
      </c>
      <c r="E443" s="7"/>
      <c r="F443" s="12" t="n">
        <v>16351401.0316</v>
      </c>
      <c r="G443" s="12" t="n">
        <v>16351401.0316</v>
      </c>
      <c r="H443" s="7" t="n">
        <v>1.86264514923096E-009</v>
      </c>
      <c r="I443" s="7" t="n">
        <v>1.1391348946988E-016</v>
      </c>
      <c r="J443" s="7" t="n">
        <v>0.01</v>
      </c>
      <c r="K443" s="9" t="s">
        <v>4</v>
      </c>
      <c r="L443" s="7"/>
      <c r="M443" s="7"/>
      <c r="N443" s="10" t="n">
        <f aca="false">IF(AND(ISNUMBER(F443),ISNUMBER(G443)),ABS(G443-F443),"")</f>
        <v>0</v>
      </c>
      <c r="O443" s="4" t="str">
        <f aca="false">IF(AND(ISNUMBER(N443),ISNUMBER(J443)),IF(N443&lt;=J443,"PASS","FAIL"),"n/a")</f>
        <v>PASS</v>
      </c>
    </row>
    <row r="444" customFormat="false" ht="23.85" hidden="false" customHeight="false" outlineLevel="0" collapsed="false">
      <c r="A444" s="7" t="s">
        <v>1088</v>
      </c>
      <c r="B444" s="7" t="s">
        <v>437</v>
      </c>
      <c r="C444" s="7" t="s">
        <v>1089</v>
      </c>
      <c r="D444" s="7" t="s">
        <v>1079</v>
      </c>
      <c r="E444" s="7"/>
      <c r="F444" s="12" t="n">
        <v>6574125.5283</v>
      </c>
      <c r="G444" s="12" t="n">
        <v>6574125.5283</v>
      </c>
      <c r="H444" s="7" t="n">
        <v>3.72529029846191E-009</v>
      </c>
      <c r="I444" s="7" t="n">
        <v>5.66659441232975E-016</v>
      </c>
      <c r="J444" s="7" t="n">
        <v>0.01</v>
      </c>
      <c r="K444" s="9" t="s">
        <v>4</v>
      </c>
      <c r="L444" s="7"/>
      <c r="M444" s="7"/>
      <c r="N444" s="10" t="n">
        <f aca="false">IF(AND(ISNUMBER(F444),ISNUMBER(G444)),ABS(G444-F444),"")</f>
        <v>0</v>
      </c>
      <c r="O444" s="4" t="str">
        <f aca="false">IF(AND(ISNUMBER(N444),ISNUMBER(J444)),IF(N444&lt;=J444,"PASS","FAIL"),"n/a")</f>
        <v>PASS</v>
      </c>
    </row>
    <row r="445" customFormat="false" ht="23.85" hidden="false" customHeight="false" outlineLevel="0" collapsed="false">
      <c r="A445" s="7" t="s">
        <v>1090</v>
      </c>
      <c r="B445" s="7" t="s">
        <v>437</v>
      </c>
      <c r="C445" s="7" t="s">
        <v>1091</v>
      </c>
      <c r="D445" s="7" t="s">
        <v>1079</v>
      </c>
      <c r="E445" s="7"/>
      <c r="F445" s="12" t="n">
        <v>3300022.328</v>
      </c>
      <c r="G445" s="12" t="n">
        <v>3300022.328</v>
      </c>
      <c r="H445" s="7" t="n">
        <v>4.65661287307739E-010</v>
      </c>
      <c r="I445" s="7" t="n">
        <v>1.41108526253505E-016</v>
      </c>
      <c r="J445" s="7" t="n">
        <v>0.01</v>
      </c>
      <c r="K445" s="9" t="s">
        <v>4</v>
      </c>
      <c r="L445" s="7"/>
      <c r="M445" s="7"/>
      <c r="N445" s="10" t="n">
        <f aca="false">IF(AND(ISNUMBER(F445),ISNUMBER(G445)),ABS(G445-F445),"")</f>
        <v>0</v>
      </c>
      <c r="O445" s="4" t="str">
        <f aca="false">IF(AND(ISNUMBER(N445),ISNUMBER(J445)),IF(N445&lt;=J445,"PASS","FAIL"),"n/a")</f>
        <v>PASS</v>
      </c>
    </row>
    <row r="446" customFormat="false" ht="23.85" hidden="false" customHeight="false" outlineLevel="0" collapsed="false">
      <c r="A446" s="7" t="s">
        <v>1092</v>
      </c>
      <c r="B446" s="7" t="s">
        <v>437</v>
      </c>
      <c r="C446" s="7" t="s">
        <v>1093</v>
      </c>
      <c r="D446" s="7" t="s">
        <v>1079</v>
      </c>
      <c r="E446" s="7"/>
      <c r="F446" s="12" t="n">
        <v>3733828.9153</v>
      </c>
      <c r="G446" s="12" t="n">
        <v>3733828.9153</v>
      </c>
      <c r="H446" s="7" t="n">
        <v>4.19095158576965E-009</v>
      </c>
      <c r="I446" s="7" t="n">
        <v>1.12242732081176E-015</v>
      </c>
      <c r="J446" s="7" t="n">
        <v>0.01</v>
      </c>
      <c r="K446" s="9" t="s">
        <v>4</v>
      </c>
      <c r="L446" s="7"/>
      <c r="M446" s="7"/>
      <c r="N446" s="10" t="n">
        <f aca="false">IF(AND(ISNUMBER(F446),ISNUMBER(G446)),ABS(G446-F446),"")</f>
        <v>0</v>
      </c>
      <c r="O446" s="4" t="str">
        <f aca="false">IF(AND(ISNUMBER(N446),ISNUMBER(J446)),IF(N446&lt;=J446,"PASS","FAIL"),"n/a")</f>
        <v>PASS</v>
      </c>
    </row>
    <row r="447" customFormat="false" ht="23.85" hidden="false" customHeight="false" outlineLevel="0" collapsed="false">
      <c r="A447" s="7" t="s">
        <v>1094</v>
      </c>
      <c r="B447" s="7" t="s">
        <v>437</v>
      </c>
      <c r="C447" s="7" t="s">
        <v>1095</v>
      </c>
      <c r="D447" s="7" t="s">
        <v>1079</v>
      </c>
      <c r="E447" s="7"/>
      <c r="F447" s="12" t="n">
        <v>148973.2799</v>
      </c>
      <c r="G447" s="12" t="n">
        <v>148973.2799</v>
      </c>
      <c r="H447" s="7" t="n">
        <v>2.91038304567337E-011</v>
      </c>
      <c r="I447" s="7" t="n">
        <v>1.95362755497294E-016</v>
      </c>
      <c r="J447" s="7" t="n">
        <v>0.01</v>
      </c>
      <c r="K447" s="9" t="s">
        <v>4</v>
      </c>
      <c r="L447" s="7"/>
      <c r="M447" s="7"/>
      <c r="N447" s="10" t="n">
        <f aca="false">IF(AND(ISNUMBER(F447),ISNUMBER(G447)),ABS(G447-F447),"")</f>
        <v>0</v>
      </c>
      <c r="O447" s="4" t="str">
        <f aca="false">IF(AND(ISNUMBER(N447),ISNUMBER(J447)),IF(N447&lt;=J447,"PASS","FAIL"),"n/a")</f>
        <v>PASS</v>
      </c>
    </row>
    <row r="448" customFormat="false" ht="23.85" hidden="false" customHeight="false" outlineLevel="0" collapsed="false">
      <c r="A448" s="7" t="s">
        <v>1096</v>
      </c>
      <c r="B448" s="7" t="s">
        <v>437</v>
      </c>
      <c r="C448" s="7" t="s">
        <v>1097</v>
      </c>
      <c r="D448" s="7" t="s">
        <v>1079</v>
      </c>
      <c r="E448" s="7"/>
      <c r="F448" s="12" t="n">
        <v>48997.2233</v>
      </c>
      <c r="G448" s="12" t="n">
        <v>48997.2233</v>
      </c>
      <c r="H448" s="7" t="n">
        <v>7.27595761418343E-012</v>
      </c>
      <c r="I448" s="7" t="n">
        <v>1.4849734585232E-016</v>
      </c>
      <c r="J448" s="7" t="n">
        <v>0.01</v>
      </c>
      <c r="K448" s="9" t="s">
        <v>4</v>
      </c>
      <c r="L448" s="7"/>
      <c r="M448" s="7"/>
      <c r="N448" s="10" t="n">
        <f aca="false">IF(AND(ISNUMBER(F448),ISNUMBER(G448)),ABS(G448-F448),"")</f>
        <v>0</v>
      </c>
      <c r="O448" s="4" t="str">
        <f aca="false">IF(AND(ISNUMBER(N448),ISNUMBER(J448)),IF(N448&lt;=J448,"PASS","FAIL"),"n/a")</f>
        <v>PASS</v>
      </c>
    </row>
    <row r="449" customFormat="false" ht="23.85" hidden="false" customHeight="false" outlineLevel="0" collapsed="false">
      <c r="A449" s="7" t="s">
        <v>1098</v>
      </c>
      <c r="B449" s="7" t="s">
        <v>437</v>
      </c>
      <c r="C449" s="7" t="s">
        <v>1099</v>
      </c>
      <c r="D449" s="7" t="s">
        <v>1079</v>
      </c>
      <c r="E449" s="7"/>
      <c r="F449" s="12" t="n">
        <v>154792.3363</v>
      </c>
      <c r="G449" s="12" t="n">
        <v>154792.3363</v>
      </c>
      <c r="H449" s="7" t="n">
        <v>5.82076609134674E-011</v>
      </c>
      <c r="I449" s="7" t="n">
        <v>3.76037097861591E-016</v>
      </c>
      <c r="J449" s="7" t="n">
        <v>0.01</v>
      </c>
      <c r="K449" s="9" t="s">
        <v>4</v>
      </c>
      <c r="L449" s="7"/>
      <c r="M449" s="7"/>
      <c r="N449" s="10" t="n">
        <f aca="false">IF(AND(ISNUMBER(F449),ISNUMBER(G449)),ABS(G449-F449),"")</f>
        <v>0</v>
      </c>
      <c r="O449" s="4" t="str">
        <f aca="false">IF(AND(ISNUMBER(N449),ISNUMBER(J449)),IF(N449&lt;=J449,"PASS","FAIL"),"n/a")</f>
        <v>PASS</v>
      </c>
    </row>
    <row r="450" customFormat="false" ht="79.85" hidden="false" customHeight="false" outlineLevel="0" collapsed="false">
      <c r="A450" s="7" t="s">
        <v>1100</v>
      </c>
      <c r="B450" s="7" t="s">
        <v>437</v>
      </c>
      <c r="C450" s="7" t="s">
        <v>1101</v>
      </c>
      <c r="D450" s="7" t="s">
        <v>1079</v>
      </c>
      <c r="E450" s="7" t="s">
        <v>466</v>
      </c>
      <c r="F450" s="7" t="s">
        <v>1102</v>
      </c>
      <c r="G450" s="7" t="s">
        <v>1103</v>
      </c>
      <c r="H450" s="7"/>
      <c r="I450" s="7"/>
      <c r="J450" s="7" t="s">
        <v>389</v>
      </c>
      <c r="K450" s="9" t="s">
        <v>4</v>
      </c>
      <c r="L450" s="7"/>
      <c r="M450" s="7"/>
      <c r="N450" s="10" t="str">
        <f aca="false">IF(AND(ISNUMBER(F450),ISNUMBER(G450)),ABS(G450-F450),"")</f>
        <v/>
      </c>
      <c r="O450" s="4" t="str">
        <f aca="false">IF(AND(ISNUMBER(N450),ISNUMBER(J450)),IF(N450&lt;=J450,"PASS","FAIL"),"n/a")</f>
        <v>n/a</v>
      </c>
    </row>
    <row r="451" customFormat="false" ht="79.85" hidden="false" customHeight="false" outlineLevel="0" collapsed="false">
      <c r="A451" s="7" t="s">
        <v>1104</v>
      </c>
      <c r="B451" s="7" t="s">
        <v>437</v>
      </c>
      <c r="C451" s="7" t="s">
        <v>1105</v>
      </c>
      <c r="D451" s="7" t="s">
        <v>1079</v>
      </c>
      <c r="E451" s="7" t="s">
        <v>466</v>
      </c>
      <c r="F451" s="7" t="s">
        <v>1106</v>
      </c>
      <c r="G451" s="7" t="s">
        <v>1107</v>
      </c>
      <c r="H451" s="7"/>
      <c r="I451" s="7"/>
      <c r="J451" s="7" t="s">
        <v>389</v>
      </c>
      <c r="K451" s="9" t="s">
        <v>4</v>
      </c>
      <c r="L451" s="7"/>
      <c r="M451" s="7"/>
      <c r="N451" s="10" t="str">
        <f aca="false">IF(AND(ISNUMBER(F451),ISNUMBER(G451)),ABS(G451-F451),"")</f>
        <v/>
      </c>
      <c r="O451" s="4" t="str">
        <f aca="false">IF(AND(ISNUMBER(N451),ISNUMBER(J451)),IF(N451&lt;=J451,"PASS","FAIL"),"n/a")</f>
        <v>n/a</v>
      </c>
    </row>
    <row r="452" customFormat="false" ht="68.65" hidden="false" customHeight="false" outlineLevel="0" collapsed="false">
      <c r="A452" s="7" t="s">
        <v>1108</v>
      </c>
      <c r="B452" s="7" t="s">
        <v>437</v>
      </c>
      <c r="C452" s="7" t="s">
        <v>1109</v>
      </c>
      <c r="D452" s="7" t="s">
        <v>1079</v>
      </c>
      <c r="E452" s="7" t="s">
        <v>466</v>
      </c>
      <c r="F452" s="7" t="s">
        <v>1110</v>
      </c>
      <c r="G452" s="7" t="s">
        <v>1111</v>
      </c>
      <c r="H452" s="7"/>
      <c r="I452" s="7"/>
      <c r="J452" s="7" t="s">
        <v>389</v>
      </c>
      <c r="K452" s="9" t="s">
        <v>4</v>
      </c>
      <c r="L452" s="7"/>
      <c r="M452" s="7"/>
      <c r="N452" s="10" t="str">
        <f aca="false">IF(AND(ISNUMBER(F452),ISNUMBER(G452)),ABS(G452-F452),"")</f>
        <v/>
      </c>
      <c r="O452" s="4" t="str">
        <f aca="false">IF(AND(ISNUMBER(N452),ISNUMBER(J452)),IF(N452&lt;=J452,"PASS","FAIL"),"n/a")</f>
        <v>n/a</v>
      </c>
    </row>
    <row r="453" customFormat="false" ht="79.85" hidden="false" customHeight="false" outlineLevel="0" collapsed="false">
      <c r="A453" s="7" t="s">
        <v>1112</v>
      </c>
      <c r="B453" s="7" t="s">
        <v>437</v>
      </c>
      <c r="C453" s="7" t="s">
        <v>1113</v>
      </c>
      <c r="D453" s="7" t="s">
        <v>1079</v>
      </c>
      <c r="E453" s="7" t="s">
        <v>466</v>
      </c>
      <c r="F453" s="7" t="s">
        <v>1114</v>
      </c>
      <c r="G453" s="7" t="s">
        <v>1115</v>
      </c>
      <c r="H453" s="7"/>
      <c r="I453" s="7"/>
      <c r="J453" s="7" t="s">
        <v>389</v>
      </c>
      <c r="K453" s="9" t="s">
        <v>4</v>
      </c>
      <c r="L453" s="7"/>
      <c r="M453" s="7"/>
      <c r="N453" s="10" t="str">
        <f aca="false">IF(AND(ISNUMBER(F453),ISNUMBER(G453)),ABS(G453-F453),"")</f>
        <v/>
      </c>
      <c r="O453" s="4" t="str">
        <f aca="false">IF(AND(ISNUMBER(N453),ISNUMBER(J453)),IF(N453&lt;=J453,"PASS","FAIL"),"n/a")</f>
        <v>n/a</v>
      </c>
    </row>
    <row r="454" customFormat="false" ht="57.45" hidden="false" customHeight="false" outlineLevel="0" collapsed="false">
      <c r="A454" s="7" t="s">
        <v>1116</v>
      </c>
      <c r="B454" s="7" t="s">
        <v>437</v>
      </c>
      <c r="C454" s="7" t="s">
        <v>1117</v>
      </c>
      <c r="D454" s="7" t="s">
        <v>1079</v>
      </c>
      <c r="E454" s="7"/>
      <c r="F454" s="7" t="s">
        <v>1118</v>
      </c>
      <c r="G454" s="7" t="s">
        <v>1118</v>
      </c>
      <c r="H454" s="7"/>
      <c r="I454" s="7"/>
      <c r="J454" s="7"/>
      <c r="K454" s="9" t="s">
        <v>4</v>
      </c>
      <c r="L454" s="7"/>
      <c r="M454" s="7"/>
      <c r="N454" s="10" t="str">
        <f aca="false">IF(AND(ISNUMBER(F454),ISNUMBER(G454)),ABS(G454-F454),"")</f>
        <v/>
      </c>
      <c r="O454" s="4" t="str">
        <f aca="false">IF(AND(ISNUMBER(N454),ISNUMBER(J454)),IF(N454&lt;=J454,"PASS","FAIL"),"n/a")</f>
        <v>n/a</v>
      </c>
    </row>
    <row r="455" customFormat="false" ht="23.85" hidden="false" customHeight="false" outlineLevel="0" collapsed="false">
      <c r="A455" s="7" t="s">
        <v>1119</v>
      </c>
      <c r="B455" s="7" t="s">
        <v>437</v>
      </c>
      <c r="C455" s="7" t="s">
        <v>1120</v>
      </c>
      <c r="D455" s="7" t="s">
        <v>1079</v>
      </c>
      <c r="E455" s="7"/>
      <c r="F455" s="8" t="n">
        <v>16351401</v>
      </c>
      <c r="G455" s="12" t="n">
        <v>16351401</v>
      </c>
      <c r="H455" s="7" t="n">
        <v>0</v>
      </c>
      <c r="I455" s="7" t="n">
        <v>0</v>
      </c>
      <c r="J455" s="7" t="n">
        <v>0.5</v>
      </c>
      <c r="K455" s="9" t="s">
        <v>4</v>
      </c>
      <c r="L455" s="7"/>
      <c r="M455" s="7"/>
      <c r="N455" s="10" t="n">
        <f aca="false">IF(AND(ISNUMBER(F455),ISNUMBER(G455)),ABS(G455-F455),"")</f>
        <v>0</v>
      </c>
      <c r="O455" s="4" t="str">
        <f aca="false">IF(AND(ISNUMBER(N455),ISNUMBER(J455)),IF(N455&lt;=J455,"PASS","FAIL"),"n/a")</f>
        <v>PASS</v>
      </c>
    </row>
    <row r="456" customFormat="false" ht="23.85" hidden="false" customHeight="false" outlineLevel="0" collapsed="false">
      <c r="A456" s="7" t="s">
        <v>1121</v>
      </c>
      <c r="B456" s="7" t="s">
        <v>437</v>
      </c>
      <c r="C456" s="7" t="s">
        <v>1122</v>
      </c>
      <c r="D456" s="7" t="s">
        <v>1079</v>
      </c>
      <c r="E456" s="7"/>
      <c r="F456" s="12" t="n">
        <v>16351401.0316</v>
      </c>
      <c r="G456" s="12" t="n">
        <v>16350000</v>
      </c>
      <c r="H456" s="7" t="n">
        <v>1401.03159999847</v>
      </c>
      <c r="I456" s="7" t="n">
        <v>8.56826639681152E-005</v>
      </c>
      <c r="J456" s="7" t="n">
        <v>5000</v>
      </c>
      <c r="K456" s="9" t="s">
        <v>4</v>
      </c>
      <c r="L456" s="7"/>
      <c r="M456" s="7"/>
      <c r="N456" s="10" t="n">
        <f aca="false">IF(AND(ISNUMBER(F456),ISNUMBER(G456)),ABS(G456-F456),"")</f>
        <v>1401.03160000034</v>
      </c>
      <c r="O456" s="4" t="str">
        <f aca="false">IF(AND(ISNUMBER(N456),ISNUMBER(J456)),IF(N456&lt;=J456,"PASS","FAIL"),"n/a")</f>
        <v>PASS</v>
      </c>
    </row>
    <row r="457" customFormat="false" ht="23.85" hidden="false" customHeight="false" outlineLevel="0" collapsed="false">
      <c r="A457" s="7" t="s">
        <v>1123</v>
      </c>
      <c r="B457" s="7" t="s">
        <v>437</v>
      </c>
      <c r="C457" s="7" t="s">
        <v>1124</v>
      </c>
      <c r="D457" s="7" t="s">
        <v>1079</v>
      </c>
      <c r="E457" s="7"/>
      <c r="F457" s="12" t="n">
        <v>13607976.7716</v>
      </c>
      <c r="G457" s="12" t="n">
        <v>13610000</v>
      </c>
      <c r="H457" s="7" t="n">
        <v>2023.22839999944</v>
      </c>
      <c r="I457" s="7" t="n">
        <v>0.000148679589475927</v>
      </c>
      <c r="J457" s="7" t="n">
        <v>5000</v>
      </c>
      <c r="K457" s="9" t="s">
        <v>4</v>
      </c>
      <c r="L457" s="7"/>
      <c r="M457" s="7"/>
      <c r="N457" s="10" t="n">
        <f aca="false">IF(AND(ISNUMBER(F457),ISNUMBER(G457)),ABS(G457-F457),"")</f>
        <v>2023.22839999944</v>
      </c>
      <c r="O457" s="4" t="str">
        <f aca="false">IF(AND(ISNUMBER(N457),ISNUMBER(J457)),IF(N457&lt;=J457,"PASS","FAIL"),"n/a")</f>
        <v>PASS</v>
      </c>
    </row>
    <row r="458" customFormat="false" ht="23.85" hidden="false" customHeight="false" outlineLevel="0" collapsed="false">
      <c r="A458" s="7" t="s">
        <v>1125</v>
      </c>
      <c r="B458" s="7" t="s">
        <v>437</v>
      </c>
      <c r="C458" s="7" t="s">
        <v>1126</v>
      </c>
      <c r="D458" s="7" t="s">
        <v>1079</v>
      </c>
      <c r="E458" s="7"/>
      <c r="F458" s="12" t="n">
        <v>2743424.26</v>
      </c>
      <c r="G458" s="12" t="n">
        <v>2740000</v>
      </c>
      <c r="H458" s="7" t="n">
        <v>3424.25999999978</v>
      </c>
      <c r="I458" s="7" t="n">
        <v>0.00124817005153981</v>
      </c>
      <c r="J458" s="7" t="n">
        <v>5000</v>
      </c>
      <c r="K458" s="9" t="s">
        <v>4</v>
      </c>
      <c r="L458" s="7"/>
      <c r="M458" s="7"/>
      <c r="N458" s="10" t="n">
        <f aca="false">IF(AND(ISNUMBER(F458),ISNUMBER(G458)),ABS(G458-F458),"")</f>
        <v>3424.25999999978</v>
      </c>
      <c r="O458" s="4" t="str">
        <f aca="false">IF(AND(ISNUMBER(N458),ISNUMBER(J458)),IF(N458&lt;=J458,"PASS","FAIL"),"n/a")</f>
        <v>PASS</v>
      </c>
    </row>
    <row r="459" customFormat="false" ht="23.85" hidden="false" customHeight="false" outlineLevel="0" collapsed="false">
      <c r="A459" s="7" t="s">
        <v>1127</v>
      </c>
      <c r="B459" s="7" t="s">
        <v>437</v>
      </c>
      <c r="C459" s="7" t="s">
        <v>1128</v>
      </c>
      <c r="D459" s="7"/>
      <c r="E459" s="7"/>
      <c r="F459" s="8" t="n">
        <v>0</v>
      </c>
      <c r="G459" s="8" t="n">
        <v>0</v>
      </c>
      <c r="H459" s="7" t="n">
        <v>0</v>
      </c>
      <c r="I459" s="7"/>
      <c r="J459" s="7" t="n">
        <v>0</v>
      </c>
      <c r="K459" s="9" t="s">
        <v>4</v>
      </c>
      <c r="L459" s="7"/>
      <c r="M459" s="7"/>
      <c r="N459" s="10" t="n">
        <f aca="false">IF(AND(ISNUMBER(F459),ISNUMBER(G459)),ABS(G459-F459),"")</f>
        <v>0</v>
      </c>
      <c r="O459" s="4" t="str">
        <f aca="false">IF(AND(ISNUMBER(N459),ISNUMBER(J459)),IF(N459&lt;=J459,"PASS","FAIL"),"n/a")</f>
        <v>PASS</v>
      </c>
    </row>
    <row r="460" customFormat="false" ht="23.85" hidden="false" customHeight="false" outlineLevel="0" collapsed="false">
      <c r="A460" s="7" t="s">
        <v>1129</v>
      </c>
      <c r="B460" s="7" t="s">
        <v>437</v>
      </c>
      <c r="C460" s="7" t="s">
        <v>1130</v>
      </c>
      <c r="D460" s="7" t="s">
        <v>1079</v>
      </c>
      <c r="E460" s="7"/>
      <c r="F460" s="8" t="n">
        <v>4867</v>
      </c>
      <c r="G460" s="8" t="n">
        <v>4867</v>
      </c>
      <c r="H460" s="7" t="n">
        <v>0</v>
      </c>
      <c r="I460" s="7" t="n">
        <v>0</v>
      </c>
      <c r="J460" s="7" t="n">
        <v>0</v>
      </c>
      <c r="K460" s="9" t="s">
        <v>4</v>
      </c>
      <c r="L460" s="7"/>
      <c r="M460" s="7"/>
      <c r="N460" s="10" t="n">
        <f aca="false">IF(AND(ISNUMBER(F460),ISNUMBER(G460)),ABS(G460-F460),"")</f>
        <v>0</v>
      </c>
      <c r="O460" s="4" t="str">
        <f aca="false">IF(AND(ISNUMBER(N460),ISNUMBER(J460)),IF(N460&lt;=J460,"PASS","FAIL"),"n/a")</f>
        <v>PASS</v>
      </c>
    </row>
    <row r="461" customFormat="false" ht="23.85" hidden="false" customHeight="false" outlineLevel="0" collapsed="false">
      <c r="A461" s="7" t="s">
        <v>1131</v>
      </c>
      <c r="B461" s="7" t="s">
        <v>437</v>
      </c>
      <c r="C461" s="7" t="s">
        <v>1132</v>
      </c>
      <c r="D461" s="7"/>
      <c r="E461" s="7"/>
      <c r="F461" s="8" t="n">
        <v>0</v>
      </c>
      <c r="G461" s="8" t="n">
        <v>0</v>
      </c>
      <c r="H461" s="7" t="n">
        <v>0</v>
      </c>
      <c r="I461" s="7"/>
      <c r="J461" s="7" t="n">
        <v>0</v>
      </c>
      <c r="K461" s="9" t="s">
        <v>4</v>
      </c>
      <c r="L461" s="7"/>
      <c r="M461" s="7"/>
      <c r="N461" s="10" t="n">
        <f aca="false">IF(AND(ISNUMBER(F461),ISNUMBER(G461)),ABS(G461-F461),"")</f>
        <v>0</v>
      </c>
      <c r="O461" s="4" t="str">
        <f aca="false">IF(AND(ISNUMBER(N461),ISNUMBER(J461)),IF(N461&lt;=J461,"PASS","FAIL"),"n/a")</f>
        <v>PASS</v>
      </c>
    </row>
    <row r="462" customFormat="false" ht="23.85" hidden="false" customHeight="false" outlineLevel="0" collapsed="false">
      <c r="A462" s="7" t="s">
        <v>1133</v>
      </c>
      <c r="B462" s="7" t="s">
        <v>437</v>
      </c>
      <c r="C462" s="7" t="s">
        <v>1134</v>
      </c>
      <c r="D462" s="7"/>
      <c r="E462" s="7"/>
      <c r="F462" s="12" t="n">
        <v>16351401.0316</v>
      </c>
      <c r="G462" s="12" t="n">
        <v>16351401.0316</v>
      </c>
      <c r="H462" s="7" t="n">
        <v>0</v>
      </c>
      <c r="I462" s="7" t="n">
        <v>0</v>
      </c>
      <c r="J462" s="7" t="n">
        <v>0.01</v>
      </c>
      <c r="K462" s="9" t="s">
        <v>4</v>
      </c>
      <c r="L462" s="7"/>
      <c r="M462" s="7"/>
      <c r="N462" s="10" t="n">
        <f aca="false">IF(AND(ISNUMBER(F462),ISNUMBER(G462)),ABS(G462-F462),"")</f>
        <v>0</v>
      </c>
      <c r="O462" s="4" t="str">
        <f aca="false">IF(AND(ISNUMBER(N462),ISNUMBER(J462)),IF(N462&lt;=J462,"PASS","FAIL"),"n/a")</f>
        <v>PASS</v>
      </c>
    </row>
    <row r="463" customFormat="false" ht="23.85" hidden="false" customHeight="false" outlineLevel="0" collapsed="false">
      <c r="A463" s="7" t="s">
        <v>1135</v>
      </c>
      <c r="B463" s="7" t="s">
        <v>437</v>
      </c>
      <c r="C463" s="7" t="s">
        <v>1136</v>
      </c>
      <c r="D463" s="7"/>
      <c r="E463" s="7"/>
      <c r="F463" s="12" t="n">
        <v>6574125.5283</v>
      </c>
      <c r="G463" s="12" t="n">
        <v>6574125.5283</v>
      </c>
      <c r="H463" s="7" t="n">
        <v>0</v>
      </c>
      <c r="I463" s="7" t="n">
        <v>0</v>
      </c>
      <c r="J463" s="7" t="n">
        <v>0.01</v>
      </c>
      <c r="K463" s="9" t="s">
        <v>4</v>
      </c>
      <c r="L463" s="7"/>
      <c r="M463" s="7"/>
      <c r="N463" s="10" t="n">
        <f aca="false">IF(AND(ISNUMBER(F463),ISNUMBER(G463)),ABS(G463-F463),"")</f>
        <v>0</v>
      </c>
      <c r="O463" s="4" t="str">
        <f aca="false">IF(AND(ISNUMBER(N463),ISNUMBER(J463)),IF(N463&lt;=J463,"PASS","FAIL"),"n/a")</f>
        <v>PASS</v>
      </c>
    </row>
    <row r="464" customFormat="false" ht="23.85" hidden="false" customHeight="false" outlineLevel="0" collapsed="false">
      <c r="A464" s="7" t="s">
        <v>1137</v>
      </c>
      <c r="B464" s="7" t="s">
        <v>437</v>
      </c>
      <c r="C464" s="7" t="s">
        <v>1138</v>
      </c>
      <c r="D464" s="7"/>
      <c r="E464" s="7"/>
      <c r="F464" s="12" t="n">
        <v>3300022.328</v>
      </c>
      <c r="G464" s="12" t="n">
        <v>3300022.328</v>
      </c>
      <c r="H464" s="7" t="n">
        <v>0</v>
      </c>
      <c r="I464" s="7" t="n">
        <v>0</v>
      </c>
      <c r="J464" s="7" t="n">
        <v>0.01</v>
      </c>
      <c r="K464" s="9" t="s">
        <v>4</v>
      </c>
      <c r="L464" s="7"/>
      <c r="M464" s="7"/>
      <c r="N464" s="10" t="n">
        <f aca="false">IF(AND(ISNUMBER(F464),ISNUMBER(G464)),ABS(G464-F464),"")</f>
        <v>0</v>
      </c>
      <c r="O464" s="4" t="str">
        <f aca="false">IF(AND(ISNUMBER(N464),ISNUMBER(J464)),IF(N464&lt;=J464,"PASS","FAIL"),"n/a")</f>
        <v>PASS</v>
      </c>
    </row>
    <row r="465" customFormat="false" ht="23.85" hidden="false" customHeight="false" outlineLevel="0" collapsed="false">
      <c r="A465" s="7" t="s">
        <v>1139</v>
      </c>
      <c r="B465" s="7" t="s">
        <v>437</v>
      </c>
      <c r="C465" s="7" t="s">
        <v>1140</v>
      </c>
      <c r="D465" s="7"/>
      <c r="E465" s="7"/>
      <c r="F465" s="12" t="n">
        <v>3733828.9153</v>
      </c>
      <c r="G465" s="12" t="n">
        <v>3733828.9153</v>
      </c>
      <c r="H465" s="7" t="n">
        <v>0</v>
      </c>
      <c r="I465" s="7" t="n">
        <v>0</v>
      </c>
      <c r="J465" s="7" t="n">
        <v>0.01</v>
      </c>
      <c r="K465" s="9" t="s">
        <v>4</v>
      </c>
      <c r="L465" s="7"/>
      <c r="M465" s="7"/>
      <c r="N465" s="10" t="n">
        <f aca="false">IF(AND(ISNUMBER(F465),ISNUMBER(G465)),ABS(G465-F465),"")</f>
        <v>0</v>
      </c>
      <c r="O465" s="4" t="str">
        <f aca="false">IF(AND(ISNUMBER(N465),ISNUMBER(J465)),IF(N465&lt;=J465,"PASS","FAIL"),"n/a")</f>
        <v>PASS</v>
      </c>
    </row>
    <row r="466" customFormat="false" ht="35.05" hidden="false" customHeight="false" outlineLevel="0" collapsed="false">
      <c r="A466" s="7" t="s">
        <v>1141</v>
      </c>
      <c r="B466" s="7" t="s">
        <v>437</v>
      </c>
      <c r="C466" s="7" t="s">
        <v>1142</v>
      </c>
      <c r="D466" s="7" t="s">
        <v>1143</v>
      </c>
      <c r="E466" s="7"/>
      <c r="F466" s="8" t="n">
        <v>35159</v>
      </c>
      <c r="G466" s="8" t="n">
        <v>35159</v>
      </c>
      <c r="H466" s="7" t="n">
        <v>0</v>
      </c>
      <c r="I466" s="7" t="n">
        <v>0</v>
      </c>
      <c r="J466" s="7" t="n">
        <v>0</v>
      </c>
      <c r="K466" s="9" t="s">
        <v>4</v>
      </c>
      <c r="L466" s="7"/>
      <c r="M466" s="7"/>
      <c r="N466" s="10" t="n">
        <f aca="false">IF(AND(ISNUMBER(F466),ISNUMBER(G466)),ABS(G466-F466),"")</f>
        <v>0</v>
      </c>
      <c r="O466" s="4" t="str">
        <f aca="false">IF(AND(ISNUMBER(N466),ISNUMBER(J466)),IF(N466&lt;=J466,"PASS","FAIL"),"n/a")</f>
        <v>PASS</v>
      </c>
    </row>
    <row r="467" customFormat="false" ht="35.05" hidden="false" customHeight="false" outlineLevel="0" collapsed="false">
      <c r="A467" s="7" t="s">
        <v>1144</v>
      </c>
      <c r="B467" s="7" t="s">
        <v>437</v>
      </c>
      <c r="C467" s="7" t="s">
        <v>1145</v>
      </c>
      <c r="D467" s="7" t="s">
        <v>1143</v>
      </c>
      <c r="E467" s="7"/>
      <c r="F467" s="12" t="n">
        <v>168538479.4953</v>
      </c>
      <c r="G467" s="12" t="n">
        <v>168538479.495301</v>
      </c>
      <c r="H467" s="7" t="n">
        <v>8.64267349243164E-007</v>
      </c>
      <c r="I467" s="7" t="n">
        <v>5.12801202331522E-015</v>
      </c>
      <c r="J467" s="7" t="n">
        <v>0.01</v>
      </c>
      <c r="K467" s="9" t="s">
        <v>4</v>
      </c>
      <c r="L467" s="7"/>
      <c r="M467" s="7"/>
      <c r="N467" s="10" t="n">
        <f aca="false">IF(AND(ISNUMBER(F467),ISNUMBER(G467)),ABS(G467-F467),"")</f>
        <v>8.94069671630859E-007</v>
      </c>
      <c r="O467" s="4" t="str">
        <f aca="false">IF(AND(ISNUMBER(N467),ISNUMBER(J467)),IF(N467&lt;=J467,"PASS","FAIL"),"n/a")</f>
        <v>PASS</v>
      </c>
    </row>
    <row r="468" customFormat="false" ht="35.05" hidden="false" customHeight="false" outlineLevel="0" collapsed="false">
      <c r="A468" s="7" t="s">
        <v>1146</v>
      </c>
      <c r="B468" s="7" t="s">
        <v>437</v>
      </c>
      <c r="C468" s="7" t="s">
        <v>1147</v>
      </c>
      <c r="D468" s="7" t="s">
        <v>1143</v>
      </c>
      <c r="E468" s="7"/>
      <c r="F468" s="12" t="n">
        <v>154262619.2402</v>
      </c>
      <c r="G468" s="12" t="n">
        <v>154262619.2402</v>
      </c>
      <c r="H468" s="7" t="n">
        <v>2.98023223876953E-008</v>
      </c>
      <c r="I468" s="7" t="n">
        <v>1.93192119610588E-016</v>
      </c>
      <c r="J468" s="7" t="n">
        <v>0.01</v>
      </c>
      <c r="K468" s="9" t="s">
        <v>4</v>
      </c>
      <c r="L468" s="7"/>
      <c r="M468" s="7"/>
      <c r="N468" s="10" t="n">
        <f aca="false">IF(AND(ISNUMBER(F468),ISNUMBER(G468)),ABS(G468-F468),"")</f>
        <v>0</v>
      </c>
      <c r="O468" s="4" t="str">
        <f aca="false">IF(AND(ISNUMBER(N468),ISNUMBER(J468)),IF(N468&lt;=J468,"PASS","FAIL"),"n/a")</f>
        <v>PASS</v>
      </c>
    </row>
    <row r="469" customFormat="false" ht="35.05" hidden="false" customHeight="false" outlineLevel="0" collapsed="false">
      <c r="A469" s="7" t="s">
        <v>1148</v>
      </c>
      <c r="B469" s="7" t="s">
        <v>437</v>
      </c>
      <c r="C469" s="7" t="s">
        <v>1149</v>
      </c>
      <c r="D469" s="7" t="s">
        <v>1143</v>
      </c>
      <c r="E469" s="7"/>
      <c r="F469" s="12" t="n">
        <v>14275860.2551</v>
      </c>
      <c r="G469" s="12" t="n">
        <v>14275860.2551009</v>
      </c>
      <c r="H469" s="7" t="n">
        <v>8.94069671630859E-007</v>
      </c>
      <c r="I469" s="7" t="n">
        <v>6.26280767431481E-014</v>
      </c>
      <c r="J469" s="7" t="n">
        <v>0.01</v>
      </c>
      <c r="K469" s="9" t="s">
        <v>4</v>
      </c>
      <c r="L469" s="7"/>
      <c r="M469" s="7"/>
      <c r="N469" s="10" t="n">
        <f aca="false">IF(AND(ISNUMBER(F469),ISNUMBER(G469)),ABS(G469-F469),"")</f>
        <v>8.99657607078552E-007</v>
      </c>
      <c r="O469" s="4" t="str">
        <f aca="false">IF(AND(ISNUMBER(N469),ISNUMBER(J469)),IF(N469&lt;=J469,"PASS","FAIL"),"n/a")</f>
        <v>PASS</v>
      </c>
    </row>
    <row r="470" customFormat="false" ht="35.05" hidden="false" customHeight="false" outlineLevel="0" collapsed="false">
      <c r="A470" s="7" t="s">
        <v>1150</v>
      </c>
      <c r="B470" s="7" t="s">
        <v>437</v>
      </c>
      <c r="C470" s="7" t="s">
        <v>1151</v>
      </c>
      <c r="D470" s="7" t="s">
        <v>1143</v>
      </c>
      <c r="E470" s="7"/>
      <c r="F470" s="12" t="n">
        <v>168538479.4953</v>
      </c>
      <c r="G470" s="12" t="n">
        <v>168538479.495301</v>
      </c>
      <c r="H470" s="7" t="n">
        <v>8.64267349243164E-007</v>
      </c>
      <c r="I470" s="7" t="n">
        <v>5.12801202331522E-015</v>
      </c>
      <c r="J470" s="7" t="n">
        <v>0.01</v>
      </c>
      <c r="K470" s="9" t="s">
        <v>4</v>
      </c>
      <c r="L470" s="7"/>
      <c r="M470" s="7"/>
      <c r="N470" s="10" t="n">
        <f aca="false">IF(AND(ISNUMBER(F470),ISNUMBER(G470)),ABS(G470-F470),"")</f>
        <v>8.94069671630859E-007</v>
      </c>
      <c r="O470" s="4" t="str">
        <f aca="false">IF(AND(ISNUMBER(N470),ISNUMBER(J470)),IF(N470&lt;=J470,"PASS","FAIL"),"n/a")</f>
        <v>PASS</v>
      </c>
    </row>
    <row r="471" customFormat="false" ht="35.05" hidden="false" customHeight="false" outlineLevel="0" collapsed="false">
      <c r="A471" s="7" t="s">
        <v>1152</v>
      </c>
      <c r="B471" s="7" t="s">
        <v>437</v>
      </c>
      <c r="C471" s="7" t="s">
        <v>1153</v>
      </c>
      <c r="D471" s="7" t="s">
        <v>1143</v>
      </c>
      <c r="E471" s="7"/>
      <c r="F471" s="12" t="n">
        <v>82435971.4859</v>
      </c>
      <c r="G471" s="12" t="n">
        <v>82435971.4858999</v>
      </c>
      <c r="H471" s="7" t="n">
        <v>1.19209289550781E-007</v>
      </c>
      <c r="I471" s="7" t="n">
        <v>1.44608339541642E-015</v>
      </c>
      <c r="J471" s="7" t="n">
        <v>0.01</v>
      </c>
      <c r="K471" s="9" t="s">
        <v>4</v>
      </c>
      <c r="L471" s="7"/>
      <c r="M471" s="7"/>
      <c r="N471" s="10" t="n">
        <f aca="false">IF(AND(ISNUMBER(F471),ISNUMBER(G471)),ABS(G471-F471),"")</f>
        <v>0</v>
      </c>
      <c r="O471" s="4" t="str">
        <f aca="false">IF(AND(ISNUMBER(N471),ISNUMBER(J471)),IF(N471&lt;=J471,"PASS","FAIL"),"n/a")</f>
        <v>PASS</v>
      </c>
    </row>
    <row r="472" customFormat="false" ht="35.05" hidden="false" customHeight="false" outlineLevel="0" collapsed="false">
      <c r="A472" s="7" t="s">
        <v>1154</v>
      </c>
      <c r="B472" s="7" t="s">
        <v>437</v>
      </c>
      <c r="C472" s="7" t="s">
        <v>1155</v>
      </c>
      <c r="D472" s="7" t="s">
        <v>1143</v>
      </c>
      <c r="E472" s="7"/>
      <c r="F472" s="12" t="n">
        <v>33750697.9735</v>
      </c>
      <c r="G472" s="12" t="n">
        <v>33750697.9735001</v>
      </c>
      <c r="H472" s="7" t="n">
        <v>8.19563865661621E-008</v>
      </c>
      <c r="I472" s="7" t="n">
        <v>2.42828716106884E-015</v>
      </c>
      <c r="J472" s="7" t="n">
        <v>0.01</v>
      </c>
      <c r="K472" s="9" t="s">
        <v>4</v>
      </c>
      <c r="L472" s="7"/>
      <c r="M472" s="7"/>
      <c r="N472" s="10" t="n">
        <f aca="false">IF(AND(ISNUMBER(F472),ISNUMBER(G472)),ABS(G472-F472),"")</f>
        <v>0</v>
      </c>
      <c r="O472" s="4" t="str">
        <f aca="false">IF(AND(ISNUMBER(N472),ISNUMBER(J472)),IF(N472&lt;=J472,"PASS","FAIL"),"n/a")</f>
        <v>PASS</v>
      </c>
    </row>
    <row r="473" customFormat="false" ht="35.05" hidden="false" customHeight="false" outlineLevel="0" collapsed="false">
      <c r="A473" s="7" t="s">
        <v>1156</v>
      </c>
      <c r="B473" s="7" t="s">
        <v>437</v>
      </c>
      <c r="C473" s="7" t="s">
        <v>1157</v>
      </c>
      <c r="D473" s="7" t="s">
        <v>1143</v>
      </c>
      <c r="E473" s="7"/>
      <c r="F473" s="12" t="n">
        <v>38075949.7808</v>
      </c>
      <c r="G473" s="12" t="n">
        <v>38075949.7808</v>
      </c>
      <c r="H473" s="7" t="n">
        <v>2.98023223876953E-008</v>
      </c>
      <c r="I473" s="7" t="n">
        <v>7.82707261651114E-016</v>
      </c>
      <c r="J473" s="7" t="n">
        <v>0.01</v>
      </c>
      <c r="K473" s="9" t="s">
        <v>4</v>
      </c>
      <c r="L473" s="7"/>
      <c r="M473" s="7"/>
      <c r="N473" s="10" t="n">
        <f aca="false">IF(AND(ISNUMBER(F473),ISNUMBER(G473)),ABS(G473-F473),"")</f>
        <v>0</v>
      </c>
      <c r="O473" s="4" t="str">
        <f aca="false">IF(AND(ISNUMBER(N473),ISNUMBER(J473)),IF(N473&lt;=J473,"PASS","FAIL"),"n/a")</f>
        <v>PASS</v>
      </c>
    </row>
    <row r="474" customFormat="false" ht="35.05" hidden="false" customHeight="false" outlineLevel="0" collapsed="false">
      <c r="A474" s="7" t="s">
        <v>1158</v>
      </c>
      <c r="B474" s="7" t="s">
        <v>437</v>
      </c>
      <c r="C474" s="7" t="s">
        <v>1159</v>
      </c>
      <c r="D474" s="7" t="s">
        <v>1143</v>
      </c>
      <c r="E474" s="7"/>
      <c r="F474" s="12" t="n">
        <v>1558086.1276</v>
      </c>
      <c r="G474" s="12" t="n">
        <v>1558086.1276</v>
      </c>
      <c r="H474" s="7" t="n">
        <v>2.3283064365387E-010</v>
      </c>
      <c r="I474" s="7" t="n">
        <v>1.49433744084809E-016</v>
      </c>
      <c r="J474" s="7" t="n">
        <v>0.01</v>
      </c>
      <c r="K474" s="9" t="s">
        <v>4</v>
      </c>
      <c r="L474" s="7"/>
      <c r="M474" s="7"/>
      <c r="N474" s="10" t="n">
        <f aca="false">IF(AND(ISNUMBER(F474),ISNUMBER(G474)),ABS(G474-F474),"")</f>
        <v>0</v>
      </c>
      <c r="O474" s="4" t="str">
        <f aca="false">IF(AND(ISNUMBER(N474),ISNUMBER(J474)),IF(N474&lt;=J474,"PASS","FAIL"),"n/a")</f>
        <v>PASS</v>
      </c>
    </row>
    <row r="475" customFormat="false" ht="35.05" hidden="false" customHeight="false" outlineLevel="0" collapsed="false">
      <c r="A475" s="7" t="s">
        <v>1160</v>
      </c>
      <c r="B475" s="7" t="s">
        <v>437</v>
      </c>
      <c r="C475" s="7" t="s">
        <v>1161</v>
      </c>
      <c r="D475" s="7" t="s">
        <v>1143</v>
      </c>
      <c r="E475" s="7"/>
      <c r="F475" s="12" t="n">
        <v>597876.8249</v>
      </c>
      <c r="G475" s="12" t="n">
        <v>597876.8249</v>
      </c>
      <c r="H475" s="7" t="n">
        <v>3.49245965480804E-010</v>
      </c>
      <c r="I475" s="7" t="n">
        <v>5.84143674642714E-016</v>
      </c>
      <c r="J475" s="7" t="n">
        <v>0.01</v>
      </c>
      <c r="K475" s="9" t="s">
        <v>4</v>
      </c>
      <c r="L475" s="7"/>
      <c r="M475" s="7"/>
      <c r="N475" s="10" t="n">
        <f aca="false">IF(AND(ISNUMBER(F475),ISNUMBER(G475)),ABS(G475-F475),"")</f>
        <v>0</v>
      </c>
      <c r="O475" s="4" t="str">
        <f aca="false">IF(AND(ISNUMBER(N475),ISNUMBER(J475)),IF(N475&lt;=J475,"PASS","FAIL"),"n/a")</f>
        <v>PASS</v>
      </c>
    </row>
    <row r="476" customFormat="false" ht="35.05" hidden="false" customHeight="false" outlineLevel="0" collapsed="false">
      <c r="A476" s="7" t="s">
        <v>1162</v>
      </c>
      <c r="B476" s="7" t="s">
        <v>437</v>
      </c>
      <c r="C476" s="7" t="s">
        <v>1163</v>
      </c>
      <c r="D476" s="7" t="s">
        <v>1143</v>
      </c>
      <c r="E476" s="7"/>
      <c r="F476" s="12" t="n">
        <v>2467309.1633</v>
      </c>
      <c r="G476" s="12" t="n">
        <v>2467309.1633</v>
      </c>
      <c r="H476" s="7" t="n">
        <v>1.39698386192322E-009</v>
      </c>
      <c r="I476" s="7" t="n">
        <v>5.66197330558594E-016</v>
      </c>
      <c r="J476" s="7" t="n">
        <v>0.01</v>
      </c>
      <c r="K476" s="9" t="s">
        <v>4</v>
      </c>
      <c r="L476" s="7"/>
      <c r="M476" s="7"/>
      <c r="N476" s="10" t="n">
        <f aca="false">IF(AND(ISNUMBER(F476),ISNUMBER(G476)),ABS(G476-F476),"")</f>
        <v>0</v>
      </c>
      <c r="O476" s="4" t="str">
        <f aca="false">IF(AND(ISNUMBER(N476),ISNUMBER(J476)),IF(N476&lt;=J476,"PASS","FAIL"),"n/a")</f>
        <v>PASS</v>
      </c>
    </row>
    <row r="477" customFormat="false" ht="91" hidden="false" customHeight="false" outlineLevel="0" collapsed="false">
      <c r="A477" s="7" t="s">
        <v>1164</v>
      </c>
      <c r="B477" s="7" t="s">
        <v>437</v>
      </c>
      <c r="C477" s="7" t="s">
        <v>1165</v>
      </c>
      <c r="D477" s="7" t="s">
        <v>1143</v>
      </c>
      <c r="E477" s="7" t="s">
        <v>466</v>
      </c>
      <c r="F477" s="7" t="s">
        <v>1166</v>
      </c>
      <c r="G477" s="7" t="s">
        <v>1167</v>
      </c>
      <c r="H477" s="7"/>
      <c r="I477" s="7"/>
      <c r="J477" s="7" t="s">
        <v>389</v>
      </c>
      <c r="K477" s="9" t="s">
        <v>4</v>
      </c>
      <c r="L477" s="7"/>
      <c r="M477" s="7"/>
      <c r="N477" s="10" t="str">
        <f aca="false">IF(AND(ISNUMBER(F477),ISNUMBER(G477)),ABS(G477-F477),"")</f>
        <v/>
      </c>
      <c r="O477" s="4" t="str">
        <f aca="false">IF(AND(ISNUMBER(N477),ISNUMBER(J477)),IF(N477&lt;=J477,"PASS","FAIL"),"n/a")</f>
        <v>n/a</v>
      </c>
    </row>
    <row r="478" customFormat="false" ht="91" hidden="false" customHeight="false" outlineLevel="0" collapsed="false">
      <c r="A478" s="7" t="s">
        <v>1168</v>
      </c>
      <c r="B478" s="7" t="s">
        <v>437</v>
      </c>
      <c r="C478" s="7" t="s">
        <v>1169</v>
      </c>
      <c r="D478" s="7" t="s">
        <v>1143</v>
      </c>
      <c r="E478" s="7" t="s">
        <v>466</v>
      </c>
      <c r="F478" s="7" t="s">
        <v>1170</v>
      </c>
      <c r="G478" s="7" t="s">
        <v>1171</v>
      </c>
      <c r="H478" s="7"/>
      <c r="I478" s="7"/>
      <c r="J478" s="7" t="s">
        <v>389</v>
      </c>
      <c r="K478" s="9" t="s">
        <v>4</v>
      </c>
      <c r="L478" s="7"/>
      <c r="M478" s="7"/>
      <c r="N478" s="10" t="str">
        <f aca="false">IF(AND(ISNUMBER(F478),ISNUMBER(G478)),ABS(G478-F478),"")</f>
        <v/>
      </c>
      <c r="O478" s="4" t="str">
        <f aca="false">IF(AND(ISNUMBER(N478),ISNUMBER(J478)),IF(N478&lt;=J478,"PASS","FAIL"),"n/a")</f>
        <v>n/a</v>
      </c>
    </row>
    <row r="479" customFormat="false" ht="79.85" hidden="false" customHeight="false" outlineLevel="0" collapsed="false">
      <c r="A479" s="7" t="s">
        <v>1172</v>
      </c>
      <c r="B479" s="7" t="s">
        <v>437</v>
      </c>
      <c r="C479" s="7" t="s">
        <v>1173</v>
      </c>
      <c r="D479" s="7" t="s">
        <v>1143</v>
      </c>
      <c r="E479" s="7" t="s">
        <v>466</v>
      </c>
      <c r="F479" s="7" t="s">
        <v>1174</v>
      </c>
      <c r="G479" s="7" t="s">
        <v>1175</v>
      </c>
      <c r="H479" s="7"/>
      <c r="I479" s="7"/>
      <c r="J479" s="7" t="s">
        <v>389</v>
      </c>
      <c r="K479" s="9" t="s">
        <v>4</v>
      </c>
      <c r="L479" s="7"/>
      <c r="M479" s="7"/>
      <c r="N479" s="10" t="str">
        <f aca="false">IF(AND(ISNUMBER(F479),ISNUMBER(G479)),ABS(G479-F479),"")</f>
        <v/>
      </c>
      <c r="O479" s="4" t="str">
        <f aca="false">IF(AND(ISNUMBER(N479),ISNUMBER(J479)),IF(N479&lt;=J479,"PASS","FAIL"),"n/a")</f>
        <v>n/a</v>
      </c>
    </row>
    <row r="480" customFormat="false" ht="91" hidden="false" customHeight="false" outlineLevel="0" collapsed="false">
      <c r="A480" s="7" t="s">
        <v>1176</v>
      </c>
      <c r="B480" s="7" t="s">
        <v>437</v>
      </c>
      <c r="C480" s="7" t="s">
        <v>1177</v>
      </c>
      <c r="D480" s="7" t="s">
        <v>1143</v>
      </c>
      <c r="E480" s="7" t="s">
        <v>466</v>
      </c>
      <c r="F480" s="7" t="s">
        <v>1178</v>
      </c>
      <c r="G480" s="7" t="s">
        <v>1179</v>
      </c>
      <c r="H480" s="7"/>
      <c r="I480" s="7"/>
      <c r="J480" s="7" t="s">
        <v>389</v>
      </c>
      <c r="K480" s="9" t="s">
        <v>4</v>
      </c>
      <c r="L480" s="7"/>
      <c r="M480" s="7"/>
      <c r="N480" s="10" t="str">
        <f aca="false">IF(AND(ISNUMBER(F480),ISNUMBER(G480)),ABS(G480-F480),"")</f>
        <v/>
      </c>
      <c r="O480" s="4" t="str">
        <f aca="false">IF(AND(ISNUMBER(N480),ISNUMBER(J480)),IF(N480&lt;=J480,"PASS","FAIL"),"n/a")</f>
        <v>n/a</v>
      </c>
    </row>
    <row r="481" customFormat="false" ht="57.45" hidden="false" customHeight="false" outlineLevel="0" collapsed="false">
      <c r="A481" s="7" t="s">
        <v>1180</v>
      </c>
      <c r="B481" s="7" t="s">
        <v>437</v>
      </c>
      <c r="C481" s="7" t="s">
        <v>1181</v>
      </c>
      <c r="D481" s="7" t="s">
        <v>1143</v>
      </c>
      <c r="E481" s="7"/>
      <c r="F481" s="7" t="s">
        <v>1182</v>
      </c>
      <c r="G481" s="7" t="s">
        <v>1182</v>
      </c>
      <c r="H481" s="7"/>
      <c r="I481" s="7"/>
      <c r="J481" s="7"/>
      <c r="K481" s="9" t="s">
        <v>4</v>
      </c>
      <c r="L481" s="7"/>
      <c r="M481" s="7"/>
      <c r="N481" s="10" t="str">
        <f aca="false">IF(AND(ISNUMBER(F481),ISNUMBER(G481)),ABS(G481-F481),"")</f>
        <v/>
      </c>
      <c r="O481" s="4" t="str">
        <f aca="false">IF(AND(ISNUMBER(N481),ISNUMBER(J481)),IF(N481&lt;=J481,"PASS","FAIL"),"n/a")</f>
        <v>n/a</v>
      </c>
    </row>
    <row r="482" customFormat="false" ht="35.05" hidden="false" customHeight="false" outlineLevel="0" collapsed="false">
      <c r="A482" s="7" t="s">
        <v>1183</v>
      </c>
      <c r="B482" s="7" t="s">
        <v>437</v>
      </c>
      <c r="C482" s="7" t="s">
        <v>1184</v>
      </c>
      <c r="D482" s="7" t="s">
        <v>1143</v>
      </c>
      <c r="E482" s="7"/>
      <c r="F482" s="8" t="n">
        <v>168538479</v>
      </c>
      <c r="G482" s="12" t="n">
        <v>168538479</v>
      </c>
      <c r="H482" s="7" t="n">
        <v>0</v>
      </c>
      <c r="I482" s="7" t="n">
        <v>0</v>
      </c>
      <c r="J482" s="7" t="n">
        <v>0.5</v>
      </c>
      <c r="K482" s="9" t="s">
        <v>4</v>
      </c>
      <c r="L482" s="7"/>
      <c r="M482" s="7"/>
      <c r="N482" s="10" t="n">
        <f aca="false">IF(AND(ISNUMBER(F482),ISNUMBER(G482)),ABS(G482-F482),"")</f>
        <v>0</v>
      </c>
      <c r="O482" s="4" t="str">
        <f aca="false">IF(AND(ISNUMBER(N482),ISNUMBER(J482)),IF(N482&lt;=J482,"PASS","FAIL"),"n/a")</f>
        <v>PASS</v>
      </c>
    </row>
    <row r="483" customFormat="false" ht="35.05" hidden="false" customHeight="false" outlineLevel="0" collapsed="false">
      <c r="A483" s="7" t="s">
        <v>1185</v>
      </c>
      <c r="B483" s="7" t="s">
        <v>437</v>
      </c>
      <c r="C483" s="7" t="s">
        <v>1186</v>
      </c>
      <c r="D483" s="7" t="s">
        <v>1143</v>
      </c>
      <c r="E483" s="7"/>
      <c r="F483" s="12" t="n">
        <v>168538479.4953</v>
      </c>
      <c r="G483" s="12" t="n">
        <v>168540000</v>
      </c>
      <c r="H483" s="7" t="n">
        <v>1520.50470000505</v>
      </c>
      <c r="I483" s="7" t="n">
        <v>9.02170652398378E-006</v>
      </c>
      <c r="J483" s="7" t="n">
        <v>5000</v>
      </c>
      <c r="K483" s="9" t="s">
        <v>4</v>
      </c>
      <c r="L483" s="7"/>
      <c r="M483" s="7"/>
      <c r="N483" s="10" t="n">
        <f aca="false">IF(AND(ISNUMBER(F483),ISNUMBER(G483)),ABS(G483-F483),"")</f>
        <v>1520.50470000505</v>
      </c>
      <c r="O483" s="4" t="str">
        <f aca="false">IF(AND(ISNUMBER(N483),ISNUMBER(J483)),IF(N483&lt;=J483,"PASS","FAIL"),"n/a")</f>
        <v>PASS</v>
      </c>
    </row>
    <row r="484" customFormat="false" ht="35.05" hidden="false" customHeight="false" outlineLevel="0" collapsed="false">
      <c r="A484" s="7" t="s">
        <v>1187</v>
      </c>
      <c r="B484" s="7" t="s">
        <v>437</v>
      </c>
      <c r="C484" s="7" t="s">
        <v>1188</v>
      </c>
      <c r="D484" s="7" t="s">
        <v>1143</v>
      </c>
      <c r="E484" s="7"/>
      <c r="F484" s="12" t="n">
        <v>154262619.2402</v>
      </c>
      <c r="G484" s="12" t="n">
        <v>154260000</v>
      </c>
      <c r="H484" s="7" t="n">
        <v>2619.24020001292</v>
      </c>
      <c r="I484" s="7" t="n">
        <v>1.69790984550479E-005</v>
      </c>
      <c r="J484" s="7" t="n">
        <v>5000</v>
      </c>
      <c r="K484" s="9" t="s">
        <v>4</v>
      </c>
      <c r="L484" s="7"/>
      <c r="M484" s="7"/>
      <c r="N484" s="10" t="n">
        <f aca="false">IF(AND(ISNUMBER(F484),ISNUMBER(G484)),ABS(G484-F484),"")</f>
        <v>2619.24020001292</v>
      </c>
      <c r="O484" s="4" t="str">
        <f aca="false">IF(AND(ISNUMBER(N484),ISNUMBER(J484)),IF(N484&lt;=J484,"PASS","FAIL"),"n/a")</f>
        <v>PASS</v>
      </c>
    </row>
    <row r="485" customFormat="false" ht="35.05" hidden="false" customHeight="false" outlineLevel="0" collapsed="false">
      <c r="A485" s="7" t="s">
        <v>1189</v>
      </c>
      <c r="B485" s="7" t="s">
        <v>437</v>
      </c>
      <c r="C485" s="7" t="s">
        <v>1190</v>
      </c>
      <c r="D485" s="7" t="s">
        <v>1143</v>
      </c>
      <c r="E485" s="7"/>
      <c r="F485" s="12" t="n">
        <v>14275860.2551</v>
      </c>
      <c r="G485" s="12" t="n">
        <v>14280000</v>
      </c>
      <c r="H485" s="7" t="n">
        <v>4139.74490001798</v>
      </c>
      <c r="I485" s="7" t="n">
        <v>0.000289982167522204</v>
      </c>
      <c r="J485" s="7" t="n">
        <v>5000</v>
      </c>
      <c r="K485" s="9" t="s">
        <v>4</v>
      </c>
      <c r="L485" s="7"/>
      <c r="M485" s="7"/>
      <c r="N485" s="10" t="n">
        <f aca="false">IF(AND(ISNUMBER(F485),ISNUMBER(G485)),ABS(G485-F485),"")</f>
        <v>4139.74490001984</v>
      </c>
      <c r="O485" s="4" t="str">
        <f aca="false">IF(AND(ISNUMBER(N485),ISNUMBER(J485)),IF(N485&lt;=J485,"PASS","FAIL"),"n/a")</f>
        <v>PASS</v>
      </c>
    </row>
    <row r="486" customFormat="false" ht="23.85" hidden="false" customHeight="false" outlineLevel="0" collapsed="false">
      <c r="A486" s="7" t="s">
        <v>1191</v>
      </c>
      <c r="B486" s="7" t="s">
        <v>437</v>
      </c>
      <c r="C486" s="7" t="s">
        <v>1192</v>
      </c>
      <c r="D486" s="7"/>
      <c r="E486" s="7"/>
      <c r="F486" s="8" t="n">
        <v>0</v>
      </c>
      <c r="G486" s="8" t="n">
        <v>0</v>
      </c>
      <c r="H486" s="7" t="n">
        <v>0</v>
      </c>
      <c r="I486" s="7"/>
      <c r="J486" s="7" t="n">
        <v>0</v>
      </c>
      <c r="K486" s="9" t="s">
        <v>4</v>
      </c>
      <c r="L486" s="7"/>
      <c r="M486" s="7"/>
      <c r="N486" s="10" t="n">
        <f aca="false">IF(AND(ISNUMBER(F486),ISNUMBER(G486)),ABS(G486-F486),"")</f>
        <v>0</v>
      </c>
      <c r="O486" s="4" t="str">
        <f aca="false">IF(AND(ISNUMBER(N486),ISNUMBER(J486)),IF(N486&lt;=J486,"PASS","FAIL"),"n/a")</f>
        <v>PASS</v>
      </c>
    </row>
    <row r="487" customFormat="false" ht="35.05" hidden="false" customHeight="false" outlineLevel="0" collapsed="false">
      <c r="A487" s="7" t="s">
        <v>1193</v>
      </c>
      <c r="B487" s="7" t="s">
        <v>437</v>
      </c>
      <c r="C487" s="7" t="s">
        <v>1194</v>
      </c>
      <c r="D487" s="7" t="s">
        <v>1143</v>
      </c>
      <c r="E487" s="7"/>
      <c r="F487" s="8" t="n">
        <v>35159</v>
      </c>
      <c r="G487" s="8" t="n">
        <v>35159</v>
      </c>
      <c r="H487" s="7" t="n">
        <v>0</v>
      </c>
      <c r="I487" s="7" t="n">
        <v>0</v>
      </c>
      <c r="J487" s="7" t="n">
        <v>0</v>
      </c>
      <c r="K487" s="9" t="s">
        <v>4</v>
      </c>
      <c r="L487" s="7"/>
      <c r="M487" s="7"/>
      <c r="N487" s="10" t="n">
        <f aca="false">IF(AND(ISNUMBER(F487),ISNUMBER(G487)),ABS(G487-F487),"")</f>
        <v>0</v>
      </c>
      <c r="O487" s="4" t="str">
        <f aca="false">IF(AND(ISNUMBER(N487),ISNUMBER(J487)),IF(N487&lt;=J487,"PASS","FAIL"),"n/a")</f>
        <v>PASS</v>
      </c>
    </row>
    <row r="488" customFormat="false" ht="23.85" hidden="false" customHeight="false" outlineLevel="0" collapsed="false">
      <c r="A488" s="7" t="s">
        <v>1195</v>
      </c>
      <c r="B488" s="7" t="s">
        <v>437</v>
      </c>
      <c r="C488" s="7" t="s">
        <v>1196</v>
      </c>
      <c r="D488" s="7"/>
      <c r="E488" s="7"/>
      <c r="F488" s="8" t="n">
        <v>0</v>
      </c>
      <c r="G488" s="8" t="n">
        <v>0</v>
      </c>
      <c r="H488" s="7" t="n">
        <v>0</v>
      </c>
      <c r="I488" s="7"/>
      <c r="J488" s="7" t="n">
        <v>0</v>
      </c>
      <c r="K488" s="9" t="s">
        <v>4</v>
      </c>
      <c r="L488" s="7"/>
      <c r="M488" s="7"/>
      <c r="N488" s="10" t="n">
        <f aca="false">IF(AND(ISNUMBER(F488),ISNUMBER(G488)),ABS(G488-F488),"")</f>
        <v>0</v>
      </c>
      <c r="O488" s="4" t="str">
        <f aca="false">IF(AND(ISNUMBER(N488),ISNUMBER(J488)),IF(N488&lt;=J488,"PASS","FAIL"),"n/a")</f>
        <v>PASS</v>
      </c>
    </row>
    <row r="489" customFormat="false" ht="23.85" hidden="false" customHeight="false" outlineLevel="0" collapsed="false">
      <c r="A489" s="7" t="s">
        <v>1197</v>
      </c>
      <c r="B489" s="7" t="s">
        <v>437</v>
      </c>
      <c r="C489" s="7" t="s">
        <v>1198</v>
      </c>
      <c r="D489" s="7"/>
      <c r="E489" s="7"/>
      <c r="F489" s="12" t="n">
        <v>168538479.4953</v>
      </c>
      <c r="G489" s="12" t="n">
        <v>168538479.4953</v>
      </c>
      <c r="H489" s="7" t="n">
        <v>0</v>
      </c>
      <c r="I489" s="7" t="n">
        <v>0</v>
      </c>
      <c r="J489" s="7" t="n">
        <v>0.01</v>
      </c>
      <c r="K489" s="9" t="s">
        <v>4</v>
      </c>
      <c r="L489" s="7"/>
      <c r="M489" s="7"/>
      <c r="N489" s="10" t="n">
        <f aca="false">IF(AND(ISNUMBER(F489),ISNUMBER(G489)),ABS(G489-F489),"")</f>
        <v>0</v>
      </c>
      <c r="O489" s="4" t="str">
        <f aca="false">IF(AND(ISNUMBER(N489),ISNUMBER(J489)),IF(N489&lt;=J489,"PASS","FAIL"),"n/a")</f>
        <v>PASS</v>
      </c>
    </row>
    <row r="490" customFormat="false" ht="23.85" hidden="false" customHeight="false" outlineLevel="0" collapsed="false">
      <c r="A490" s="7" t="s">
        <v>1199</v>
      </c>
      <c r="B490" s="7" t="s">
        <v>437</v>
      </c>
      <c r="C490" s="7" t="s">
        <v>1200</v>
      </c>
      <c r="D490" s="7"/>
      <c r="E490" s="7"/>
      <c r="F490" s="12" t="n">
        <v>82435971.4859</v>
      </c>
      <c r="G490" s="12" t="n">
        <v>82435971.4859</v>
      </c>
      <c r="H490" s="7" t="n">
        <v>0</v>
      </c>
      <c r="I490" s="7" t="n">
        <v>0</v>
      </c>
      <c r="J490" s="7" t="n">
        <v>0.01</v>
      </c>
      <c r="K490" s="9" t="s">
        <v>4</v>
      </c>
      <c r="L490" s="7"/>
      <c r="M490" s="7"/>
      <c r="N490" s="10" t="n">
        <f aca="false">IF(AND(ISNUMBER(F490),ISNUMBER(G490)),ABS(G490-F490),"")</f>
        <v>0</v>
      </c>
      <c r="O490" s="4" t="str">
        <f aca="false">IF(AND(ISNUMBER(N490),ISNUMBER(J490)),IF(N490&lt;=J490,"PASS","FAIL"),"n/a")</f>
        <v>PASS</v>
      </c>
    </row>
    <row r="491" customFormat="false" ht="23.85" hidden="false" customHeight="false" outlineLevel="0" collapsed="false">
      <c r="A491" s="7" t="s">
        <v>1201</v>
      </c>
      <c r="B491" s="7" t="s">
        <v>437</v>
      </c>
      <c r="C491" s="7" t="s">
        <v>1202</v>
      </c>
      <c r="D491" s="7"/>
      <c r="E491" s="7"/>
      <c r="F491" s="12" t="n">
        <v>33750697.9735</v>
      </c>
      <c r="G491" s="12" t="n">
        <v>33750697.9735</v>
      </c>
      <c r="H491" s="7" t="n">
        <v>0</v>
      </c>
      <c r="I491" s="7" t="n">
        <v>0</v>
      </c>
      <c r="J491" s="7" t="n">
        <v>0.01</v>
      </c>
      <c r="K491" s="9" t="s">
        <v>4</v>
      </c>
      <c r="L491" s="7"/>
      <c r="M491" s="7"/>
      <c r="N491" s="10" t="n">
        <f aca="false">IF(AND(ISNUMBER(F491),ISNUMBER(G491)),ABS(G491-F491),"")</f>
        <v>0</v>
      </c>
      <c r="O491" s="4" t="str">
        <f aca="false">IF(AND(ISNUMBER(N491),ISNUMBER(J491)),IF(N491&lt;=J491,"PASS","FAIL"),"n/a")</f>
        <v>PASS</v>
      </c>
    </row>
    <row r="492" customFormat="false" ht="23.85" hidden="false" customHeight="false" outlineLevel="0" collapsed="false">
      <c r="A492" s="7" t="s">
        <v>1203</v>
      </c>
      <c r="B492" s="7" t="s">
        <v>437</v>
      </c>
      <c r="C492" s="7" t="s">
        <v>1204</v>
      </c>
      <c r="D492" s="7"/>
      <c r="E492" s="7"/>
      <c r="F492" s="12" t="n">
        <v>38075949.7808</v>
      </c>
      <c r="G492" s="12" t="n">
        <v>38075949.7808</v>
      </c>
      <c r="H492" s="7" t="n">
        <v>0</v>
      </c>
      <c r="I492" s="7" t="n">
        <v>0</v>
      </c>
      <c r="J492" s="7" t="n">
        <v>0.01</v>
      </c>
      <c r="K492" s="9" t="s">
        <v>4</v>
      </c>
      <c r="L492" s="7"/>
      <c r="M492" s="7"/>
      <c r="N492" s="10" t="n">
        <f aca="false">IF(AND(ISNUMBER(F492),ISNUMBER(G492)),ABS(G492-F492),"")</f>
        <v>0</v>
      </c>
      <c r="O492" s="4" t="str">
        <f aca="false">IF(AND(ISNUMBER(N492),ISNUMBER(J492)),IF(N492&lt;=J492,"PASS","FAIL"),"n/a")</f>
        <v>PASS</v>
      </c>
    </row>
    <row r="493" customFormat="false" ht="35.05" hidden="false" customHeight="false" outlineLevel="0" collapsed="false">
      <c r="A493" s="7" t="s">
        <v>1205</v>
      </c>
      <c r="B493" s="7" t="s">
        <v>437</v>
      </c>
      <c r="C493" s="7" t="s">
        <v>1206</v>
      </c>
      <c r="D493" s="7" t="s">
        <v>1207</v>
      </c>
      <c r="E493" s="7"/>
      <c r="F493" s="8" t="n">
        <v>43992</v>
      </c>
      <c r="G493" s="8" t="n">
        <v>43992</v>
      </c>
      <c r="H493" s="7" t="n">
        <v>0</v>
      </c>
      <c r="I493" s="7" t="n">
        <v>0</v>
      </c>
      <c r="J493" s="7" t="n">
        <v>0</v>
      </c>
      <c r="K493" s="9" t="s">
        <v>4</v>
      </c>
      <c r="L493" s="7"/>
      <c r="M493" s="7"/>
      <c r="N493" s="10" t="n">
        <f aca="false">IF(AND(ISNUMBER(F493),ISNUMBER(G493)),ABS(G493-F493),"")</f>
        <v>0</v>
      </c>
      <c r="O493" s="4" t="str">
        <f aca="false">IF(AND(ISNUMBER(N493),ISNUMBER(J493)),IF(N493&lt;=J493,"PASS","FAIL"),"n/a")</f>
        <v>PASS</v>
      </c>
    </row>
    <row r="494" customFormat="false" ht="35.05" hidden="false" customHeight="false" outlineLevel="0" collapsed="false">
      <c r="A494" s="7" t="s">
        <v>1208</v>
      </c>
      <c r="B494" s="7" t="s">
        <v>437</v>
      </c>
      <c r="C494" s="7" t="s">
        <v>1209</v>
      </c>
      <c r="D494" s="7" t="s">
        <v>1207</v>
      </c>
      <c r="E494" s="7"/>
      <c r="F494" s="12" t="n">
        <v>161793054.9408</v>
      </c>
      <c r="G494" s="12" t="n">
        <v>161793054.9408</v>
      </c>
      <c r="H494" s="7" t="n">
        <v>2.98023223876953E-008</v>
      </c>
      <c r="I494" s="7" t="n">
        <v>1.84200257536394E-016</v>
      </c>
      <c r="J494" s="7" t="n">
        <v>0.01</v>
      </c>
      <c r="K494" s="9" t="s">
        <v>4</v>
      </c>
      <c r="L494" s="7"/>
      <c r="M494" s="7"/>
      <c r="N494" s="10" t="n">
        <f aca="false">IF(AND(ISNUMBER(F494),ISNUMBER(G494)),ABS(G494-F494),"")</f>
        <v>0</v>
      </c>
      <c r="O494" s="4" t="str">
        <f aca="false">IF(AND(ISNUMBER(N494),ISNUMBER(J494)),IF(N494&lt;=J494,"PASS","FAIL"),"n/a")</f>
        <v>PASS</v>
      </c>
    </row>
    <row r="495" customFormat="false" ht="35.05" hidden="false" customHeight="false" outlineLevel="0" collapsed="false">
      <c r="A495" s="7" t="s">
        <v>1210</v>
      </c>
      <c r="B495" s="7" t="s">
        <v>437</v>
      </c>
      <c r="C495" s="7" t="s">
        <v>1211</v>
      </c>
      <c r="D495" s="7" t="s">
        <v>1207</v>
      </c>
      <c r="E495" s="7"/>
      <c r="F495" s="12" t="n">
        <v>139436504.3693</v>
      </c>
      <c r="G495" s="12" t="n">
        <v>139436504.3693</v>
      </c>
      <c r="H495" s="7" t="n">
        <v>2.98023223876953E-008</v>
      </c>
      <c r="I495" s="7" t="n">
        <v>2.13734004036442E-016</v>
      </c>
      <c r="J495" s="7" t="n">
        <v>0.01</v>
      </c>
      <c r="K495" s="9" t="s">
        <v>4</v>
      </c>
      <c r="L495" s="7"/>
      <c r="M495" s="7"/>
      <c r="N495" s="10" t="n">
        <f aca="false">IF(AND(ISNUMBER(F495),ISNUMBER(G495)),ABS(G495-F495),"")</f>
        <v>0</v>
      </c>
      <c r="O495" s="4" t="str">
        <f aca="false">IF(AND(ISNUMBER(N495),ISNUMBER(J495)),IF(N495&lt;=J495,"PASS","FAIL"),"n/a")</f>
        <v>PASS</v>
      </c>
    </row>
    <row r="496" customFormat="false" ht="35.05" hidden="false" customHeight="false" outlineLevel="0" collapsed="false">
      <c r="A496" s="7" t="s">
        <v>1212</v>
      </c>
      <c r="B496" s="7" t="s">
        <v>437</v>
      </c>
      <c r="C496" s="7" t="s">
        <v>1213</v>
      </c>
      <c r="D496" s="7" t="s">
        <v>1207</v>
      </c>
      <c r="E496" s="7"/>
      <c r="F496" s="12" t="n">
        <v>22356550.5715</v>
      </c>
      <c r="G496" s="12" t="n">
        <v>22356550.5715001</v>
      </c>
      <c r="H496" s="7" t="n">
        <v>5.96046447753906E-008</v>
      </c>
      <c r="I496" s="7" t="n">
        <v>2.6660930801809E-015</v>
      </c>
      <c r="J496" s="7" t="n">
        <v>0.01</v>
      </c>
      <c r="K496" s="9" t="s">
        <v>4</v>
      </c>
      <c r="L496" s="7"/>
      <c r="M496" s="7"/>
      <c r="N496" s="10" t="n">
        <f aca="false">IF(AND(ISNUMBER(F496),ISNUMBER(G496)),ABS(G496-F496),"")</f>
        <v>0</v>
      </c>
      <c r="O496" s="4" t="str">
        <f aca="false">IF(AND(ISNUMBER(N496),ISNUMBER(J496)),IF(N496&lt;=J496,"PASS","FAIL"),"n/a")</f>
        <v>PASS</v>
      </c>
    </row>
    <row r="497" customFormat="false" ht="35.05" hidden="false" customHeight="false" outlineLevel="0" collapsed="false">
      <c r="A497" s="7" t="s">
        <v>1214</v>
      </c>
      <c r="B497" s="7" t="s">
        <v>437</v>
      </c>
      <c r="C497" s="7" t="s">
        <v>1215</v>
      </c>
      <c r="D497" s="7" t="s">
        <v>1207</v>
      </c>
      <c r="E497" s="7"/>
      <c r="F497" s="12" t="n">
        <v>161793054.9408</v>
      </c>
      <c r="G497" s="12" t="n">
        <v>161793054.9408</v>
      </c>
      <c r="H497" s="7" t="n">
        <v>2.98023223876953E-008</v>
      </c>
      <c r="I497" s="7" t="n">
        <v>1.84200257536394E-016</v>
      </c>
      <c r="J497" s="7" t="n">
        <v>0.01</v>
      </c>
      <c r="K497" s="9" t="s">
        <v>4</v>
      </c>
      <c r="L497" s="7"/>
      <c r="M497" s="7"/>
      <c r="N497" s="10" t="n">
        <f aca="false">IF(AND(ISNUMBER(F497),ISNUMBER(G497)),ABS(G497-F497),"")</f>
        <v>0</v>
      </c>
      <c r="O497" s="4" t="str">
        <f aca="false">IF(AND(ISNUMBER(N497),ISNUMBER(J497)),IF(N497&lt;=J497,"PASS","FAIL"),"n/a")</f>
        <v>PASS</v>
      </c>
    </row>
    <row r="498" customFormat="false" ht="35.05" hidden="false" customHeight="false" outlineLevel="0" collapsed="false">
      <c r="A498" s="7" t="s">
        <v>1216</v>
      </c>
      <c r="B498" s="7" t="s">
        <v>437</v>
      </c>
      <c r="C498" s="7" t="s">
        <v>1217</v>
      </c>
      <c r="D498" s="7" t="s">
        <v>1207</v>
      </c>
      <c r="E498" s="7"/>
      <c r="F498" s="12" t="n">
        <v>74433986.1443</v>
      </c>
      <c r="G498" s="12" t="n">
        <v>74433986.1442999</v>
      </c>
      <c r="H498" s="7" t="n">
        <v>5.96046447753906E-008</v>
      </c>
      <c r="I498" s="7" t="n">
        <v>8.00771903574252E-016</v>
      </c>
      <c r="J498" s="7" t="n">
        <v>0.01</v>
      </c>
      <c r="K498" s="9" t="s">
        <v>4</v>
      </c>
      <c r="L498" s="7"/>
      <c r="M498" s="7"/>
      <c r="N498" s="10" t="n">
        <f aca="false">IF(AND(ISNUMBER(F498),ISNUMBER(G498)),ABS(G498-F498),"")</f>
        <v>0</v>
      </c>
      <c r="O498" s="4" t="str">
        <f aca="false">IF(AND(ISNUMBER(N498),ISNUMBER(J498)),IF(N498&lt;=J498,"PASS","FAIL"),"n/a")</f>
        <v>PASS</v>
      </c>
    </row>
    <row r="499" customFormat="false" ht="35.05" hidden="false" customHeight="false" outlineLevel="0" collapsed="false">
      <c r="A499" s="7" t="s">
        <v>1218</v>
      </c>
      <c r="B499" s="7" t="s">
        <v>437</v>
      </c>
      <c r="C499" s="7" t="s">
        <v>1219</v>
      </c>
      <c r="D499" s="7" t="s">
        <v>1207</v>
      </c>
      <c r="E499" s="7"/>
      <c r="F499" s="12" t="n">
        <v>30530645.2657</v>
      </c>
      <c r="G499" s="12" t="n">
        <v>30530645.2657001</v>
      </c>
      <c r="H499" s="7" t="n">
        <v>7.45058059692383E-008</v>
      </c>
      <c r="I499" s="7" t="n">
        <v>2.44036132616374E-015</v>
      </c>
      <c r="J499" s="7" t="n">
        <v>0.01</v>
      </c>
      <c r="K499" s="9" t="s">
        <v>4</v>
      </c>
      <c r="L499" s="7"/>
      <c r="M499" s="7"/>
      <c r="N499" s="10" t="n">
        <f aca="false">IF(AND(ISNUMBER(F499),ISNUMBER(G499)),ABS(G499-F499),"")</f>
        <v>0</v>
      </c>
      <c r="O499" s="4" t="str">
        <f aca="false">IF(AND(ISNUMBER(N499),ISNUMBER(J499)),IF(N499&lt;=J499,"PASS","FAIL"),"n/a")</f>
        <v>PASS</v>
      </c>
    </row>
    <row r="500" customFormat="false" ht="35.05" hidden="false" customHeight="false" outlineLevel="0" collapsed="false">
      <c r="A500" s="7" t="s">
        <v>1220</v>
      </c>
      <c r="B500" s="7" t="s">
        <v>437</v>
      </c>
      <c r="C500" s="7" t="s">
        <v>1221</v>
      </c>
      <c r="D500" s="7" t="s">
        <v>1207</v>
      </c>
      <c r="E500" s="7"/>
      <c r="F500" s="12" t="n">
        <v>34471872.9593</v>
      </c>
      <c r="G500" s="12" t="n">
        <v>34471872.9592999</v>
      </c>
      <c r="H500" s="7" t="n">
        <v>6.70552253723145E-008</v>
      </c>
      <c r="I500" s="7" t="n">
        <v>1.94521560959234E-015</v>
      </c>
      <c r="J500" s="7" t="n">
        <v>0.01</v>
      </c>
      <c r="K500" s="9" t="s">
        <v>4</v>
      </c>
      <c r="L500" s="7"/>
      <c r="M500" s="7"/>
      <c r="N500" s="10" t="n">
        <f aca="false">IF(AND(ISNUMBER(F500),ISNUMBER(G500)),ABS(G500-F500),"")</f>
        <v>0</v>
      </c>
      <c r="O500" s="4" t="str">
        <f aca="false">IF(AND(ISNUMBER(N500),ISNUMBER(J500)),IF(N500&lt;=J500,"PASS","FAIL"),"n/a")</f>
        <v>PASS</v>
      </c>
    </row>
    <row r="501" customFormat="false" ht="35.05" hidden="false" customHeight="false" outlineLevel="0" collapsed="false">
      <c r="A501" s="7" t="s">
        <v>1222</v>
      </c>
      <c r="B501" s="7" t="s">
        <v>437</v>
      </c>
      <c r="C501" s="7" t="s">
        <v>1223</v>
      </c>
      <c r="D501" s="7" t="s">
        <v>1207</v>
      </c>
      <c r="E501" s="7"/>
      <c r="F501" s="12" t="n">
        <v>1454834.7636</v>
      </c>
      <c r="G501" s="12" t="n">
        <v>1454834.7636</v>
      </c>
      <c r="H501" s="7" t="n">
        <v>9.31322574615479E-010</v>
      </c>
      <c r="I501" s="7" t="n">
        <v>6.40156942848213E-016</v>
      </c>
      <c r="J501" s="7" t="n">
        <v>0.01</v>
      </c>
      <c r="K501" s="9" t="s">
        <v>4</v>
      </c>
      <c r="L501" s="7"/>
      <c r="M501" s="7"/>
      <c r="N501" s="10" t="n">
        <f aca="false">IF(AND(ISNUMBER(F501),ISNUMBER(G501)),ABS(G501-F501),"")</f>
        <v>0</v>
      </c>
      <c r="O501" s="4" t="str">
        <f aca="false">IF(AND(ISNUMBER(N501),ISNUMBER(J501)),IF(N501&lt;=J501,"PASS","FAIL"),"n/a")</f>
        <v>PASS</v>
      </c>
    </row>
    <row r="502" customFormat="false" ht="35.05" hidden="false" customHeight="false" outlineLevel="0" collapsed="false">
      <c r="A502" s="7" t="s">
        <v>1224</v>
      </c>
      <c r="B502" s="7" t="s">
        <v>437</v>
      </c>
      <c r="C502" s="7" t="s">
        <v>1225</v>
      </c>
      <c r="D502" s="7" t="s">
        <v>1207</v>
      </c>
      <c r="E502" s="7"/>
      <c r="F502" s="12" t="n">
        <v>456306.1744</v>
      </c>
      <c r="G502" s="12" t="n">
        <v>456306.1744</v>
      </c>
      <c r="H502" s="7" t="n">
        <v>5.82076609134674E-011</v>
      </c>
      <c r="I502" s="7" t="n">
        <v>1.27562729103995E-016</v>
      </c>
      <c r="J502" s="7" t="n">
        <v>0.01</v>
      </c>
      <c r="K502" s="9" t="s">
        <v>4</v>
      </c>
      <c r="L502" s="7"/>
      <c r="M502" s="7"/>
      <c r="N502" s="10" t="n">
        <f aca="false">IF(AND(ISNUMBER(F502),ISNUMBER(G502)),ABS(G502-F502),"")</f>
        <v>0</v>
      </c>
      <c r="O502" s="4" t="str">
        <f aca="false">IF(AND(ISNUMBER(N502),ISNUMBER(J502)),IF(N502&lt;=J502,"PASS","FAIL"),"n/a")</f>
        <v>PASS</v>
      </c>
    </row>
    <row r="503" customFormat="false" ht="35.05" hidden="false" customHeight="false" outlineLevel="0" collapsed="false">
      <c r="A503" s="7" t="s">
        <v>1226</v>
      </c>
      <c r="B503" s="7" t="s">
        <v>437</v>
      </c>
      <c r="C503" s="7" t="s">
        <v>1227</v>
      </c>
      <c r="D503" s="7" t="s">
        <v>1207</v>
      </c>
      <c r="E503" s="7"/>
      <c r="F503" s="12" t="n">
        <v>2294085.5058</v>
      </c>
      <c r="G503" s="12" t="n">
        <v>2294085.5058</v>
      </c>
      <c r="H503" s="7" t="n">
        <v>1.39698386192322E-009</v>
      </c>
      <c r="I503" s="7" t="n">
        <v>6.08950214972941E-016</v>
      </c>
      <c r="J503" s="7" t="n">
        <v>0.01</v>
      </c>
      <c r="K503" s="9" t="s">
        <v>4</v>
      </c>
      <c r="L503" s="7"/>
      <c r="M503" s="7"/>
      <c r="N503" s="10" t="n">
        <f aca="false">IF(AND(ISNUMBER(F503),ISNUMBER(G503)),ABS(G503-F503),"")</f>
        <v>0</v>
      </c>
      <c r="O503" s="4" t="str">
        <f aca="false">IF(AND(ISNUMBER(N503),ISNUMBER(J503)),IF(N503&lt;=J503,"PASS","FAIL"),"n/a")</f>
        <v>PASS</v>
      </c>
    </row>
    <row r="504" customFormat="false" ht="91" hidden="false" customHeight="false" outlineLevel="0" collapsed="false">
      <c r="A504" s="7" t="s">
        <v>1228</v>
      </c>
      <c r="B504" s="7" t="s">
        <v>437</v>
      </c>
      <c r="C504" s="7" t="s">
        <v>1229</v>
      </c>
      <c r="D504" s="7" t="s">
        <v>1207</v>
      </c>
      <c r="E504" s="7" t="s">
        <v>466</v>
      </c>
      <c r="F504" s="7" t="s">
        <v>1230</v>
      </c>
      <c r="G504" s="7" t="s">
        <v>1231</v>
      </c>
      <c r="H504" s="7"/>
      <c r="I504" s="7"/>
      <c r="J504" s="7" t="s">
        <v>389</v>
      </c>
      <c r="K504" s="9" t="s">
        <v>4</v>
      </c>
      <c r="L504" s="7"/>
      <c r="M504" s="7"/>
      <c r="N504" s="10" t="str">
        <f aca="false">IF(AND(ISNUMBER(F504),ISNUMBER(G504)),ABS(G504-F504),"")</f>
        <v/>
      </c>
      <c r="O504" s="4" t="str">
        <f aca="false">IF(AND(ISNUMBER(N504),ISNUMBER(J504)),IF(N504&lt;=J504,"PASS","FAIL"),"n/a")</f>
        <v>n/a</v>
      </c>
    </row>
    <row r="505" customFormat="false" ht="79.85" hidden="false" customHeight="false" outlineLevel="0" collapsed="false">
      <c r="A505" s="7" t="s">
        <v>1232</v>
      </c>
      <c r="B505" s="7" t="s">
        <v>437</v>
      </c>
      <c r="C505" s="7" t="s">
        <v>1233</v>
      </c>
      <c r="D505" s="7" t="s">
        <v>1207</v>
      </c>
      <c r="E505" s="7" t="s">
        <v>466</v>
      </c>
      <c r="F505" s="7" t="s">
        <v>1234</v>
      </c>
      <c r="G505" s="7" t="s">
        <v>1235</v>
      </c>
      <c r="H505" s="7"/>
      <c r="I505" s="7"/>
      <c r="J505" s="7" t="s">
        <v>389</v>
      </c>
      <c r="K505" s="9" t="s">
        <v>4</v>
      </c>
      <c r="L505" s="7"/>
      <c r="M505" s="7"/>
      <c r="N505" s="10" t="str">
        <f aca="false">IF(AND(ISNUMBER(F505),ISNUMBER(G505)),ABS(G505-F505),"")</f>
        <v/>
      </c>
      <c r="O505" s="4" t="str">
        <f aca="false">IF(AND(ISNUMBER(N505),ISNUMBER(J505)),IF(N505&lt;=J505,"PASS","FAIL"),"n/a")</f>
        <v>n/a</v>
      </c>
    </row>
    <row r="506" customFormat="false" ht="91" hidden="false" customHeight="false" outlineLevel="0" collapsed="false">
      <c r="A506" s="7" t="s">
        <v>1236</v>
      </c>
      <c r="B506" s="7" t="s">
        <v>437</v>
      </c>
      <c r="C506" s="7" t="s">
        <v>1237</v>
      </c>
      <c r="D506" s="7" t="s">
        <v>1207</v>
      </c>
      <c r="E506" s="7" t="s">
        <v>466</v>
      </c>
      <c r="F506" s="7" t="s">
        <v>1238</v>
      </c>
      <c r="G506" s="7" t="s">
        <v>1239</v>
      </c>
      <c r="H506" s="7"/>
      <c r="I506" s="7"/>
      <c r="J506" s="7" t="s">
        <v>389</v>
      </c>
      <c r="K506" s="9" t="s">
        <v>4</v>
      </c>
      <c r="L506" s="7"/>
      <c r="M506" s="7"/>
      <c r="N506" s="10" t="str">
        <f aca="false">IF(AND(ISNUMBER(F506),ISNUMBER(G506)),ABS(G506-F506),"")</f>
        <v/>
      </c>
      <c r="O506" s="4" t="str">
        <f aca="false">IF(AND(ISNUMBER(N506),ISNUMBER(J506)),IF(N506&lt;=J506,"PASS","FAIL"),"n/a")</f>
        <v>n/a</v>
      </c>
    </row>
    <row r="507" customFormat="false" ht="91" hidden="false" customHeight="false" outlineLevel="0" collapsed="false">
      <c r="A507" s="7" t="s">
        <v>1240</v>
      </c>
      <c r="B507" s="7" t="s">
        <v>437</v>
      </c>
      <c r="C507" s="7" t="s">
        <v>1241</v>
      </c>
      <c r="D507" s="7" t="s">
        <v>1207</v>
      </c>
      <c r="E507" s="7" t="s">
        <v>466</v>
      </c>
      <c r="F507" s="7" t="s">
        <v>1242</v>
      </c>
      <c r="G507" s="7" t="s">
        <v>1243</v>
      </c>
      <c r="H507" s="7"/>
      <c r="I507" s="7"/>
      <c r="J507" s="7" t="s">
        <v>389</v>
      </c>
      <c r="K507" s="9" t="s">
        <v>4</v>
      </c>
      <c r="L507" s="7"/>
      <c r="M507" s="7"/>
      <c r="N507" s="10" t="str">
        <f aca="false">IF(AND(ISNUMBER(F507),ISNUMBER(G507)),ABS(G507-F507),"")</f>
        <v/>
      </c>
      <c r="O507" s="4" t="str">
        <f aca="false">IF(AND(ISNUMBER(N507),ISNUMBER(J507)),IF(N507&lt;=J507,"PASS","FAIL"),"n/a")</f>
        <v>n/a</v>
      </c>
    </row>
    <row r="508" customFormat="false" ht="57.45" hidden="false" customHeight="false" outlineLevel="0" collapsed="false">
      <c r="A508" s="7" t="s">
        <v>1244</v>
      </c>
      <c r="B508" s="7" t="s">
        <v>437</v>
      </c>
      <c r="C508" s="7" t="s">
        <v>1245</v>
      </c>
      <c r="D508" s="7" t="s">
        <v>1207</v>
      </c>
      <c r="E508" s="7"/>
      <c r="F508" s="7" t="s">
        <v>1246</v>
      </c>
      <c r="G508" s="7" t="s">
        <v>1246</v>
      </c>
      <c r="H508" s="7"/>
      <c r="I508" s="7"/>
      <c r="J508" s="7"/>
      <c r="K508" s="9" t="s">
        <v>4</v>
      </c>
      <c r="L508" s="7"/>
      <c r="M508" s="7"/>
      <c r="N508" s="10" t="str">
        <f aca="false">IF(AND(ISNUMBER(F508),ISNUMBER(G508)),ABS(G508-F508),"")</f>
        <v/>
      </c>
      <c r="O508" s="4" t="str">
        <f aca="false">IF(AND(ISNUMBER(N508),ISNUMBER(J508)),IF(N508&lt;=J508,"PASS","FAIL"),"n/a")</f>
        <v>n/a</v>
      </c>
    </row>
    <row r="509" customFormat="false" ht="35.05" hidden="false" customHeight="false" outlineLevel="0" collapsed="false">
      <c r="A509" s="7" t="s">
        <v>1247</v>
      </c>
      <c r="B509" s="7" t="s">
        <v>437</v>
      </c>
      <c r="C509" s="7" t="s">
        <v>1248</v>
      </c>
      <c r="D509" s="7" t="s">
        <v>1207</v>
      </c>
      <c r="E509" s="7"/>
      <c r="F509" s="8" t="n">
        <v>161793055</v>
      </c>
      <c r="G509" s="12" t="n">
        <v>161793055</v>
      </c>
      <c r="H509" s="7" t="n">
        <v>0</v>
      </c>
      <c r="I509" s="7" t="n">
        <v>0</v>
      </c>
      <c r="J509" s="7" t="n">
        <v>0.5</v>
      </c>
      <c r="K509" s="9" t="s">
        <v>4</v>
      </c>
      <c r="L509" s="7"/>
      <c r="M509" s="7"/>
      <c r="N509" s="10" t="n">
        <f aca="false">IF(AND(ISNUMBER(F509),ISNUMBER(G509)),ABS(G509-F509),"")</f>
        <v>0</v>
      </c>
      <c r="O509" s="4" t="str">
        <f aca="false">IF(AND(ISNUMBER(N509),ISNUMBER(J509)),IF(N509&lt;=J509,"PASS","FAIL"),"n/a")</f>
        <v>PASS</v>
      </c>
    </row>
    <row r="510" customFormat="false" ht="35.05" hidden="false" customHeight="false" outlineLevel="0" collapsed="false">
      <c r="A510" s="7" t="s">
        <v>1249</v>
      </c>
      <c r="B510" s="7" t="s">
        <v>437</v>
      </c>
      <c r="C510" s="7" t="s">
        <v>1250</v>
      </c>
      <c r="D510" s="7" t="s">
        <v>1207</v>
      </c>
      <c r="E510" s="7"/>
      <c r="F510" s="12" t="n">
        <v>161793054.9408</v>
      </c>
      <c r="G510" s="12" t="n">
        <v>161790000</v>
      </c>
      <c r="H510" s="7" t="n">
        <v>3054.94080001116</v>
      </c>
      <c r="I510" s="7" t="n">
        <v>1.88817795740921E-005</v>
      </c>
      <c r="J510" s="7" t="n">
        <v>5000</v>
      </c>
      <c r="K510" s="9" t="s">
        <v>4</v>
      </c>
      <c r="L510" s="7"/>
      <c r="M510" s="7"/>
      <c r="N510" s="10" t="n">
        <f aca="false">IF(AND(ISNUMBER(F510),ISNUMBER(G510)),ABS(G510-F510),"")</f>
        <v>3054.94080001116</v>
      </c>
      <c r="O510" s="4" t="str">
        <f aca="false">IF(AND(ISNUMBER(N510),ISNUMBER(J510)),IF(N510&lt;=J510,"PASS","FAIL"),"n/a")</f>
        <v>PASS</v>
      </c>
    </row>
    <row r="511" customFormat="false" ht="35.05" hidden="false" customHeight="false" outlineLevel="0" collapsed="false">
      <c r="A511" s="7" t="s">
        <v>1251</v>
      </c>
      <c r="B511" s="7" t="s">
        <v>437</v>
      </c>
      <c r="C511" s="7" t="s">
        <v>1252</v>
      </c>
      <c r="D511" s="7" t="s">
        <v>1207</v>
      </c>
      <c r="E511" s="7"/>
      <c r="F511" s="12" t="n">
        <v>139436504.3693</v>
      </c>
      <c r="G511" s="12" t="n">
        <v>139440000</v>
      </c>
      <c r="H511" s="7" t="n">
        <v>3495.63070002198</v>
      </c>
      <c r="I511" s="7" t="n">
        <v>2.50696954562468E-005</v>
      </c>
      <c r="J511" s="7" t="n">
        <v>5000</v>
      </c>
      <c r="K511" s="9" t="s">
        <v>4</v>
      </c>
      <c r="L511" s="7"/>
      <c r="M511" s="7"/>
      <c r="N511" s="10" t="n">
        <f aca="false">IF(AND(ISNUMBER(F511),ISNUMBER(G511)),ABS(G511-F511),"")</f>
        <v>3495.63069999218</v>
      </c>
      <c r="O511" s="4" t="str">
        <f aca="false">IF(AND(ISNUMBER(N511),ISNUMBER(J511)),IF(N511&lt;=J511,"PASS","FAIL"),"n/a")</f>
        <v>PASS</v>
      </c>
    </row>
    <row r="512" customFormat="false" ht="35.05" hidden="false" customHeight="false" outlineLevel="0" collapsed="false">
      <c r="A512" s="7" t="s">
        <v>1253</v>
      </c>
      <c r="B512" s="7" t="s">
        <v>437</v>
      </c>
      <c r="C512" s="7" t="s">
        <v>1254</v>
      </c>
      <c r="D512" s="7" t="s">
        <v>1207</v>
      </c>
      <c r="E512" s="7"/>
      <c r="F512" s="12" t="n">
        <v>22356550.5715</v>
      </c>
      <c r="G512" s="12" t="n">
        <v>22360000</v>
      </c>
      <c r="H512" s="7" t="n">
        <v>3449.42849996686</v>
      </c>
      <c r="I512" s="7" t="n">
        <v>0.00015429162423492</v>
      </c>
      <c r="J512" s="7" t="n">
        <v>5000</v>
      </c>
      <c r="K512" s="9" t="s">
        <v>4</v>
      </c>
      <c r="L512" s="7"/>
      <c r="M512" s="7"/>
      <c r="N512" s="10" t="n">
        <f aca="false">IF(AND(ISNUMBER(F512),ISNUMBER(G512)),ABS(G512-F512),"")</f>
        <v>3449.42849997059</v>
      </c>
      <c r="O512" s="4" t="str">
        <f aca="false">IF(AND(ISNUMBER(N512),ISNUMBER(J512)),IF(N512&lt;=J512,"PASS","FAIL"),"n/a")</f>
        <v>PASS</v>
      </c>
    </row>
    <row r="513" customFormat="false" ht="23.85" hidden="false" customHeight="false" outlineLevel="0" collapsed="false">
      <c r="A513" s="7" t="s">
        <v>1255</v>
      </c>
      <c r="B513" s="7" t="s">
        <v>437</v>
      </c>
      <c r="C513" s="7" t="s">
        <v>1256</v>
      </c>
      <c r="D513" s="7"/>
      <c r="E513" s="7"/>
      <c r="F513" s="8" t="n">
        <v>0</v>
      </c>
      <c r="G513" s="8" t="n">
        <v>0</v>
      </c>
      <c r="H513" s="7" t="n">
        <v>0</v>
      </c>
      <c r="I513" s="7"/>
      <c r="J513" s="7" t="n">
        <v>0</v>
      </c>
      <c r="K513" s="9" t="s">
        <v>4</v>
      </c>
      <c r="L513" s="7"/>
      <c r="M513" s="7"/>
      <c r="N513" s="10" t="n">
        <f aca="false">IF(AND(ISNUMBER(F513),ISNUMBER(G513)),ABS(G513-F513),"")</f>
        <v>0</v>
      </c>
      <c r="O513" s="4" t="str">
        <f aca="false">IF(AND(ISNUMBER(N513),ISNUMBER(J513)),IF(N513&lt;=J513,"PASS","FAIL"),"n/a")</f>
        <v>PASS</v>
      </c>
    </row>
    <row r="514" customFormat="false" ht="35.05" hidden="false" customHeight="false" outlineLevel="0" collapsed="false">
      <c r="A514" s="7" t="s">
        <v>1257</v>
      </c>
      <c r="B514" s="7" t="s">
        <v>437</v>
      </c>
      <c r="C514" s="7" t="s">
        <v>1258</v>
      </c>
      <c r="D514" s="7" t="s">
        <v>1207</v>
      </c>
      <c r="E514" s="7"/>
      <c r="F514" s="8" t="n">
        <v>43992</v>
      </c>
      <c r="G514" s="8" t="n">
        <v>43992</v>
      </c>
      <c r="H514" s="7" t="n">
        <v>0</v>
      </c>
      <c r="I514" s="7" t="n">
        <v>0</v>
      </c>
      <c r="J514" s="7" t="n">
        <v>0</v>
      </c>
      <c r="K514" s="9" t="s">
        <v>4</v>
      </c>
      <c r="L514" s="7"/>
      <c r="M514" s="7"/>
      <c r="N514" s="10" t="n">
        <f aca="false">IF(AND(ISNUMBER(F514),ISNUMBER(G514)),ABS(G514-F514),"")</f>
        <v>0</v>
      </c>
      <c r="O514" s="4" t="str">
        <f aca="false">IF(AND(ISNUMBER(N514),ISNUMBER(J514)),IF(N514&lt;=J514,"PASS","FAIL"),"n/a")</f>
        <v>PASS</v>
      </c>
    </row>
    <row r="515" customFormat="false" ht="23.85" hidden="false" customHeight="false" outlineLevel="0" collapsed="false">
      <c r="A515" s="7" t="s">
        <v>1259</v>
      </c>
      <c r="B515" s="7" t="s">
        <v>437</v>
      </c>
      <c r="C515" s="7" t="s">
        <v>1260</v>
      </c>
      <c r="D515" s="7"/>
      <c r="E515" s="7"/>
      <c r="F515" s="8" t="n">
        <v>0</v>
      </c>
      <c r="G515" s="8" t="n">
        <v>0</v>
      </c>
      <c r="H515" s="7" t="n">
        <v>0</v>
      </c>
      <c r="I515" s="7"/>
      <c r="J515" s="7" t="n">
        <v>0</v>
      </c>
      <c r="K515" s="9" t="s">
        <v>4</v>
      </c>
      <c r="L515" s="7"/>
      <c r="M515" s="7"/>
      <c r="N515" s="10" t="n">
        <f aca="false">IF(AND(ISNUMBER(F515),ISNUMBER(G515)),ABS(G515-F515),"")</f>
        <v>0</v>
      </c>
      <c r="O515" s="4" t="str">
        <f aca="false">IF(AND(ISNUMBER(N515),ISNUMBER(J515)),IF(N515&lt;=J515,"PASS","FAIL"),"n/a")</f>
        <v>PASS</v>
      </c>
    </row>
    <row r="516" customFormat="false" ht="23.85" hidden="false" customHeight="false" outlineLevel="0" collapsed="false">
      <c r="A516" s="7" t="s">
        <v>1261</v>
      </c>
      <c r="B516" s="7" t="s">
        <v>437</v>
      </c>
      <c r="C516" s="7" t="s">
        <v>1262</v>
      </c>
      <c r="D516" s="7"/>
      <c r="E516" s="7"/>
      <c r="F516" s="12" t="n">
        <v>161793054.9408</v>
      </c>
      <c r="G516" s="12" t="n">
        <v>161793054.9408</v>
      </c>
      <c r="H516" s="7" t="n">
        <v>0</v>
      </c>
      <c r="I516" s="7" t="n">
        <v>0</v>
      </c>
      <c r="J516" s="7" t="n">
        <v>0.01</v>
      </c>
      <c r="K516" s="9" t="s">
        <v>4</v>
      </c>
      <c r="L516" s="7"/>
      <c r="M516" s="7"/>
      <c r="N516" s="10" t="n">
        <f aca="false">IF(AND(ISNUMBER(F516),ISNUMBER(G516)),ABS(G516-F516),"")</f>
        <v>0</v>
      </c>
      <c r="O516" s="4" t="str">
        <f aca="false">IF(AND(ISNUMBER(N516),ISNUMBER(J516)),IF(N516&lt;=J516,"PASS","FAIL"),"n/a")</f>
        <v>PASS</v>
      </c>
    </row>
    <row r="517" customFormat="false" ht="23.85" hidden="false" customHeight="false" outlineLevel="0" collapsed="false">
      <c r="A517" s="7" t="s">
        <v>1263</v>
      </c>
      <c r="B517" s="7" t="s">
        <v>437</v>
      </c>
      <c r="C517" s="7" t="s">
        <v>1264</v>
      </c>
      <c r="D517" s="7"/>
      <c r="E517" s="7"/>
      <c r="F517" s="12" t="n">
        <v>74433986.1443</v>
      </c>
      <c r="G517" s="12" t="n">
        <v>74433986.1443</v>
      </c>
      <c r="H517" s="7" t="n">
        <v>0</v>
      </c>
      <c r="I517" s="7" t="n">
        <v>0</v>
      </c>
      <c r="J517" s="7" t="n">
        <v>0.01</v>
      </c>
      <c r="K517" s="9" t="s">
        <v>4</v>
      </c>
      <c r="L517" s="7"/>
      <c r="M517" s="7"/>
      <c r="N517" s="10" t="n">
        <f aca="false">IF(AND(ISNUMBER(F517),ISNUMBER(G517)),ABS(G517-F517),"")</f>
        <v>0</v>
      </c>
      <c r="O517" s="4" t="str">
        <f aca="false">IF(AND(ISNUMBER(N517),ISNUMBER(J517)),IF(N517&lt;=J517,"PASS","FAIL"),"n/a")</f>
        <v>PASS</v>
      </c>
    </row>
    <row r="518" customFormat="false" ht="23.85" hidden="false" customHeight="false" outlineLevel="0" collapsed="false">
      <c r="A518" s="7" t="s">
        <v>1265</v>
      </c>
      <c r="B518" s="7" t="s">
        <v>437</v>
      </c>
      <c r="C518" s="7" t="s">
        <v>1266</v>
      </c>
      <c r="D518" s="7"/>
      <c r="E518" s="7"/>
      <c r="F518" s="12" t="n">
        <v>30530645.2657</v>
      </c>
      <c r="G518" s="12" t="n">
        <v>30530645.2657</v>
      </c>
      <c r="H518" s="7" t="n">
        <v>0</v>
      </c>
      <c r="I518" s="7" t="n">
        <v>0</v>
      </c>
      <c r="J518" s="7" t="n">
        <v>0.01</v>
      </c>
      <c r="K518" s="9" t="s">
        <v>4</v>
      </c>
      <c r="L518" s="7"/>
      <c r="M518" s="7"/>
      <c r="N518" s="10" t="n">
        <f aca="false">IF(AND(ISNUMBER(F518),ISNUMBER(G518)),ABS(G518-F518),"")</f>
        <v>0</v>
      </c>
      <c r="O518" s="4" t="str">
        <f aca="false">IF(AND(ISNUMBER(N518),ISNUMBER(J518)),IF(N518&lt;=J518,"PASS","FAIL"),"n/a")</f>
        <v>PASS</v>
      </c>
    </row>
    <row r="519" customFormat="false" ht="23.85" hidden="false" customHeight="false" outlineLevel="0" collapsed="false">
      <c r="A519" s="7" t="s">
        <v>1267</v>
      </c>
      <c r="B519" s="7" t="s">
        <v>437</v>
      </c>
      <c r="C519" s="7" t="s">
        <v>1268</v>
      </c>
      <c r="D519" s="7"/>
      <c r="E519" s="7"/>
      <c r="F519" s="12" t="n">
        <v>34471872.9593</v>
      </c>
      <c r="G519" s="12" t="n">
        <v>34471872.9593</v>
      </c>
      <c r="H519" s="7" t="n">
        <v>0</v>
      </c>
      <c r="I519" s="7" t="n">
        <v>0</v>
      </c>
      <c r="J519" s="7" t="n">
        <v>0.01</v>
      </c>
      <c r="K519" s="9" t="s">
        <v>4</v>
      </c>
      <c r="L519" s="7"/>
      <c r="M519" s="7"/>
      <c r="N519" s="10" t="n">
        <f aca="false">IF(AND(ISNUMBER(F519),ISNUMBER(G519)),ABS(G519-F519),"")</f>
        <v>0</v>
      </c>
      <c r="O519" s="4" t="str">
        <f aca="false">IF(AND(ISNUMBER(N519),ISNUMBER(J519)),IF(N519&lt;=J519,"PASS","FAIL"),"n/a")</f>
        <v>PASS</v>
      </c>
    </row>
    <row r="520" customFormat="false" ht="23.85" hidden="false" customHeight="false" outlineLevel="0" collapsed="false">
      <c r="A520" s="7" t="s">
        <v>1269</v>
      </c>
      <c r="B520" s="7" t="s">
        <v>437</v>
      </c>
      <c r="C520" s="7" t="s">
        <v>1270</v>
      </c>
      <c r="D520" s="7" t="s">
        <v>1271</v>
      </c>
      <c r="E520" s="7"/>
      <c r="F520" s="8" t="n">
        <v>9003</v>
      </c>
      <c r="G520" s="8" t="n">
        <v>9003</v>
      </c>
      <c r="H520" s="7" t="n">
        <v>0</v>
      </c>
      <c r="I520" s="7" t="n">
        <v>0</v>
      </c>
      <c r="J520" s="7" t="n">
        <v>0</v>
      </c>
      <c r="K520" s="9" t="s">
        <v>4</v>
      </c>
      <c r="L520" s="7"/>
      <c r="M520" s="7"/>
      <c r="N520" s="10" t="n">
        <f aca="false">IF(AND(ISNUMBER(F520),ISNUMBER(G520)),ABS(G520-F520),"")</f>
        <v>0</v>
      </c>
      <c r="O520" s="4" t="str">
        <f aca="false">IF(AND(ISNUMBER(N520),ISNUMBER(J520)),IF(N520&lt;=J520,"PASS","FAIL"),"n/a")</f>
        <v>PASS</v>
      </c>
    </row>
    <row r="521" customFormat="false" ht="23.85" hidden="false" customHeight="false" outlineLevel="0" collapsed="false">
      <c r="A521" s="7" t="s">
        <v>1272</v>
      </c>
      <c r="B521" s="7" t="s">
        <v>437</v>
      </c>
      <c r="C521" s="7" t="s">
        <v>1273</v>
      </c>
      <c r="D521" s="7" t="s">
        <v>1271</v>
      </c>
      <c r="E521" s="7"/>
      <c r="F521" s="12" t="n">
        <v>44889496.6254</v>
      </c>
      <c r="G521" s="12" t="n">
        <v>44889496.6253999</v>
      </c>
      <c r="H521" s="7" t="n">
        <v>5.96046447753906E-008</v>
      </c>
      <c r="I521" s="7" t="n">
        <v>1.3278082682189E-015</v>
      </c>
      <c r="J521" s="7" t="n">
        <v>0.01</v>
      </c>
      <c r="K521" s="9" t="s">
        <v>4</v>
      </c>
      <c r="L521" s="7"/>
      <c r="M521" s="7"/>
      <c r="N521" s="10" t="n">
        <f aca="false">IF(AND(ISNUMBER(F521),ISNUMBER(G521)),ABS(G521-F521),"")</f>
        <v>0</v>
      </c>
      <c r="O521" s="4" t="str">
        <f aca="false">IF(AND(ISNUMBER(N521),ISNUMBER(J521)),IF(N521&lt;=J521,"PASS","FAIL"),"n/a")</f>
        <v>PASS</v>
      </c>
    </row>
    <row r="522" customFormat="false" ht="23.85" hidden="false" customHeight="false" outlineLevel="0" collapsed="false">
      <c r="A522" s="7" t="s">
        <v>1274</v>
      </c>
      <c r="B522" s="7" t="s">
        <v>437</v>
      </c>
      <c r="C522" s="7" t="s">
        <v>1275</v>
      </c>
      <c r="D522" s="7" t="s">
        <v>1271</v>
      </c>
      <c r="E522" s="7"/>
      <c r="F522" s="12" t="n">
        <v>37564876.7842</v>
      </c>
      <c r="G522" s="12" t="n">
        <v>37564876.7842</v>
      </c>
      <c r="H522" s="7" t="n">
        <v>7.45058059692383E-009</v>
      </c>
      <c r="I522" s="7" t="n">
        <v>1.9833901332155E-016</v>
      </c>
      <c r="J522" s="7" t="n">
        <v>0.01</v>
      </c>
      <c r="K522" s="9" t="s">
        <v>4</v>
      </c>
      <c r="L522" s="7"/>
      <c r="M522" s="7"/>
      <c r="N522" s="10" t="n">
        <f aca="false">IF(AND(ISNUMBER(F522),ISNUMBER(G522)),ABS(G522-F522),"")</f>
        <v>0</v>
      </c>
      <c r="O522" s="4" t="str">
        <f aca="false">IF(AND(ISNUMBER(N522),ISNUMBER(J522)),IF(N522&lt;=J522,"PASS","FAIL"),"n/a")</f>
        <v>PASS</v>
      </c>
    </row>
    <row r="523" customFormat="false" ht="23.85" hidden="false" customHeight="false" outlineLevel="0" collapsed="false">
      <c r="A523" s="7" t="s">
        <v>1276</v>
      </c>
      <c r="B523" s="7" t="s">
        <v>437</v>
      </c>
      <c r="C523" s="7" t="s">
        <v>1277</v>
      </c>
      <c r="D523" s="7" t="s">
        <v>1271</v>
      </c>
      <c r="E523" s="7"/>
      <c r="F523" s="12" t="n">
        <v>7324619.8412</v>
      </c>
      <c r="G523" s="12" t="n">
        <v>7324619.84119995</v>
      </c>
      <c r="H523" s="7" t="n">
        <v>5.21540641784668E-008</v>
      </c>
      <c r="I523" s="7" t="n">
        <v>7.12037830074227E-015</v>
      </c>
      <c r="J523" s="7" t="n">
        <v>0.01</v>
      </c>
      <c r="K523" s="9" t="s">
        <v>4</v>
      </c>
      <c r="L523" s="7"/>
      <c r="M523" s="7"/>
      <c r="N523" s="10" t="n">
        <f aca="false">IF(AND(ISNUMBER(F523),ISNUMBER(G523)),ABS(G523-F523),"")</f>
        <v>5.21540641784668E-008</v>
      </c>
      <c r="O523" s="4" t="str">
        <f aca="false">IF(AND(ISNUMBER(N523),ISNUMBER(J523)),IF(N523&lt;=J523,"PASS","FAIL"),"n/a")</f>
        <v>PASS</v>
      </c>
    </row>
    <row r="524" customFormat="false" ht="23.85" hidden="false" customHeight="false" outlineLevel="0" collapsed="false">
      <c r="A524" s="7" t="s">
        <v>1278</v>
      </c>
      <c r="B524" s="7" t="s">
        <v>437</v>
      </c>
      <c r="C524" s="7" t="s">
        <v>1279</v>
      </c>
      <c r="D524" s="7" t="s">
        <v>1271</v>
      </c>
      <c r="E524" s="7"/>
      <c r="F524" s="12" t="n">
        <v>44889496.6254</v>
      </c>
      <c r="G524" s="12" t="n">
        <v>44889496.6253999</v>
      </c>
      <c r="H524" s="7" t="n">
        <v>5.96046447753906E-008</v>
      </c>
      <c r="I524" s="7" t="n">
        <v>1.3278082682189E-015</v>
      </c>
      <c r="J524" s="7" t="n">
        <v>0.01</v>
      </c>
      <c r="K524" s="9" t="s">
        <v>4</v>
      </c>
      <c r="L524" s="7"/>
      <c r="M524" s="7"/>
      <c r="N524" s="10" t="n">
        <f aca="false">IF(AND(ISNUMBER(F524),ISNUMBER(G524)),ABS(G524-F524),"")</f>
        <v>0</v>
      </c>
      <c r="O524" s="4" t="str">
        <f aca="false">IF(AND(ISNUMBER(N524),ISNUMBER(J524)),IF(N524&lt;=J524,"PASS","FAIL"),"n/a")</f>
        <v>PASS</v>
      </c>
    </row>
    <row r="525" customFormat="false" ht="23.85" hidden="false" customHeight="false" outlineLevel="0" collapsed="false">
      <c r="A525" s="7" t="s">
        <v>1280</v>
      </c>
      <c r="B525" s="7" t="s">
        <v>437</v>
      </c>
      <c r="C525" s="7" t="s">
        <v>1281</v>
      </c>
      <c r="D525" s="7" t="s">
        <v>1271</v>
      </c>
      <c r="E525" s="7"/>
      <c r="F525" s="12" t="n">
        <v>20001673.0005</v>
      </c>
      <c r="G525" s="12" t="n">
        <v>20001673.0005</v>
      </c>
      <c r="H525" s="7" t="n">
        <v>2.98023223876953E-008</v>
      </c>
      <c r="I525" s="7" t="n">
        <v>1.48999148156008E-015</v>
      </c>
      <c r="J525" s="7" t="n">
        <v>0.01</v>
      </c>
      <c r="K525" s="9" t="s">
        <v>4</v>
      </c>
      <c r="L525" s="7"/>
      <c r="M525" s="7"/>
      <c r="N525" s="10" t="n">
        <f aca="false">IF(AND(ISNUMBER(F525),ISNUMBER(G525)),ABS(G525-F525),"")</f>
        <v>0</v>
      </c>
      <c r="O525" s="4" t="str">
        <f aca="false">IF(AND(ISNUMBER(N525),ISNUMBER(J525)),IF(N525&lt;=J525,"PASS","FAIL"),"n/a")</f>
        <v>PASS</v>
      </c>
    </row>
    <row r="526" customFormat="false" ht="23.85" hidden="false" customHeight="false" outlineLevel="0" collapsed="false">
      <c r="A526" s="7" t="s">
        <v>1282</v>
      </c>
      <c r="B526" s="7" t="s">
        <v>437</v>
      </c>
      <c r="C526" s="7" t="s">
        <v>1283</v>
      </c>
      <c r="D526" s="7" t="s">
        <v>1271</v>
      </c>
      <c r="E526" s="7"/>
      <c r="F526" s="12" t="n">
        <v>8313811.9727</v>
      </c>
      <c r="G526" s="12" t="n">
        <v>8313811.9727</v>
      </c>
      <c r="H526" s="7" t="n">
        <v>4.65661287307739E-009</v>
      </c>
      <c r="I526" s="7" t="n">
        <v>5.60105627643285E-016</v>
      </c>
      <c r="J526" s="7" t="n">
        <v>0.01</v>
      </c>
      <c r="K526" s="9" t="s">
        <v>4</v>
      </c>
      <c r="L526" s="7"/>
      <c r="M526" s="7"/>
      <c r="N526" s="10" t="n">
        <f aca="false">IF(AND(ISNUMBER(F526),ISNUMBER(G526)),ABS(G526-F526),"")</f>
        <v>0</v>
      </c>
      <c r="O526" s="4" t="str">
        <f aca="false">IF(AND(ISNUMBER(N526),ISNUMBER(J526)),IF(N526&lt;=J526,"PASS","FAIL"),"n/a")</f>
        <v>PASS</v>
      </c>
    </row>
    <row r="527" customFormat="false" ht="23.85" hidden="false" customHeight="false" outlineLevel="0" collapsed="false">
      <c r="A527" s="7" t="s">
        <v>1284</v>
      </c>
      <c r="B527" s="7" t="s">
        <v>437</v>
      </c>
      <c r="C527" s="7" t="s">
        <v>1285</v>
      </c>
      <c r="D527" s="7" t="s">
        <v>1271</v>
      </c>
      <c r="E527" s="7"/>
      <c r="F527" s="12" t="n">
        <v>9249391.811</v>
      </c>
      <c r="G527" s="12" t="n">
        <v>9249391.81100002</v>
      </c>
      <c r="H527" s="7" t="n">
        <v>1.49011611938477E-008</v>
      </c>
      <c r="I527" s="7" t="n">
        <v>1.61104227157143E-015</v>
      </c>
      <c r="J527" s="7" t="n">
        <v>0.01</v>
      </c>
      <c r="K527" s="9" t="s">
        <v>4</v>
      </c>
      <c r="L527" s="7"/>
      <c r="M527" s="7"/>
      <c r="N527" s="10" t="n">
        <f aca="false">IF(AND(ISNUMBER(F527),ISNUMBER(G527)),ABS(G527-F527),"")</f>
        <v>0</v>
      </c>
      <c r="O527" s="4" t="str">
        <f aca="false">IF(AND(ISNUMBER(N527),ISNUMBER(J527)),IF(N527&lt;=J527,"PASS","FAIL"),"n/a")</f>
        <v>PASS</v>
      </c>
    </row>
    <row r="528" customFormat="false" ht="23.85" hidden="false" customHeight="false" outlineLevel="0" collapsed="false">
      <c r="A528" s="7" t="s">
        <v>1286</v>
      </c>
      <c r="B528" s="7" t="s">
        <v>437</v>
      </c>
      <c r="C528" s="7" t="s">
        <v>1287</v>
      </c>
      <c r="D528" s="7" t="s">
        <v>1271</v>
      </c>
      <c r="E528" s="7"/>
      <c r="F528" s="12" t="n">
        <v>363277.0814</v>
      </c>
      <c r="G528" s="12" t="n">
        <v>363277.0814</v>
      </c>
      <c r="H528" s="7" t="n">
        <v>0</v>
      </c>
      <c r="I528" s="7" t="n">
        <v>0</v>
      </c>
      <c r="J528" s="7" t="n">
        <v>0.01</v>
      </c>
      <c r="K528" s="9" t="s">
        <v>4</v>
      </c>
      <c r="L528" s="7"/>
      <c r="M528" s="7"/>
      <c r="N528" s="10" t="n">
        <f aca="false">IF(AND(ISNUMBER(F528),ISNUMBER(G528)),ABS(G528-F528),"")</f>
        <v>0</v>
      </c>
      <c r="O528" s="4" t="str">
        <f aca="false">IF(AND(ISNUMBER(N528),ISNUMBER(J528)),IF(N528&lt;=J528,"PASS","FAIL"),"n/a")</f>
        <v>PASS</v>
      </c>
    </row>
    <row r="529" customFormat="false" ht="23.85" hidden="false" customHeight="false" outlineLevel="0" collapsed="false">
      <c r="A529" s="7" t="s">
        <v>1288</v>
      </c>
      <c r="B529" s="7" t="s">
        <v>437</v>
      </c>
      <c r="C529" s="7" t="s">
        <v>1289</v>
      </c>
      <c r="D529" s="7" t="s">
        <v>1271</v>
      </c>
      <c r="E529" s="7"/>
      <c r="F529" s="12" t="n">
        <v>115376.4866</v>
      </c>
      <c r="G529" s="12" t="n">
        <v>115376.4866</v>
      </c>
      <c r="H529" s="7" t="n">
        <v>1.45519152283669E-011</v>
      </c>
      <c r="I529" s="7" t="n">
        <v>1.26125484118935E-016</v>
      </c>
      <c r="J529" s="7" t="n">
        <v>0.01</v>
      </c>
      <c r="K529" s="9" t="s">
        <v>4</v>
      </c>
      <c r="L529" s="7"/>
      <c r="M529" s="7"/>
      <c r="N529" s="10" t="n">
        <f aca="false">IF(AND(ISNUMBER(F529),ISNUMBER(G529)),ABS(G529-F529),"")</f>
        <v>0</v>
      </c>
      <c r="O529" s="4" t="str">
        <f aca="false">IF(AND(ISNUMBER(N529),ISNUMBER(J529)),IF(N529&lt;=J529,"PASS","FAIL"),"n/a")</f>
        <v>PASS</v>
      </c>
    </row>
    <row r="530" customFormat="false" ht="23.85" hidden="false" customHeight="false" outlineLevel="0" collapsed="false">
      <c r="A530" s="7" t="s">
        <v>1290</v>
      </c>
      <c r="B530" s="7" t="s">
        <v>437</v>
      </c>
      <c r="C530" s="7" t="s">
        <v>1291</v>
      </c>
      <c r="D530" s="7" t="s">
        <v>1271</v>
      </c>
      <c r="E530" s="7"/>
      <c r="F530" s="12" t="n">
        <v>606177.7586</v>
      </c>
      <c r="G530" s="12" t="n">
        <v>606177.7586</v>
      </c>
      <c r="H530" s="7" t="n">
        <v>0</v>
      </c>
      <c r="I530" s="7" t="n">
        <v>0</v>
      </c>
      <c r="J530" s="7" t="n">
        <v>0.01</v>
      </c>
      <c r="K530" s="9" t="s">
        <v>4</v>
      </c>
      <c r="L530" s="7"/>
      <c r="M530" s="7"/>
      <c r="N530" s="10" t="n">
        <f aca="false">IF(AND(ISNUMBER(F530),ISNUMBER(G530)),ABS(G530-F530),"")</f>
        <v>0</v>
      </c>
      <c r="O530" s="4" t="str">
        <f aca="false">IF(AND(ISNUMBER(N530),ISNUMBER(J530)),IF(N530&lt;=J530,"PASS","FAIL"),"n/a")</f>
        <v>PASS</v>
      </c>
    </row>
    <row r="531" customFormat="false" ht="79.85" hidden="false" customHeight="false" outlineLevel="0" collapsed="false">
      <c r="A531" s="7" t="s">
        <v>1292</v>
      </c>
      <c r="B531" s="7" t="s">
        <v>437</v>
      </c>
      <c r="C531" s="7" t="s">
        <v>1293</v>
      </c>
      <c r="D531" s="7" t="s">
        <v>1271</v>
      </c>
      <c r="E531" s="7" t="s">
        <v>466</v>
      </c>
      <c r="F531" s="7" t="s">
        <v>1294</v>
      </c>
      <c r="G531" s="7" t="s">
        <v>1295</v>
      </c>
      <c r="H531" s="7"/>
      <c r="I531" s="7"/>
      <c r="J531" s="7" t="s">
        <v>389</v>
      </c>
      <c r="K531" s="9" t="s">
        <v>4</v>
      </c>
      <c r="L531" s="7"/>
      <c r="M531" s="7"/>
      <c r="N531" s="10" t="str">
        <f aca="false">IF(AND(ISNUMBER(F531),ISNUMBER(G531)),ABS(G531-F531),"")</f>
        <v/>
      </c>
      <c r="O531" s="4" t="str">
        <f aca="false">IF(AND(ISNUMBER(N531),ISNUMBER(J531)),IF(N531&lt;=J531,"PASS","FAIL"),"n/a")</f>
        <v>n/a</v>
      </c>
    </row>
    <row r="532" customFormat="false" ht="79.85" hidden="false" customHeight="false" outlineLevel="0" collapsed="false">
      <c r="A532" s="7" t="s">
        <v>1296</v>
      </c>
      <c r="B532" s="7" t="s">
        <v>437</v>
      </c>
      <c r="C532" s="7" t="s">
        <v>1297</v>
      </c>
      <c r="D532" s="7" t="s">
        <v>1271</v>
      </c>
      <c r="E532" s="7" t="s">
        <v>466</v>
      </c>
      <c r="F532" s="7" t="s">
        <v>1298</v>
      </c>
      <c r="G532" s="7" t="s">
        <v>1299</v>
      </c>
      <c r="H532" s="7"/>
      <c r="I532" s="7"/>
      <c r="J532" s="7" t="s">
        <v>389</v>
      </c>
      <c r="K532" s="9" t="s">
        <v>4</v>
      </c>
      <c r="L532" s="7"/>
      <c r="M532" s="7"/>
      <c r="N532" s="10" t="str">
        <f aca="false">IF(AND(ISNUMBER(F532),ISNUMBER(G532)),ABS(G532-F532),"")</f>
        <v/>
      </c>
      <c r="O532" s="4" t="str">
        <f aca="false">IF(AND(ISNUMBER(N532),ISNUMBER(J532)),IF(N532&lt;=J532,"PASS","FAIL"),"n/a")</f>
        <v>n/a</v>
      </c>
    </row>
    <row r="533" customFormat="false" ht="79.85" hidden="false" customHeight="false" outlineLevel="0" collapsed="false">
      <c r="A533" s="7" t="s">
        <v>1300</v>
      </c>
      <c r="B533" s="7" t="s">
        <v>437</v>
      </c>
      <c r="C533" s="7" t="s">
        <v>1301</v>
      </c>
      <c r="D533" s="7" t="s">
        <v>1271</v>
      </c>
      <c r="E533" s="7" t="s">
        <v>466</v>
      </c>
      <c r="F533" s="7" t="s">
        <v>1302</v>
      </c>
      <c r="G533" s="7" t="s">
        <v>1303</v>
      </c>
      <c r="H533" s="7"/>
      <c r="I533" s="7"/>
      <c r="J533" s="7" t="s">
        <v>389</v>
      </c>
      <c r="K533" s="9" t="s">
        <v>4</v>
      </c>
      <c r="L533" s="7"/>
      <c r="M533" s="7"/>
      <c r="N533" s="10" t="str">
        <f aca="false">IF(AND(ISNUMBER(F533),ISNUMBER(G533)),ABS(G533-F533),"")</f>
        <v/>
      </c>
      <c r="O533" s="4" t="str">
        <f aca="false">IF(AND(ISNUMBER(N533),ISNUMBER(J533)),IF(N533&lt;=J533,"PASS","FAIL"),"n/a")</f>
        <v>n/a</v>
      </c>
    </row>
    <row r="534" customFormat="false" ht="68.65" hidden="false" customHeight="false" outlineLevel="0" collapsed="false">
      <c r="A534" s="7" t="s">
        <v>1304</v>
      </c>
      <c r="B534" s="7" t="s">
        <v>437</v>
      </c>
      <c r="C534" s="7" t="s">
        <v>1305</v>
      </c>
      <c r="D534" s="7" t="s">
        <v>1271</v>
      </c>
      <c r="E534" s="7" t="s">
        <v>466</v>
      </c>
      <c r="F534" s="7" t="s">
        <v>1306</v>
      </c>
      <c r="G534" s="7" t="s">
        <v>1307</v>
      </c>
      <c r="H534" s="7"/>
      <c r="I534" s="7"/>
      <c r="J534" s="7" t="s">
        <v>389</v>
      </c>
      <c r="K534" s="9" t="s">
        <v>4</v>
      </c>
      <c r="L534" s="7"/>
      <c r="M534" s="7"/>
      <c r="N534" s="10" t="str">
        <f aca="false">IF(AND(ISNUMBER(F534),ISNUMBER(G534)),ABS(G534-F534),"")</f>
        <v/>
      </c>
      <c r="O534" s="4" t="str">
        <f aca="false">IF(AND(ISNUMBER(N534),ISNUMBER(J534)),IF(N534&lt;=J534,"PASS","FAIL"),"n/a")</f>
        <v>n/a</v>
      </c>
    </row>
    <row r="535" customFormat="false" ht="57.45" hidden="false" customHeight="false" outlineLevel="0" collapsed="false">
      <c r="A535" s="7" t="s">
        <v>1308</v>
      </c>
      <c r="B535" s="7" t="s">
        <v>437</v>
      </c>
      <c r="C535" s="7" t="s">
        <v>1309</v>
      </c>
      <c r="D535" s="7" t="s">
        <v>1271</v>
      </c>
      <c r="E535" s="7"/>
      <c r="F535" s="7" t="s">
        <v>1310</v>
      </c>
      <c r="G535" s="7" t="s">
        <v>1310</v>
      </c>
      <c r="H535" s="7"/>
      <c r="I535" s="7"/>
      <c r="J535" s="7"/>
      <c r="K535" s="9" t="s">
        <v>4</v>
      </c>
      <c r="L535" s="7"/>
      <c r="M535" s="7"/>
      <c r="N535" s="10" t="str">
        <f aca="false">IF(AND(ISNUMBER(F535),ISNUMBER(G535)),ABS(G535-F535),"")</f>
        <v/>
      </c>
      <c r="O535" s="4" t="str">
        <f aca="false">IF(AND(ISNUMBER(N535),ISNUMBER(J535)),IF(N535&lt;=J535,"PASS","FAIL"),"n/a")</f>
        <v>n/a</v>
      </c>
    </row>
    <row r="536" customFormat="false" ht="23.85" hidden="false" customHeight="false" outlineLevel="0" collapsed="false">
      <c r="A536" s="7" t="s">
        <v>1311</v>
      </c>
      <c r="B536" s="7" t="s">
        <v>437</v>
      </c>
      <c r="C536" s="7" t="s">
        <v>1312</v>
      </c>
      <c r="D536" s="7" t="s">
        <v>1271</v>
      </c>
      <c r="E536" s="7"/>
      <c r="F536" s="8" t="n">
        <v>44889497</v>
      </c>
      <c r="G536" s="12" t="n">
        <v>44889497</v>
      </c>
      <c r="H536" s="7" t="n">
        <v>0</v>
      </c>
      <c r="I536" s="7" t="n">
        <v>0</v>
      </c>
      <c r="J536" s="7" t="n">
        <v>0.5</v>
      </c>
      <c r="K536" s="9" t="s">
        <v>4</v>
      </c>
      <c r="L536" s="7"/>
      <c r="M536" s="7"/>
      <c r="N536" s="10" t="n">
        <f aca="false">IF(AND(ISNUMBER(F536),ISNUMBER(G536)),ABS(G536-F536),"")</f>
        <v>0</v>
      </c>
      <c r="O536" s="4" t="str">
        <f aca="false">IF(AND(ISNUMBER(N536),ISNUMBER(J536)),IF(N536&lt;=J536,"PASS","FAIL"),"n/a")</f>
        <v>PASS</v>
      </c>
    </row>
    <row r="537" customFormat="false" ht="23.85" hidden="false" customHeight="false" outlineLevel="0" collapsed="false">
      <c r="A537" s="7" t="s">
        <v>1313</v>
      </c>
      <c r="B537" s="7" t="s">
        <v>437</v>
      </c>
      <c r="C537" s="7" t="s">
        <v>1314</v>
      </c>
      <c r="D537" s="7" t="s">
        <v>1271</v>
      </c>
      <c r="E537" s="7"/>
      <c r="F537" s="12" t="n">
        <v>44889496.6254</v>
      </c>
      <c r="G537" s="12" t="n">
        <v>44890000</v>
      </c>
      <c r="H537" s="7" t="n">
        <v>503.37460000068</v>
      </c>
      <c r="I537" s="7" t="n">
        <v>1.12136387761553E-005</v>
      </c>
      <c r="J537" s="7" t="n">
        <v>5000</v>
      </c>
      <c r="K537" s="9" t="s">
        <v>4</v>
      </c>
      <c r="L537" s="7"/>
      <c r="M537" s="7"/>
      <c r="N537" s="10" t="n">
        <f aca="false">IF(AND(ISNUMBER(F537),ISNUMBER(G537)),ABS(G537-F537),"")</f>
        <v>503.37460000068</v>
      </c>
      <c r="O537" s="4" t="str">
        <f aca="false">IF(AND(ISNUMBER(N537),ISNUMBER(J537)),IF(N537&lt;=J537,"PASS","FAIL"),"n/a")</f>
        <v>PASS</v>
      </c>
    </row>
    <row r="538" customFormat="false" ht="23.85" hidden="false" customHeight="false" outlineLevel="0" collapsed="false">
      <c r="A538" s="7" t="s">
        <v>1315</v>
      </c>
      <c r="B538" s="7" t="s">
        <v>437</v>
      </c>
      <c r="C538" s="7" t="s">
        <v>1316</v>
      </c>
      <c r="D538" s="7" t="s">
        <v>1271</v>
      </c>
      <c r="E538" s="7"/>
      <c r="F538" s="12" t="n">
        <v>37564876.7842</v>
      </c>
      <c r="G538" s="12" t="n">
        <v>37560000</v>
      </c>
      <c r="H538" s="7" t="n">
        <v>4876.78419999778</v>
      </c>
      <c r="I538" s="7" t="n">
        <v>0.000129822978736589</v>
      </c>
      <c r="J538" s="7" t="n">
        <v>5000</v>
      </c>
      <c r="K538" s="9" t="s">
        <v>4</v>
      </c>
      <c r="L538" s="7"/>
      <c r="M538" s="7"/>
      <c r="N538" s="10" t="n">
        <f aca="false">IF(AND(ISNUMBER(F538),ISNUMBER(G538)),ABS(G538-F538),"")</f>
        <v>4876.78419999778</v>
      </c>
      <c r="O538" s="4" t="str">
        <f aca="false">IF(AND(ISNUMBER(N538),ISNUMBER(J538)),IF(N538&lt;=J538,"PASS","FAIL"),"n/a")</f>
        <v>PASS</v>
      </c>
    </row>
    <row r="539" customFormat="false" ht="23.85" hidden="false" customHeight="false" outlineLevel="0" collapsed="false">
      <c r="A539" s="7" t="s">
        <v>1317</v>
      </c>
      <c r="B539" s="7" t="s">
        <v>437</v>
      </c>
      <c r="C539" s="7" t="s">
        <v>1318</v>
      </c>
      <c r="D539" s="7" t="s">
        <v>1271</v>
      </c>
      <c r="E539" s="7"/>
      <c r="F539" s="12" t="n">
        <v>7324619.8412</v>
      </c>
      <c r="G539" s="12" t="n">
        <v>7320000</v>
      </c>
      <c r="H539" s="7" t="n">
        <v>4619.84120000154</v>
      </c>
      <c r="I539" s="7" t="n">
        <v>0.000630727778391385</v>
      </c>
      <c r="J539" s="7" t="n">
        <v>5000</v>
      </c>
      <c r="K539" s="9" t="s">
        <v>4</v>
      </c>
      <c r="L539" s="7"/>
      <c r="M539" s="7"/>
      <c r="N539" s="10" t="n">
        <f aca="false">IF(AND(ISNUMBER(F539),ISNUMBER(G539)),ABS(G539-F539),"")</f>
        <v>4619.84120000154</v>
      </c>
      <c r="O539" s="4" t="str">
        <f aca="false">IF(AND(ISNUMBER(N539),ISNUMBER(J539)),IF(N539&lt;=J539,"PASS","FAIL"),"n/a")</f>
        <v>PASS</v>
      </c>
    </row>
    <row r="540" customFormat="false" ht="23.85" hidden="false" customHeight="false" outlineLevel="0" collapsed="false">
      <c r="A540" s="7" t="s">
        <v>1319</v>
      </c>
      <c r="B540" s="7" t="s">
        <v>437</v>
      </c>
      <c r="C540" s="7" t="s">
        <v>1320</v>
      </c>
      <c r="D540" s="7"/>
      <c r="E540" s="7"/>
      <c r="F540" s="8" t="n">
        <v>0</v>
      </c>
      <c r="G540" s="8" t="n">
        <v>0</v>
      </c>
      <c r="H540" s="7" t="n">
        <v>0</v>
      </c>
      <c r="I540" s="7"/>
      <c r="J540" s="7" t="n">
        <v>0</v>
      </c>
      <c r="K540" s="9" t="s">
        <v>4</v>
      </c>
      <c r="L540" s="7"/>
      <c r="M540" s="7"/>
      <c r="N540" s="10" t="n">
        <f aca="false">IF(AND(ISNUMBER(F540),ISNUMBER(G540)),ABS(G540-F540),"")</f>
        <v>0</v>
      </c>
      <c r="O540" s="4" t="str">
        <f aca="false">IF(AND(ISNUMBER(N540),ISNUMBER(J540)),IF(N540&lt;=J540,"PASS","FAIL"),"n/a")</f>
        <v>PASS</v>
      </c>
    </row>
    <row r="541" customFormat="false" ht="23.85" hidden="false" customHeight="false" outlineLevel="0" collapsed="false">
      <c r="A541" s="7" t="s">
        <v>1321</v>
      </c>
      <c r="B541" s="7" t="s">
        <v>437</v>
      </c>
      <c r="C541" s="7" t="s">
        <v>1322</v>
      </c>
      <c r="D541" s="7" t="s">
        <v>1271</v>
      </c>
      <c r="E541" s="7"/>
      <c r="F541" s="8" t="n">
        <v>9003</v>
      </c>
      <c r="G541" s="8" t="n">
        <v>9003</v>
      </c>
      <c r="H541" s="7" t="n">
        <v>0</v>
      </c>
      <c r="I541" s="7" t="n">
        <v>0</v>
      </c>
      <c r="J541" s="7" t="n">
        <v>0</v>
      </c>
      <c r="K541" s="9" t="s">
        <v>4</v>
      </c>
      <c r="L541" s="7"/>
      <c r="M541" s="7"/>
      <c r="N541" s="10" t="n">
        <f aca="false">IF(AND(ISNUMBER(F541),ISNUMBER(G541)),ABS(G541-F541),"")</f>
        <v>0</v>
      </c>
      <c r="O541" s="4" t="str">
        <f aca="false">IF(AND(ISNUMBER(N541),ISNUMBER(J541)),IF(N541&lt;=J541,"PASS","FAIL"),"n/a")</f>
        <v>PASS</v>
      </c>
    </row>
    <row r="542" customFormat="false" ht="23.85" hidden="false" customHeight="false" outlineLevel="0" collapsed="false">
      <c r="A542" s="7" t="s">
        <v>1323</v>
      </c>
      <c r="B542" s="7" t="s">
        <v>437</v>
      </c>
      <c r="C542" s="7" t="s">
        <v>1324</v>
      </c>
      <c r="D542" s="7"/>
      <c r="E542" s="7"/>
      <c r="F542" s="8" t="n">
        <v>0</v>
      </c>
      <c r="G542" s="8" t="n">
        <v>0</v>
      </c>
      <c r="H542" s="7" t="n">
        <v>0</v>
      </c>
      <c r="I542" s="7"/>
      <c r="J542" s="7" t="n">
        <v>0</v>
      </c>
      <c r="K542" s="9" t="s">
        <v>4</v>
      </c>
      <c r="L542" s="7"/>
      <c r="M542" s="7"/>
      <c r="N542" s="10" t="n">
        <f aca="false">IF(AND(ISNUMBER(F542),ISNUMBER(G542)),ABS(G542-F542),"")</f>
        <v>0</v>
      </c>
      <c r="O542" s="4" t="str">
        <f aca="false">IF(AND(ISNUMBER(N542),ISNUMBER(J542)),IF(N542&lt;=J542,"PASS","FAIL"),"n/a")</f>
        <v>PASS</v>
      </c>
    </row>
    <row r="543" customFormat="false" ht="23.85" hidden="false" customHeight="false" outlineLevel="0" collapsed="false">
      <c r="A543" s="7" t="s">
        <v>1325</v>
      </c>
      <c r="B543" s="7" t="s">
        <v>437</v>
      </c>
      <c r="C543" s="7" t="s">
        <v>1326</v>
      </c>
      <c r="D543" s="7"/>
      <c r="E543" s="7"/>
      <c r="F543" s="12" t="n">
        <v>44889496.6254</v>
      </c>
      <c r="G543" s="12" t="n">
        <v>44889496.6254</v>
      </c>
      <c r="H543" s="7" t="n">
        <v>0</v>
      </c>
      <c r="I543" s="7" t="n">
        <v>0</v>
      </c>
      <c r="J543" s="7" t="n">
        <v>0.01</v>
      </c>
      <c r="K543" s="9" t="s">
        <v>4</v>
      </c>
      <c r="L543" s="7"/>
      <c r="M543" s="7"/>
      <c r="N543" s="10" t="n">
        <f aca="false">IF(AND(ISNUMBER(F543),ISNUMBER(G543)),ABS(G543-F543),"")</f>
        <v>0</v>
      </c>
      <c r="O543" s="4" t="str">
        <f aca="false">IF(AND(ISNUMBER(N543),ISNUMBER(J543)),IF(N543&lt;=J543,"PASS","FAIL"),"n/a")</f>
        <v>PASS</v>
      </c>
    </row>
    <row r="544" customFormat="false" ht="23.85" hidden="false" customHeight="false" outlineLevel="0" collapsed="false">
      <c r="A544" s="7" t="s">
        <v>1327</v>
      </c>
      <c r="B544" s="7" t="s">
        <v>437</v>
      </c>
      <c r="C544" s="7" t="s">
        <v>1328</v>
      </c>
      <c r="D544" s="7"/>
      <c r="E544" s="7"/>
      <c r="F544" s="12" t="n">
        <v>20001673.0005</v>
      </c>
      <c r="G544" s="12" t="n">
        <v>20001673.0005</v>
      </c>
      <c r="H544" s="7" t="n">
        <v>0</v>
      </c>
      <c r="I544" s="7" t="n">
        <v>0</v>
      </c>
      <c r="J544" s="7" t="n">
        <v>0.01</v>
      </c>
      <c r="K544" s="9" t="s">
        <v>4</v>
      </c>
      <c r="L544" s="7"/>
      <c r="M544" s="7"/>
      <c r="N544" s="10" t="n">
        <f aca="false">IF(AND(ISNUMBER(F544),ISNUMBER(G544)),ABS(G544-F544),"")</f>
        <v>0</v>
      </c>
      <c r="O544" s="4" t="str">
        <f aca="false">IF(AND(ISNUMBER(N544),ISNUMBER(J544)),IF(N544&lt;=J544,"PASS","FAIL"),"n/a")</f>
        <v>PASS</v>
      </c>
    </row>
    <row r="545" customFormat="false" ht="23.85" hidden="false" customHeight="false" outlineLevel="0" collapsed="false">
      <c r="A545" s="7" t="s">
        <v>1329</v>
      </c>
      <c r="B545" s="7" t="s">
        <v>437</v>
      </c>
      <c r="C545" s="7" t="s">
        <v>1330</v>
      </c>
      <c r="D545" s="7"/>
      <c r="E545" s="7"/>
      <c r="F545" s="12" t="n">
        <v>8313811.9727</v>
      </c>
      <c r="G545" s="12" t="n">
        <v>8313811.9727</v>
      </c>
      <c r="H545" s="7" t="n">
        <v>0</v>
      </c>
      <c r="I545" s="7" t="n">
        <v>0</v>
      </c>
      <c r="J545" s="7" t="n">
        <v>0.01</v>
      </c>
      <c r="K545" s="9" t="s">
        <v>4</v>
      </c>
      <c r="L545" s="7"/>
      <c r="M545" s="7"/>
      <c r="N545" s="10" t="n">
        <f aca="false">IF(AND(ISNUMBER(F545),ISNUMBER(G545)),ABS(G545-F545),"")</f>
        <v>0</v>
      </c>
      <c r="O545" s="4" t="str">
        <f aca="false">IF(AND(ISNUMBER(N545),ISNUMBER(J545)),IF(N545&lt;=J545,"PASS","FAIL"),"n/a")</f>
        <v>PASS</v>
      </c>
    </row>
    <row r="546" customFormat="false" ht="23.85" hidden="false" customHeight="false" outlineLevel="0" collapsed="false">
      <c r="A546" s="7" t="s">
        <v>1331</v>
      </c>
      <c r="B546" s="7" t="s">
        <v>437</v>
      </c>
      <c r="C546" s="7" t="s">
        <v>1332</v>
      </c>
      <c r="D546" s="7"/>
      <c r="E546" s="7"/>
      <c r="F546" s="12" t="n">
        <v>9249391.811</v>
      </c>
      <c r="G546" s="12" t="n">
        <v>9249391.811</v>
      </c>
      <c r="H546" s="7" t="n">
        <v>0</v>
      </c>
      <c r="I546" s="7" t="n">
        <v>0</v>
      </c>
      <c r="J546" s="7" t="n">
        <v>0.01</v>
      </c>
      <c r="K546" s="9" t="s">
        <v>4</v>
      </c>
      <c r="L546" s="7"/>
      <c r="M546" s="7"/>
      <c r="N546" s="10" t="n">
        <f aca="false">IF(AND(ISNUMBER(F546),ISNUMBER(G546)),ABS(G546-F546),"")</f>
        <v>0</v>
      </c>
      <c r="O546" s="4" t="str">
        <f aca="false">IF(AND(ISNUMBER(N546),ISNUMBER(J546)),IF(N546&lt;=J546,"PASS","FAIL"),"n/a")</f>
        <v>PASS</v>
      </c>
    </row>
    <row r="547" customFormat="false" ht="23.85" hidden="false" customHeight="false" outlineLevel="0" collapsed="false">
      <c r="A547" s="7" t="s">
        <v>1333</v>
      </c>
      <c r="B547" s="7" t="s">
        <v>437</v>
      </c>
      <c r="C547" s="7" t="s">
        <v>1334</v>
      </c>
      <c r="D547" s="7" t="s">
        <v>1335</v>
      </c>
      <c r="E547" s="7"/>
      <c r="F547" s="8" t="n">
        <v>354</v>
      </c>
      <c r="G547" s="8" t="n">
        <v>354</v>
      </c>
      <c r="H547" s="7" t="n">
        <v>0</v>
      </c>
      <c r="I547" s="7" t="n">
        <v>0</v>
      </c>
      <c r="J547" s="7" t="n">
        <v>0</v>
      </c>
      <c r="K547" s="9" t="s">
        <v>4</v>
      </c>
      <c r="L547" s="7"/>
      <c r="M547" s="7"/>
      <c r="N547" s="10" t="n">
        <f aca="false">IF(AND(ISNUMBER(F547),ISNUMBER(G547)),ABS(G547-F547),"")</f>
        <v>0</v>
      </c>
      <c r="O547" s="4" t="str">
        <f aca="false">IF(AND(ISNUMBER(N547),ISNUMBER(J547)),IF(N547&lt;=J547,"PASS","FAIL"),"n/a")</f>
        <v>PASS</v>
      </c>
    </row>
    <row r="548" customFormat="false" ht="23.85" hidden="false" customHeight="false" outlineLevel="0" collapsed="false">
      <c r="A548" s="7" t="s">
        <v>1336</v>
      </c>
      <c r="B548" s="7" t="s">
        <v>437</v>
      </c>
      <c r="C548" s="7" t="s">
        <v>1337</v>
      </c>
      <c r="D548" s="7" t="s">
        <v>1335</v>
      </c>
      <c r="E548" s="7"/>
      <c r="F548" s="12" t="n">
        <v>0</v>
      </c>
      <c r="G548" s="8" t="n">
        <v>0</v>
      </c>
      <c r="H548" s="7" t="n">
        <v>0</v>
      </c>
      <c r="I548" s="7"/>
      <c r="J548" s="7" t="n">
        <v>0.01</v>
      </c>
      <c r="K548" s="9" t="s">
        <v>4</v>
      </c>
      <c r="L548" s="7"/>
      <c r="M548" s="7"/>
      <c r="N548" s="10" t="n">
        <f aca="false">IF(AND(ISNUMBER(F548),ISNUMBER(G548)),ABS(G548-F548),"")</f>
        <v>0</v>
      </c>
      <c r="O548" s="4" t="str">
        <f aca="false">IF(AND(ISNUMBER(N548),ISNUMBER(J548)),IF(N548&lt;=J548,"PASS","FAIL"),"n/a")</f>
        <v>PASS</v>
      </c>
    </row>
    <row r="549" customFormat="false" ht="23.85" hidden="false" customHeight="false" outlineLevel="0" collapsed="false">
      <c r="A549" s="7" t="s">
        <v>1338</v>
      </c>
      <c r="B549" s="7" t="s">
        <v>437</v>
      </c>
      <c r="C549" s="7" t="s">
        <v>1339</v>
      </c>
      <c r="D549" s="7" t="s">
        <v>1335</v>
      </c>
      <c r="E549" s="7"/>
      <c r="F549" s="12" t="n">
        <v>0</v>
      </c>
      <c r="G549" s="8" t="n">
        <v>0</v>
      </c>
      <c r="H549" s="7" t="n">
        <v>0</v>
      </c>
      <c r="I549" s="7"/>
      <c r="J549" s="7" t="n">
        <v>0.01</v>
      </c>
      <c r="K549" s="9" t="s">
        <v>4</v>
      </c>
      <c r="L549" s="7"/>
      <c r="M549" s="7"/>
      <c r="N549" s="10" t="n">
        <f aca="false">IF(AND(ISNUMBER(F549),ISNUMBER(G549)),ABS(G549-F549),"")</f>
        <v>0</v>
      </c>
      <c r="O549" s="4" t="str">
        <f aca="false">IF(AND(ISNUMBER(N549),ISNUMBER(J549)),IF(N549&lt;=J549,"PASS","FAIL"),"n/a")</f>
        <v>PASS</v>
      </c>
    </row>
    <row r="550" customFormat="false" ht="23.85" hidden="false" customHeight="false" outlineLevel="0" collapsed="false">
      <c r="A550" s="7" t="s">
        <v>1340</v>
      </c>
      <c r="B550" s="7" t="s">
        <v>437</v>
      </c>
      <c r="C550" s="7" t="s">
        <v>1341</v>
      </c>
      <c r="D550" s="7" t="s">
        <v>1335</v>
      </c>
      <c r="E550" s="7"/>
      <c r="F550" s="12" t="n">
        <v>0</v>
      </c>
      <c r="G550" s="8" t="n">
        <v>0</v>
      </c>
      <c r="H550" s="7" t="n">
        <v>0</v>
      </c>
      <c r="I550" s="7"/>
      <c r="J550" s="7" t="n">
        <v>0.01</v>
      </c>
      <c r="K550" s="9" t="s">
        <v>4</v>
      </c>
      <c r="L550" s="7"/>
      <c r="M550" s="7"/>
      <c r="N550" s="10" t="n">
        <f aca="false">IF(AND(ISNUMBER(F550),ISNUMBER(G550)),ABS(G550-F550),"")</f>
        <v>0</v>
      </c>
      <c r="O550" s="4" t="str">
        <f aca="false">IF(AND(ISNUMBER(N550),ISNUMBER(J550)),IF(N550&lt;=J550,"PASS","FAIL"),"n/a")</f>
        <v>PASS</v>
      </c>
    </row>
    <row r="551" customFormat="false" ht="23.85" hidden="false" customHeight="false" outlineLevel="0" collapsed="false">
      <c r="A551" s="7" t="s">
        <v>1342</v>
      </c>
      <c r="B551" s="7" t="s">
        <v>437</v>
      </c>
      <c r="C551" s="7" t="s">
        <v>1343</v>
      </c>
      <c r="D551" s="7" t="s">
        <v>1335</v>
      </c>
      <c r="E551" s="7"/>
      <c r="F551" s="12" t="n">
        <v>0</v>
      </c>
      <c r="G551" s="8" t="n">
        <v>0</v>
      </c>
      <c r="H551" s="7" t="n">
        <v>0</v>
      </c>
      <c r="I551" s="7"/>
      <c r="J551" s="7" t="n">
        <v>0.01</v>
      </c>
      <c r="K551" s="9" t="s">
        <v>4</v>
      </c>
      <c r="L551" s="7"/>
      <c r="M551" s="7"/>
      <c r="N551" s="10" t="n">
        <f aca="false">IF(AND(ISNUMBER(F551),ISNUMBER(G551)),ABS(G551-F551),"")</f>
        <v>0</v>
      </c>
      <c r="O551" s="4" t="str">
        <f aca="false">IF(AND(ISNUMBER(N551),ISNUMBER(J551)),IF(N551&lt;=J551,"PASS","FAIL"),"n/a")</f>
        <v>PASS</v>
      </c>
    </row>
    <row r="552" customFormat="false" ht="23.85" hidden="false" customHeight="false" outlineLevel="0" collapsed="false">
      <c r="A552" s="7" t="s">
        <v>1344</v>
      </c>
      <c r="B552" s="7" t="s">
        <v>437</v>
      </c>
      <c r="C552" s="7" t="s">
        <v>1345</v>
      </c>
      <c r="D552" s="7" t="s">
        <v>1335</v>
      </c>
      <c r="E552" s="7"/>
      <c r="F552" s="12" t="n">
        <v>0</v>
      </c>
      <c r="G552" s="8" t="n">
        <v>0</v>
      </c>
      <c r="H552" s="7" t="n">
        <v>0</v>
      </c>
      <c r="I552" s="7"/>
      <c r="J552" s="7" t="n">
        <v>0.01</v>
      </c>
      <c r="K552" s="9" t="s">
        <v>4</v>
      </c>
      <c r="L552" s="7"/>
      <c r="M552" s="7"/>
      <c r="N552" s="10" t="n">
        <f aca="false">IF(AND(ISNUMBER(F552),ISNUMBER(G552)),ABS(G552-F552),"")</f>
        <v>0</v>
      </c>
      <c r="O552" s="4" t="str">
        <f aca="false">IF(AND(ISNUMBER(N552),ISNUMBER(J552)),IF(N552&lt;=J552,"PASS","FAIL"),"n/a")</f>
        <v>PASS</v>
      </c>
    </row>
    <row r="553" customFormat="false" ht="23.85" hidden="false" customHeight="false" outlineLevel="0" collapsed="false">
      <c r="A553" s="7" t="s">
        <v>1346</v>
      </c>
      <c r="B553" s="7" t="s">
        <v>437</v>
      </c>
      <c r="C553" s="7" t="s">
        <v>1347</v>
      </c>
      <c r="D553" s="7" t="s">
        <v>1335</v>
      </c>
      <c r="E553" s="7"/>
      <c r="F553" s="12" t="n">
        <v>0</v>
      </c>
      <c r="G553" s="8" t="n">
        <v>0</v>
      </c>
      <c r="H553" s="7" t="n">
        <v>0</v>
      </c>
      <c r="I553" s="7"/>
      <c r="J553" s="7" t="n">
        <v>0.01</v>
      </c>
      <c r="K553" s="9" t="s">
        <v>4</v>
      </c>
      <c r="L553" s="7"/>
      <c r="M553" s="7"/>
      <c r="N553" s="10" t="n">
        <f aca="false">IF(AND(ISNUMBER(F553),ISNUMBER(G553)),ABS(G553-F553),"")</f>
        <v>0</v>
      </c>
      <c r="O553" s="4" t="str">
        <f aca="false">IF(AND(ISNUMBER(N553),ISNUMBER(J553)),IF(N553&lt;=J553,"PASS","FAIL"),"n/a")</f>
        <v>PASS</v>
      </c>
    </row>
    <row r="554" customFormat="false" ht="23.85" hidden="false" customHeight="false" outlineLevel="0" collapsed="false">
      <c r="A554" s="7" t="s">
        <v>1348</v>
      </c>
      <c r="B554" s="7" t="s">
        <v>437</v>
      </c>
      <c r="C554" s="7" t="s">
        <v>1349</v>
      </c>
      <c r="D554" s="7" t="s">
        <v>1335</v>
      </c>
      <c r="E554" s="7"/>
      <c r="F554" s="12" t="n">
        <v>0</v>
      </c>
      <c r="G554" s="8" t="n">
        <v>0</v>
      </c>
      <c r="H554" s="7" t="n">
        <v>0</v>
      </c>
      <c r="I554" s="7"/>
      <c r="J554" s="7" t="n">
        <v>0.01</v>
      </c>
      <c r="K554" s="9" t="s">
        <v>4</v>
      </c>
      <c r="L554" s="7"/>
      <c r="M554" s="7"/>
      <c r="N554" s="10" t="n">
        <f aca="false">IF(AND(ISNUMBER(F554),ISNUMBER(G554)),ABS(G554-F554),"")</f>
        <v>0</v>
      </c>
      <c r="O554" s="4" t="str">
        <f aca="false">IF(AND(ISNUMBER(N554),ISNUMBER(J554)),IF(N554&lt;=J554,"PASS","FAIL"),"n/a")</f>
        <v>PASS</v>
      </c>
    </row>
    <row r="555" customFormat="false" ht="23.85" hidden="false" customHeight="false" outlineLevel="0" collapsed="false">
      <c r="A555" s="7" t="s">
        <v>1350</v>
      </c>
      <c r="B555" s="7" t="s">
        <v>437</v>
      </c>
      <c r="C555" s="7" t="s">
        <v>1351</v>
      </c>
      <c r="D555" s="7" t="s">
        <v>1335</v>
      </c>
      <c r="E555" s="7"/>
      <c r="F555" s="12" t="n">
        <v>0</v>
      </c>
      <c r="G555" s="8" t="n">
        <v>0</v>
      </c>
      <c r="H555" s="7" t="n">
        <v>0</v>
      </c>
      <c r="I555" s="7"/>
      <c r="J555" s="7" t="n">
        <v>0.01</v>
      </c>
      <c r="K555" s="9" t="s">
        <v>4</v>
      </c>
      <c r="L555" s="7"/>
      <c r="M555" s="7"/>
      <c r="N555" s="10" t="n">
        <f aca="false">IF(AND(ISNUMBER(F555),ISNUMBER(G555)),ABS(G555-F555),"")</f>
        <v>0</v>
      </c>
      <c r="O555" s="4" t="str">
        <f aca="false">IF(AND(ISNUMBER(N555),ISNUMBER(J555)),IF(N555&lt;=J555,"PASS","FAIL"),"n/a")</f>
        <v>PASS</v>
      </c>
    </row>
    <row r="556" customFormat="false" ht="23.85" hidden="false" customHeight="false" outlineLevel="0" collapsed="false">
      <c r="A556" s="7" t="s">
        <v>1352</v>
      </c>
      <c r="B556" s="7" t="s">
        <v>437</v>
      </c>
      <c r="C556" s="7" t="s">
        <v>1353</v>
      </c>
      <c r="D556" s="7" t="s">
        <v>1335</v>
      </c>
      <c r="E556" s="7"/>
      <c r="F556" s="12" t="n">
        <v>-5057.7784</v>
      </c>
      <c r="G556" s="12" t="n">
        <v>-5057.7784</v>
      </c>
      <c r="H556" s="7" t="n">
        <v>1.81898940354586E-012</v>
      </c>
      <c r="I556" s="7" t="n">
        <v>3.59641973152848E-016</v>
      </c>
      <c r="J556" s="7" t="n">
        <v>0.01</v>
      </c>
      <c r="K556" s="9" t="s">
        <v>4</v>
      </c>
      <c r="L556" s="7"/>
      <c r="M556" s="7"/>
      <c r="N556" s="10" t="n">
        <f aca="false">IF(AND(ISNUMBER(F556),ISNUMBER(G556)),ABS(G556-F556),"")</f>
        <v>0</v>
      </c>
      <c r="O556" s="4" t="str">
        <f aca="false">IF(AND(ISNUMBER(N556),ISNUMBER(J556)),IF(N556&lt;=J556,"PASS","FAIL"),"n/a")</f>
        <v>PASS</v>
      </c>
    </row>
    <row r="557" customFormat="false" ht="23.85" hidden="false" customHeight="false" outlineLevel="0" collapsed="false">
      <c r="A557" s="7" t="s">
        <v>1354</v>
      </c>
      <c r="B557" s="7" t="s">
        <v>437</v>
      </c>
      <c r="C557" s="7" t="s">
        <v>1355</v>
      </c>
      <c r="D557" s="7" t="s">
        <v>1335</v>
      </c>
      <c r="E557" s="7"/>
      <c r="F557" s="12" t="n">
        <v>0</v>
      </c>
      <c r="G557" s="8" t="n">
        <v>0</v>
      </c>
      <c r="H557" s="7" t="n">
        <v>0</v>
      </c>
      <c r="I557" s="7"/>
      <c r="J557" s="7" t="n">
        <v>0.01</v>
      </c>
      <c r="K557" s="9" t="s">
        <v>4</v>
      </c>
      <c r="L557" s="7"/>
      <c r="M557" s="7"/>
      <c r="N557" s="10" t="n">
        <f aca="false">IF(AND(ISNUMBER(F557),ISNUMBER(G557)),ABS(G557-F557),"")</f>
        <v>0</v>
      </c>
      <c r="O557" s="4" t="str">
        <f aca="false">IF(AND(ISNUMBER(N557),ISNUMBER(J557)),IF(N557&lt;=J557,"PASS","FAIL"),"n/a")</f>
        <v>PASS</v>
      </c>
    </row>
    <row r="558" customFormat="false" ht="46.25" hidden="false" customHeight="false" outlineLevel="0" collapsed="false">
      <c r="A558" s="7" t="s">
        <v>1356</v>
      </c>
      <c r="B558" s="7" t="s">
        <v>437</v>
      </c>
      <c r="C558" s="7" t="s">
        <v>1357</v>
      </c>
      <c r="D558" s="7" t="s">
        <v>1335</v>
      </c>
      <c r="E558" s="7" t="s">
        <v>466</v>
      </c>
      <c r="F558" s="7" t="s">
        <v>800</v>
      </c>
      <c r="G558" s="7" t="s">
        <v>801</v>
      </c>
      <c r="H558" s="7"/>
      <c r="I558" s="7"/>
      <c r="J558" s="7" t="s">
        <v>389</v>
      </c>
      <c r="K558" s="9" t="s">
        <v>4</v>
      </c>
      <c r="L558" s="7"/>
      <c r="M558" s="7"/>
      <c r="N558" s="10" t="str">
        <f aca="false">IF(AND(ISNUMBER(F558),ISNUMBER(G558)),ABS(G558-F558),"")</f>
        <v/>
      </c>
      <c r="O558" s="4" t="str">
        <f aca="false">IF(AND(ISNUMBER(N558),ISNUMBER(J558)),IF(N558&lt;=J558,"PASS","FAIL"),"n/a")</f>
        <v>n/a</v>
      </c>
    </row>
    <row r="559" customFormat="false" ht="46.25" hidden="false" customHeight="false" outlineLevel="0" collapsed="false">
      <c r="A559" s="7" t="s">
        <v>1358</v>
      </c>
      <c r="B559" s="7" t="s">
        <v>437</v>
      </c>
      <c r="C559" s="7" t="s">
        <v>1359</v>
      </c>
      <c r="D559" s="7" t="s">
        <v>1335</v>
      </c>
      <c r="E559" s="7" t="s">
        <v>466</v>
      </c>
      <c r="F559" s="7" t="s">
        <v>800</v>
      </c>
      <c r="G559" s="7" t="s">
        <v>801</v>
      </c>
      <c r="H559" s="7"/>
      <c r="I559" s="7"/>
      <c r="J559" s="7" t="s">
        <v>389</v>
      </c>
      <c r="K559" s="9" t="s">
        <v>4</v>
      </c>
      <c r="L559" s="7"/>
      <c r="M559" s="7"/>
      <c r="N559" s="10" t="str">
        <f aca="false">IF(AND(ISNUMBER(F559),ISNUMBER(G559)),ABS(G559-F559),"")</f>
        <v/>
      </c>
      <c r="O559" s="4" t="str">
        <f aca="false">IF(AND(ISNUMBER(N559),ISNUMBER(J559)),IF(N559&lt;=J559,"PASS","FAIL"),"n/a")</f>
        <v>n/a</v>
      </c>
    </row>
    <row r="560" customFormat="false" ht="46.25" hidden="false" customHeight="false" outlineLevel="0" collapsed="false">
      <c r="A560" s="7" t="s">
        <v>1360</v>
      </c>
      <c r="B560" s="7" t="s">
        <v>437</v>
      </c>
      <c r="C560" s="7" t="s">
        <v>1361</v>
      </c>
      <c r="D560" s="7" t="s">
        <v>1335</v>
      </c>
      <c r="E560" s="7" t="s">
        <v>466</v>
      </c>
      <c r="F560" s="7" t="s">
        <v>800</v>
      </c>
      <c r="G560" s="7" t="s">
        <v>801</v>
      </c>
      <c r="H560" s="7"/>
      <c r="I560" s="7"/>
      <c r="J560" s="7" t="s">
        <v>389</v>
      </c>
      <c r="K560" s="9" t="s">
        <v>4</v>
      </c>
      <c r="L560" s="7"/>
      <c r="M560" s="7"/>
      <c r="N560" s="10" t="str">
        <f aca="false">IF(AND(ISNUMBER(F560),ISNUMBER(G560)),ABS(G560-F560),"")</f>
        <v/>
      </c>
      <c r="O560" s="4" t="str">
        <f aca="false">IF(AND(ISNUMBER(N560),ISNUMBER(J560)),IF(N560&lt;=J560,"PASS","FAIL"),"n/a")</f>
        <v>n/a</v>
      </c>
    </row>
    <row r="561" customFormat="false" ht="46.25" hidden="false" customHeight="false" outlineLevel="0" collapsed="false">
      <c r="A561" s="7" t="s">
        <v>1362</v>
      </c>
      <c r="B561" s="7" t="s">
        <v>437</v>
      </c>
      <c r="C561" s="7" t="s">
        <v>1363</v>
      </c>
      <c r="D561" s="7" t="s">
        <v>1335</v>
      </c>
      <c r="E561" s="7" t="s">
        <v>466</v>
      </c>
      <c r="F561" s="7" t="s">
        <v>800</v>
      </c>
      <c r="G561" s="7" t="s">
        <v>801</v>
      </c>
      <c r="H561" s="7"/>
      <c r="I561" s="7"/>
      <c r="J561" s="7" t="s">
        <v>389</v>
      </c>
      <c r="K561" s="9" t="s">
        <v>4</v>
      </c>
      <c r="L561" s="7"/>
      <c r="M561" s="7"/>
      <c r="N561" s="10" t="str">
        <f aca="false">IF(AND(ISNUMBER(F561),ISNUMBER(G561)),ABS(G561-F561),"")</f>
        <v/>
      </c>
      <c r="O561" s="4" t="str">
        <f aca="false">IF(AND(ISNUMBER(N561),ISNUMBER(J561)),IF(N561&lt;=J561,"PASS","FAIL"),"n/a")</f>
        <v>n/a</v>
      </c>
    </row>
    <row r="562" customFormat="false" ht="57.45" hidden="false" customHeight="false" outlineLevel="0" collapsed="false">
      <c r="A562" s="7" t="s">
        <v>1364</v>
      </c>
      <c r="B562" s="7" t="s">
        <v>437</v>
      </c>
      <c r="C562" s="7" t="s">
        <v>1365</v>
      </c>
      <c r="D562" s="7" t="s">
        <v>1335</v>
      </c>
      <c r="E562" s="7"/>
      <c r="F562" s="7" t="s">
        <v>1366</v>
      </c>
      <c r="G562" s="7" t="s">
        <v>1366</v>
      </c>
      <c r="H562" s="7"/>
      <c r="I562" s="7"/>
      <c r="J562" s="7"/>
      <c r="K562" s="9" t="s">
        <v>4</v>
      </c>
      <c r="L562" s="7"/>
      <c r="M562" s="7"/>
      <c r="N562" s="10" t="str">
        <f aca="false">IF(AND(ISNUMBER(F562),ISNUMBER(G562)),ABS(G562-F562),"")</f>
        <v/>
      </c>
      <c r="O562" s="4" t="str">
        <f aca="false">IF(AND(ISNUMBER(N562),ISNUMBER(J562)),IF(N562&lt;=J562,"PASS","FAIL"),"n/a")</f>
        <v>n/a</v>
      </c>
    </row>
    <row r="563" customFormat="false" ht="23.85" hidden="false" customHeight="false" outlineLevel="0" collapsed="false">
      <c r="A563" s="7" t="s">
        <v>1367</v>
      </c>
      <c r="B563" s="7" t="s">
        <v>437</v>
      </c>
      <c r="C563" s="7" t="s">
        <v>1368</v>
      </c>
      <c r="D563" s="7" t="s">
        <v>1335</v>
      </c>
      <c r="E563" s="7"/>
      <c r="F563" s="8" t="n">
        <v>0</v>
      </c>
      <c r="G563" s="12" t="n">
        <v>0</v>
      </c>
      <c r="H563" s="7" t="n">
        <v>0</v>
      </c>
      <c r="I563" s="7"/>
      <c r="J563" s="7" t="n">
        <v>0.5</v>
      </c>
      <c r="K563" s="9" t="s">
        <v>4</v>
      </c>
      <c r="L563" s="7"/>
      <c r="M563" s="7"/>
      <c r="N563" s="10" t="n">
        <f aca="false">IF(AND(ISNUMBER(F563),ISNUMBER(G563)),ABS(G563-F563),"")</f>
        <v>0</v>
      </c>
      <c r="O563" s="4" t="str">
        <f aca="false">IF(AND(ISNUMBER(N563),ISNUMBER(J563)),IF(N563&lt;=J563,"PASS","FAIL"),"n/a")</f>
        <v>PASS</v>
      </c>
    </row>
    <row r="564" customFormat="false" ht="23.85" hidden="false" customHeight="false" outlineLevel="0" collapsed="false">
      <c r="A564" s="7" t="s">
        <v>1369</v>
      </c>
      <c r="B564" s="7" t="s">
        <v>437</v>
      </c>
      <c r="C564" s="7" t="s">
        <v>1370</v>
      </c>
      <c r="D564" s="7" t="s">
        <v>1335</v>
      </c>
      <c r="E564" s="7"/>
      <c r="F564" s="12" t="n">
        <v>0</v>
      </c>
      <c r="G564" s="12" t="n">
        <v>0</v>
      </c>
      <c r="H564" s="7" t="n">
        <v>0</v>
      </c>
      <c r="I564" s="7"/>
      <c r="J564" s="7" t="n">
        <v>0.5</v>
      </c>
      <c r="K564" s="9" t="s">
        <v>4</v>
      </c>
      <c r="L564" s="7"/>
      <c r="M564" s="7"/>
      <c r="N564" s="10" t="n">
        <f aca="false">IF(AND(ISNUMBER(F564),ISNUMBER(G564)),ABS(G564-F564),"")</f>
        <v>0</v>
      </c>
      <c r="O564" s="4" t="str">
        <f aca="false">IF(AND(ISNUMBER(N564),ISNUMBER(J564)),IF(N564&lt;=J564,"PASS","FAIL"),"n/a")</f>
        <v>PASS</v>
      </c>
    </row>
    <row r="565" customFormat="false" ht="23.85" hidden="false" customHeight="false" outlineLevel="0" collapsed="false">
      <c r="A565" s="7" t="s">
        <v>1371</v>
      </c>
      <c r="B565" s="7" t="s">
        <v>437</v>
      </c>
      <c r="C565" s="7" t="s">
        <v>1372</v>
      </c>
      <c r="D565" s="7" t="s">
        <v>1335</v>
      </c>
      <c r="E565" s="7"/>
      <c r="F565" s="12" t="n">
        <v>0</v>
      </c>
      <c r="G565" s="12" t="n">
        <v>0</v>
      </c>
      <c r="H565" s="7" t="n">
        <v>0</v>
      </c>
      <c r="I565" s="7"/>
      <c r="J565" s="7" t="n">
        <v>0.5</v>
      </c>
      <c r="K565" s="9" t="s">
        <v>4</v>
      </c>
      <c r="L565" s="7"/>
      <c r="M565" s="7"/>
      <c r="N565" s="10" t="n">
        <f aca="false">IF(AND(ISNUMBER(F565),ISNUMBER(G565)),ABS(G565-F565),"")</f>
        <v>0</v>
      </c>
      <c r="O565" s="4" t="str">
        <f aca="false">IF(AND(ISNUMBER(N565),ISNUMBER(J565)),IF(N565&lt;=J565,"PASS","FAIL"),"n/a")</f>
        <v>PASS</v>
      </c>
    </row>
    <row r="566" customFormat="false" ht="23.85" hidden="false" customHeight="false" outlineLevel="0" collapsed="false">
      <c r="A566" s="7" t="s">
        <v>1373</v>
      </c>
      <c r="B566" s="7" t="s">
        <v>437</v>
      </c>
      <c r="C566" s="7" t="s">
        <v>1374</v>
      </c>
      <c r="D566" s="7" t="s">
        <v>1335</v>
      </c>
      <c r="E566" s="7"/>
      <c r="F566" s="12" t="n">
        <v>0</v>
      </c>
      <c r="G566" s="12" t="n">
        <v>0</v>
      </c>
      <c r="H566" s="7" t="n">
        <v>0</v>
      </c>
      <c r="I566" s="7"/>
      <c r="J566" s="7" t="n">
        <v>0.5</v>
      </c>
      <c r="K566" s="9" t="s">
        <v>4</v>
      </c>
      <c r="L566" s="7"/>
      <c r="M566" s="7"/>
      <c r="N566" s="10" t="n">
        <f aca="false">IF(AND(ISNUMBER(F566),ISNUMBER(G566)),ABS(G566-F566),"")</f>
        <v>0</v>
      </c>
      <c r="O566" s="4" t="str">
        <f aca="false">IF(AND(ISNUMBER(N566),ISNUMBER(J566)),IF(N566&lt;=J566,"PASS","FAIL"),"n/a")</f>
        <v>PASS</v>
      </c>
    </row>
    <row r="567" customFormat="false" ht="23.85" hidden="false" customHeight="false" outlineLevel="0" collapsed="false">
      <c r="A567" s="7" t="s">
        <v>1375</v>
      </c>
      <c r="B567" s="7" t="s">
        <v>437</v>
      </c>
      <c r="C567" s="7" t="s">
        <v>1376</v>
      </c>
      <c r="D567" s="7"/>
      <c r="E567" s="7"/>
      <c r="F567" s="8" t="n">
        <v>0</v>
      </c>
      <c r="G567" s="8" t="n">
        <v>0</v>
      </c>
      <c r="H567" s="7" t="n">
        <v>0</v>
      </c>
      <c r="I567" s="7"/>
      <c r="J567" s="7" t="n">
        <v>0</v>
      </c>
      <c r="K567" s="9" t="s">
        <v>4</v>
      </c>
      <c r="L567" s="7"/>
      <c r="M567" s="7"/>
      <c r="N567" s="10" t="n">
        <f aca="false">IF(AND(ISNUMBER(F567),ISNUMBER(G567)),ABS(G567-F567),"")</f>
        <v>0</v>
      </c>
      <c r="O567" s="4" t="str">
        <f aca="false">IF(AND(ISNUMBER(N567),ISNUMBER(J567)),IF(N567&lt;=J567,"PASS","FAIL"),"n/a")</f>
        <v>PASS</v>
      </c>
    </row>
    <row r="568" customFormat="false" ht="23.85" hidden="false" customHeight="false" outlineLevel="0" collapsed="false">
      <c r="A568" s="7" t="s">
        <v>1377</v>
      </c>
      <c r="B568" s="7" t="s">
        <v>437</v>
      </c>
      <c r="C568" s="7" t="s">
        <v>1378</v>
      </c>
      <c r="D568" s="7" t="s">
        <v>1335</v>
      </c>
      <c r="E568" s="7"/>
      <c r="F568" s="8" t="n">
        <v>354</v>
      </c>
      <c r="G568" s="8" t="n">
        <v>354</v>
      </c>
      <c r="H568" s="7" t="n">
        <v>0</v>
      </c>
      <c r="I568" s="7" t="n">
        <v>0</v>
      </c>
      <c r="J568" s="7" t="n">
        <v>0</v>
      </c>
      <c r="K568" s="9" t="s">
        <v>4</v>
      </c>
      <c r="L568" s="7"/>
      <c r="M568" s="7"/>
      <c r="N568" s="10" t="n">
        <f aca="false">IF(AND(ISNUMBER(F568),ISNUMBER(G568)),ABS(G568-F568),"")</f>
        <v>0</v>
      </c>
      <c r="O568" s="4" t="str">
        <f aca="false">IF(AND(ISNUMBER(N568),ISNUMBER(J568)),IF(N568&lt;=J568,"PASS","FAIL"),"n/a")</f>
        <v>PASS</v>
      </c>
    </row>
    <row r="569" customFormat="false" ht="23.85" hidden="false" customHeight="false" outlineLevel="0" collapsed="false">
      <c r="A569" s="7" t="s">
        <v>1379</v>
      </c>
      <c r="B569" s="7" t="s">
        <v>437</v>
      </c>
      <c r="C569" s="7" t="s">
        <v>1380</v>
      </c>
      <c r="D569" s="7"/>
      <c r="E569" s="7"/>
      <c r="F569" s="8" t="n">
        <v>0</v>
      </c>
      <c r="G569" s="8" t="n">
        <v>0</v>
      </c>
      <c r="H569" s="7" t="n">
        <v>0</v>
      </c>
      <c r="I569" s="7"/>
      <c r="J569" s="7" t="n">
        <v>0</v>
      </c>
      <c r="K569" s="9" t="s">
        <v>4</v>
      </c>
      <c r="L569" s="7"/>
      <c r="M569" s="7"/>
      <c r="N569" s="10" t="n">
        <f aca="false">IF(AND(ISNUMBER(F569),ISNUMBER(G569)),ABS(G569-F569),"")</f>
        <v>0</v>
      </c>
      <c r="O569" s="4" t="str">
        <f aca="false">IF(AND(ISNUMBER(N569),ISNUMBER(J569)),IF(N569&lt;=J569,"PASS","FAIL"),"n/a")</f>
        <v>PASS</v>
      </c>
    </row>
    <row r="570" customFormat="false" ht="23.85" hidden="false" customHeight="false" outlineLevel="0" collapsed="false">
      <c r="A570" s="7" t="s">
        <v>1381</v>
      </c>
      <c r="B570" s="7" t="s">
        <v>437</v>
      </c>
      <c r="C570" s="7" t="s">
        <v>1382</v>
      </c>
      <c r="D570" s="7"/>
      <c r="E570" s="7"/>
      <c r="F570" s="12" t="n">
        <v>0</v>
      </c>
      <c r="G570" s="12" t="n">
        <v>0</v>
      </c>
      <c r="H570" s="7" t="n">
        <v>0</v>
      </c>
      <c r="I570" s="7"/>
      <c r="J570" s="7" t="n">
        <v>0.01</v>
      </c>
      <c r="K570" s="9" t="s">
        <v>4</v>
      </c>
      <c r="L570" s="7"/>
      <c r="M570" s="7"/>
      <c r="N570" s="10" t="n">
        <f aca="false">IF(AND(ISNUMBER(F570),ISNUMBER(G570)),ABS(G570-F570),"")</f>
        <v>0</v>
      </c>
      <c r="O570" s="4" t="str">
        <f aca="false">IF(AND(ISNUMBER(N570),ISNUMBER(J570)),IF(N570&lt;=J570,"PASS","FAIL"),"n/a")</f>
        <v>PASS</v>
      </c>
    </row>
    <row r="571" customFormat="false" ht="23.85" hidden="false" customHeight="false" outlineLevel="0" collapsed="false">
      <c r="A571" s="7" t="s">
        <v>1383</v>
      </c>
      <c r="B571" s="7" t="s">
        <v>437</v>
      </c>
      <c r="C571" s="7" t="s">
        <v>1384</v>
      </c>
      <c r="D571" s="7"/>
      <c r="E571" s="7"/>
      <c r="F571" s="12" t="n">
        <v>0</v>
      </c>
      <c r="G571" s="12" t="n">
        <v>0</v>
      </c>
      <c r="H571" s="7" t="n">
        <v>0</v>
      </c>
      <c r="I571" s="7"/>
      <c r="J571" s="7" t="n">
        <v>0.01</v>
      </c>
      <c r="K571" s="9" t="s">
        <v>4</v>
      </c>
      <c r="L571" s="7"/>
      <c r="M571" s="7"/>
      <c r="N571" s="10" t="n">
        <f aca="false">IF(AND(ISNUMBER(F571),ISNUMBER(G571)),ABS(G571-F571),"")</f>
        <v>0</v>
      </c>
      <c r="O571" s="4" t="str">
        <f aca="false">IF(AND(ISNUMBER(N571),ISNUMBER(J571)),IF(N571&lt;=J571,"PASS","FAIL"),"n/a")</f>
        <v>PASS</v>
      </c>
    </row>
    <row r="572" customFormat="false" ht="23.85" hidden="false" customHeight="false" outlineLevel="0" collapsed="false">
      <c r="A572" s="7" t="s">
        <v>1385</v>
      </c>
      <c r="B572" s="7" t="s">
        <v>437</v>
      </c>
      <c r="C572" s="7" t="s">
        <v>1386</v>
      </c>
      <c r="D572" s="7"/>
      <c r="E572" s="7"/>
      <c r="F572" s="12" t="n">
        <v>0</v>
      </c>
      <c r="G572" s="12" t="n">
        <v>0</v>
      </c>
      <c r="H572" s="7" t="n">
        <v>0</v>
      </c>
      <c r="I572" s="7"/>
      <c r="J572" s="7" t="n">
        <v>0.01</v>
      </c>
      <c r="K572" s="9" t="s">
        <v>4</v>
      </c>
      <c r="L572" s="7"/>
      <c r="M572" s="7"/>
      <c r="N572" s="10" t="n">
        <f aca="false">IF(AND(ISNUMBER(F572),ISNUMBER(G572)),ABS(G572-F572),"")</f>
        <v>0</v>
      </c>
      <c r="O572" s="4" t="str">
        <f aca="false">IF(AND(ISNUMBER(N572),ISNUMBER(J572)),IF(N572&lt;=J572,"PASS","FAIL"),"n/a")</f>
        <v>PASS</v>
      </c>
    </row>
    <row r="573" customFormat="false" ht="23.85" hidden="false" customHeight="false" outlineLevel="0" collapsed="false">
      <c r="A573" s="7" t="s">
        <v>1387</v>
      </c>
      <c r="B573" s="7" t="s">
        <v>437</v>
      </c>
      <c r="C573" s="7" t="s">
        <v>1388</v>
      </c>
      <c r="D573" s="7"/>
      <c r="E573" s="7"/>
      <c r="F573" s="12" t="n">
        <v>0</v>
      </c>
      <c r="G573" s="12" t="n">
        <v>0</v>
      </c>
      <c r="H573" s="7" t="n">
        <v>0</v>
      </c>
      <c r="I573" s="7"/>
      <c r="J573" s="7" t="n">
        <v>0.01</v>
      </c>
      <c r="K573" s="9" t="s">
        <v>4</v>
      </c>
      <c r="L573" s="7"/>
      <c r="M573" s="7"/>
      <c r="N573" s="10" t="n">
        <f aca="false">IF(AND(ISNUMBER(F573),ISNUMBER(G573)),ABS(G573-F573),"")</f>
        <v>0</v>
      </c>
      <c r="O573" s="4" t="str">
        <f aca="false">IF(AND(ISNUMBER(N573),ISNUMBER(J573)),IF(N573&lt;=J573,"PASS","FAIL"),"n/a")</f>
        <v>PASS</v>
      </c>
    </row>
    <row r="574" customFormat="false" ht="23.85" hidden="false" customHeight="false" outlineLevel="0" collapsed="false">
      <c r="A574" s="7" t="s">
        <v>1389</v>
      </c>
      <c r="B574" s="7" t="s">
        <v>437</v>
      </c>
      <c r="C574" s="7" t="s">
        <v>1390</v>
      </c>
      <c r="D574" s="7" t="s">
        <v>1391</v>
      </c>
      <c r="E574" s="7"/>
      <c r="F574" s="8" t="n">
        <v>0</v>
      </c>
      <c r="G574" s="8" t="n">
        <v>0</v>
      </c>
      <c r="H574" s="7" t="n">
        <v>0</v>
      </c>
      <c r="I574" s="7"/>
      <c r="J574" s="7" t="n">
        <v>0</v>
      </c>
      <c r="K574" s="9" t="s">
        <v>4</v>
      </c>
      <c r="L574" s="7"/>
      <c r="M574" s="7"/>
      <c r="N574" s="10" t="n">
        <f aca="false">IF(AND(ISNUMBER(F574),ISNUMBER(G574)),ABS(G574-F574),"")</f>
        <v>0</v>
      </c>
      <c r="O574" s="4" t="str">
        <f aca="false">IF(AND(ISNUMBER(N574),ISNUMBER(J574)),IF(N574&lt;=J574,"PASS","FAIL"),"n/a")</f>
        <v>PASS</v>
      </c>
    </row>
    <row r="575" customFormat="false" ht="23.85" hidden="false" customHeight="false" outlineLevel="0" collapsed="false">
      <c r="A575" s="7" t="s">
        <v>1392</v>
      </c>
      <c r="B575" s="7" t="s">
        <v>437</v>
      </c>
      <c r="C575" s="7" t="s">
        <v>1393</v>
      </c>
      <c r="D575" s="7" t="s">
        <v>1391</v>
      </c>
      <c r="E575" s="7"/>
      <c r="F575" s="12" t="n">
        <v>0</v>
      </c>
      <c r="G575" s="8" t="n">
        <v>0</v>
      </c>
      <c r="H575" s="7" t="n">
        <v>0</v>
      </c>
      <c r="I575" s="7"/>
      <c r="J575" s="7" t="n">
        <v>0.01</v>
      </c>
      <c r="K575" s="9" t="s">
        <v>4</v>
      </c>
      <c r="L575" s="7"/>
      <c r="M575" s="7"/>
      <c r="N575" s="10" t="n">
        <f aca="false">IF(AND(ISNUMBER(F575),ISNUMBER(G575)),ABS(G575-F575),"")</f>
        <v>0</v>
      </c>
      <c r="O575" s="4" t="str">
        <f aca="false">IF(AND(ISNUMBER(N575),ISNUMBER(J575)),IF(N575&lt;=J575,"PASS","FAIL"),"n/a")</f>
        <v>PASS</v>
      </c>
    </row>
    <row r="576" customFormat="false" ht="23.85" hidden="false" customHeight="false" outlineLevel="0" collapsed="false">
      <c r="A576" s="7" t="s">
        <v>1394</v>
      </c>
      <c r="B576" s="7" t="s">
        <v>437</v>
      </c>
      <c r="C576" s="7" t="s">
        <v>1395</v>
      </c>
      <c r="D576" s="7" t="s">
        <v>1391</v>
      </c>
      <c r="E576" s="7"/>
      <c r="F576" s="12" t="n">
        <v>0</v>
      </c>
      <c r="G576" s="8" t="n">
        <v>0</v>
      </c>
      <c r="H576" s="7" t="n">
        <v>0</v>
      </c>
      <c r="I576" s="7"/>
      <c r="J576" s="7" t="n">
        <v>0.01</v>
      </c>
      <c r="K576" s="9" t="s">
        <v>4</v>
      </c>
      <c r="L576" s="7"/>
      <c r="M576" s="7"/>
      <c r="N576" s="10" t="n">
        <f aca="false">IF(AND(ISNUMBER(F576),ISNUMBER(G576)),ABS(G576-F576),"")</f>
        <v>0</v>
      </c>
      <c r="O576" s="4" t="str">
        <f aca="false">IF(AND(ISNUMBER(N576),ISNUMBER(J576)),IF(N576&lt;=J576,"PASS","FAIL"),"n/a")</f>
        <v>PASS</v>
      </c>
    </row>
    <row r="577" customFormat="false" ht="23.85" hidden="false" customHeight="false" outlineLevel="0" collapsed="false">
      <c r="A577" s="7" t="s">
        <v>1396</v>
      </c>
      <c r="B577" s="7" t="s">
        <v>437</v>
      </c>
      <c r="C577" s="7" t="s">
        <v>1397</v>
      </c>
      <c r="D577" s="7" t="s">
        <v>1391</v>
      </c>
      <c r="E577" s="7"/>
      <c r="F577" s="12" t="n">
        <v>0</v>
      </c>
      <c r="G577" s="8" t="n">
        <v>0</v>
      </c>
      <c r="H577" s="7" t="n">
        <v>0</v>
      </c>
      <c r="I577" s="7"/>
      <c r="J577" s="7" t="n">
        <v>0.01</v>
      </c>
      <c r="K577" s="9" t="s">
        <v>4</v>
      </c>
      <c r="L577" s="7"/>
      <c r="M577" s="7"/>
      <c r="N577" s="10" t="n">
        <f aca="false">IF(AND(ISNUMBER(F577),ISNUMBER(G577)),ABS(G577-F577),"")</f>
        <v>0</v>
      </c>
      <c r="O577" s="4" t="str">
        <f aca="false">IF(AND(ISNUMBER(N577),ISNUMBER(J577)),IF(N577&lt;=J577,"PASS","FAIL"),"n/a")</f>
        <v>PASS</v>
      </c>
    </row>
    <row r="578" customFormat="false" ht="23.85" hidden="false" customHeight="false" outlineLevel="0" collapsed="false">
      <c r="A578" s="7" t="s">
        <v>1398</v>
      </c>
      <c r="B578" s="7" t="s">
        <v>437</v>
      </c>
      <c r="C578" s="7" t="s">
        <v>1399</v>
      </c>
      <c r="D578" s="7" t="s">
        <v>1391</v>
      </c>
      <c r="E578" s="7"/>
      <c r="F578" s="12" t="n">
        <v>0</v>
      </c>
      <c r="G578" s="8" t="n">
        <v>0</v>
      </c>
      <c r="H578" s="7" t="n">
        <v>0</v>
      </c>
      <c r="I578" s="7"/>
      <c r="J578" s="7" t="n">
        <v>0.01</v>
      </c>
      <c r="K578" s="9" t="s">
        <v>4</v>
      </c>
      <c r="L578" s="7"/>
      <c r="M578" s="7"/>
      <c r="N578" s="10" t="n">
        <f aca="false">IF(AND(ISNUMBER(F578),ISNUMBER(G578)),ABS(G578-F578),"")</f>
        <v>0</v>
      </c>
      <c r="O578" s="4" t="str">
        <f aca="false">IF(AND(ISNUMBER(N578),ISNUMBER(J578)),IF(N578&lt;=J578,"PASS","FAIL"),"n/a")</f>
        <v>PASS</v>
      </c>
    </row>
    <row r="579" customFormat="false" ht="23.85" hidden="false" customHeight="false" outlineLevel="0" collapsed="false">
      <c r="A579" s="7" t="s">
        <v>1400</v>
      </c>
      <c r="B579" s="7" t="s">
        <v>437</v>
      </c>
      <c r="C579" s="7" t="s">
        <v>1401</v>
      </c>
      <c r="D579" s="7" t="s">
        <v>1391</v>
      </c>
      <c r="E579" s="7"/>
      <c r="F579" s="12" t="n">
        <v>0</v>
      </c>
      <c r="G579" s="8" t="n">
        <v>0</v>
      </c>
      <c r="H579" s="7" t="n">
        <v>0</v>
      </c>
      <c r="I579" s="7"/>
      <c r="J579" s="7" t="n">
        <v>0.01</v>
      </c>
      <c r="K579" s="9" t="s">
        <v>4</v>
      </c>
      <c r="L579" s="7"/>
      <c r="M579" s="7"/>
      <c r="N579" s="10" t="n">
        <f aca="false">IF(AND(ISNUMBER(F579),ISNUMBER(G579)),ABS(G579-F579),"")</f>
        <v>0</v>
      </c>
      <c r="O579" s="4" t="str">
        <f aca="false">IF(AND(ISNUMBER(N579),ISNUMBER(J579)),IF(N579&lt;=J579,"PASS","FAIL"),"n/a")</f>
        <v>PASS</v>
      </c>
    </row>
    <row r="580" customFormat="false" ht="23.85" hidden="false" customHeight="false" outlineLevel="0" collapsed="false">
      <c r="A580" s="7" t="s">
        <v>1402</v>
      </c>
      <c r="B580" s="7" t="s">
        <v>437</v>
      </c>
      <c r="C580" s="7" t="s">
        <v>1403</v>
      </c>
      <c r="D580" s="7" t="s">
        <v>1391</v>
      </c>
      <c r="E580" s="7"/>
      <c r="F580" s="12" t="n">
        <v>0</v>
      </c>
      <c r="G580" s="8" t="n">
        <v>0</v>
      </c>
      <c r="H580" s="7" t="n">
        <v>0</v>
      </c>
      <c r="I580" s="7"/>
      <c r="J580" s="7" t="n">
        <v>0.01</v>
      </c>
      <c r="K580" s="9" t="s">
        <v>4</v>
      </c>
      <c r="L580" s="7"/>
      <c r="M580" s="7"/>
      <c r="N580" s="10" t="n">
        <f aca="false">IF(AND(ISNUMBER(F580),ISNUMBER(G580)),ABS(G580-F580),"")</f>
        <v>0</v>
      </c>
      <c r="O580" s="4" t="str">
        <f aca="false">IF(AND(ISNUMBER(N580),ISNUMBER(J580)),IF(N580&lt;=J580,"PASS","FAIL"),"n/a")</f>
        <v>PASS</v>
      </c>
    </row>
    <row r="581" customFormat="false" ht="23.85" hidden="false" customHeight="false" outlineLevel="0" collapsed="false">
      <c r="A581" s="7" t="s">
        <v>1404</v>
      </c>
      <c r="B581" s="7" t="s">
        <v>437</v>
      </c>
      <c r="C581" s="7" t="s">
        <v>1405</v>
      </c>
      <c r="D581" s="7" t="s">
        <v>1391</v>
      </c>
      <c r="E581" s="7"/>
      <c r="F581" s="12" t="n">
        <v>0</v>
      </c>
      <c r="G581" s="8" t="n">
        <v>0</v>
      </c>
      <c r="H581" s="7" t="n">
        <v>0</v>
      </c>
      <c r="I581" s="7"/>
      <c r="J581" s="7" t="n">
        <v>0.01</v>
      </c>
      <c r="K581" s="9" t="s">
        <v>4</v>
      </c>
      <c r="L581" s="7"/>
      <c r="M581" s="7"/>
      <c r="N581" s="10" t="n">
        <f aca="false">IF(AND(ISNUMBER(F581),ISNUMBER(G581)),ABS(G581-F581),"")</f>
        <v>0</v>
      </c>
      <c r="O581" s="4" t="str">
        <f aca="false">IF(AND(ISNUMBER(N581),ISNUMBER(J581)),IF(N581&lt;=J581,"PASS","FAIL"),"n/a")</f>
        <v>PASS</v>
      </c>
    </row>
    <row r="582" customFormat="false" ht="23.85" hidden="false" customHeight="false" outlineLevel="0" collapsed="false">
      <c r="A582" s="7" t="s">
        <v>1406</v>
      </c>
      <c r="B582" s="7" t="s">
        <v>437</v>
      </c>
      <c r="C582" s="7" t="s">
        <v>1407</v>
      </c>
      <c r="D582" s="7" t="s">
        <v>1391</v>
      </c>
      <c r="E582" s="7"/>
      <c r="F582" s="12" t="n">
        <v>0</v>
      </c>
      <c r="G582" s="8" t="n">
        <v>0</v>
      </c>
      <c r="H582" s="7" t="n">
        <v>0</v>
      </c>
      <c r="I582" s="7"/>
      <c r="J582" s="7" t="n">
        <v>0.01</v>
      </c>
      <c r="K582" s="9" t="s">
        <v>4</v>
      </c>
      <c r="L582" s="7"/>
      <c r="M582" s="7"/>
      <c r="N582" s="10" t="n">
        <f aca="false">IF(AND(ISNUMBER(F582),ISNUMBER(G582)),ABS(G582-F582),"")</f>
        <v>0</v>
      </c>
      <c r="O582" s="4" t="str">
        <f aca="false">IF(AND(ISNUMBER(N582),ISNUMBER(J582)),IF(N582&lt;=J582,"PASS","FAIL"),"n/a")</f>
        <v>PASS</v>
      </c>
    </row>
    <row r="583" customFormat="false" ht="23.85" hidden="false" customHeight="false" outlineLevel="0" collapsed="false">
      <c r="A583" s="7" t="s">
        <v>1408</v>
      </c>
      <c r="B583" s="7" t="s">
        <v>437</v>
      </c>
      <c r="C583" s="7" t="s">
        <v>1409</v>
      </c>
      <c r="D583" s="7" t="s">
        <v>1391</v>
      </c>
      <c r="E583" s="7"/>
      <c r="F583" s="12" t="n">
        <v>0</v>
      </c>
      <c r="G583" s="8" t="n">
        <v>0</v>
      </c>
      <c r="H583" s="7" t="n">
        <v>0</v>
      </c>
      <c r="I583" s="7"/>
      <c r="J583" s="7" t="n">
        <v>0.01</v>
      </c>
      <c r="K583" s="9" t="s">
        <v>4</v>
      </c>
      <c r="L583" s="7"/>
      <c r="M583" s="7"/>
      <c r="N583" s="10" t="n">
        <f aca="false">IF(AND(ISNUMBER(F583),ISNUMBER(G583)),ABS(G583-F583),"")</f>
        <v>0</v>
      </c>
      <c r="O583" s="4" t="str">
        <f aca="false">IF(AND(ISNUMBER(N583),ISNUMBER(J583)),IF(N583&lt;=J583,"PASS","FAIL"),"n/a")</f>
        <v>PASS</v>
      </c>
    </row>
    <row r="584" customFormat="false" ht="23.85" hidden="false" customHeight="false" outlineLevel="0" collapsed="false">
      <c r="A584" s="7" t="s">
        <v>1410</v>
      </c>
      <c r="B584" s="7" t="s">
        <v>437</v>
      </c>
      <c r="C584" s="7" t="s">
        <v>1411</v>
      </c>
      <c r="D584" s="7" t="s">
        <v>1391</v>
      </c>
      <c r="E584" s="7"/>
      <c r="F584" s="12" t="n">
        <v>0</v>
      </c>
      <c r="G584" s="8" t="n">
        <v>0</v>
      </c>
      <c r="H584" s="7" t="n">
        <v>0</v>
      </c>
      <c r="I584" s="7"/>
      <c r="J584" s="7" t="n">
        <v>0.01</v>
      </c>
      <c r="K584" s="9" t="s">
        <v>4</v>
      </c>
      <c r="L584" s="7"/>
      <c r="M584" s="7"/>
      <c r="N584" s="10" t="n">
        <f aca="false">IF(AND(ISNUMBER(F584),ISNUMBER(G584)),ABS(G584-F584),"")</f>
        <v>0</v>
      </c>
      <c r="O584" s="4" t="str">
        <f aca="false">IF(AND(ISNUMBER(N584),ISNUMBER(J584)),IF(N584&lt;=J584,"PASS","FAIL"),"n/a")</f>
        <v>PASS</v>
      </c>
    </row>
    <row r="585" customFormat="false" ht="46.25" hidden="false" customHeight="false" outlineLevel="0" collapsed="false">
      <c r="A585" s="7" t="s">
        <v>1412</v>
      </c>
      <c r="B585" s="7" t="s">
        <v>437</v>
      </c>
      <c r="C585" s="7" t="s">
        <v>1413</v>
      </c>
      <c r="D585" s="7" t="s">
        <v>1391</v>
      </c>
      <c r="E585" s="7" t="s">
        <v>466</v>
      </c>
      <c r="F585" s="7" t="s">
        <v>800</v>
      </c>
      <c r="G585" s="7" t="s">
        <v>801</v>
      </c>
      <c r="H585" s="7"/>
      <c r="I585" s="7"/>
      <c r="J585" s="7" t="s">
        <v>389</v>
      </c>
      <c r="K585" s="9" t="s">
        <v>4</v>
      </c>
      <c r="L585" s="7"/>
      <c r="M585" s="7"/>
      <c r="N585" s="10" t="str">
        <f aca="false">IF(AND(ISNUMBER(F585),ISNUMBER(G585)),ABS(G585-F585),"")</f>
        <v/>
      </c>
      <c r="O585" s="4" t="str">
        <f aca="false">IF(AND(ISNUMBER(N585),ISNUMBER(J585)),IF(N585&lt;=J585,"PASS","FAIL"),"n/a")</f>
        <v>n/a</v>
      </c>
    </row>
    <row r="586" customFormat="false" ht="46.25" hidden="false" customHeight="false" outlineLevel="0" collapsed="false">
      <c r="A586" s="7" t="s">
        <v>1414</v>
      </c>
      <c r="B586" s="7" t="s">
        <v>437</v>
      </c>
      <c r="C586" s="7" t="s">
        <v>1415</v>
      </c>
      <c r="D586" s="7" t="s">
        <v>1391</v>
      </c>
      <c r="E586" s="7" t="s">
        <v>466</v>
      </c>
      <c r="F586" s="7" t="s">
        <v>800</v>
      </c>
      <c r="G586" s="7" t="s">
        <v>801</v>
      </c>
      <c r="H586" s="7"/>
      <c r="I586" s="7"/>
      <c r="J586" s="7" t="s">
        <v>389</v>
      </c>
      <c r="K586" s="9" t="s">
        <v>4</v>
      </c>
      <c r="L586" s="7"/>
      <c r="M586" s="7"/>
      <c r="N586" s="10" t="str">
        <f aca="false">IF(AND(ISNUMBER(F586),ISNUMBER(G586)),ABS(G586-F586),"")</f>
        <v/>
      </c>
      <c r="O586" s="4" t="str">
        <f aca="false">IF(AND(ISNUMBER(N586),ISNUMBER(J586)),IF(N586&lt;=J586,"PASS","FAIL"),"n/a")</f>
        <v>n/a</v>
      </c>
    </row>
    <row r="587" customFormat="false" ht="46.25" hidden="false" customHeight="false" outlineLevel="0" collapsed="false">
      <c r="A587" s="7" t="s">
        <v>1416</v>
      </c>
      <c r="B587" s="7" t="s">
        <v>437</v>
      </c>
      <c r="C587" s="7" t="s">
        <v>1417</v>
      </c>
      <c r="D587" s="7" t="s">
        <v>1391</v>
      </c>
      <c r="E587" s="7" t="s">
        <v>466</v>
      </c>
      <c r="F587" s="7" t="s">
        <v>800</v>
      </c>
      <c r="G587" s="7" t="s">
        <v>801</v>
      </c>
      <c r="H587" s="7"/>
      <c r="I587" s="7"/>
      <c r="J587" s="7" t="s">
        <v>389</v>
      </c>
      <c r="K587" s="9" t="s">
        <v>4</v>
      </c>
      <c r="L587" s="7"/>
      <c r="M587" s="7"/>
      <c r="N587" s="10" t="str">
        <f aca="false">IF(AND(ISNUMBER(F587),ISNUMBER(G587)),ABS(G587-F587),"")</f>
        <v/>
      </c>
      <c r="O587" s="4" t="str">
        <f aca="false">IF(AND(ISNUMBER(N587),ISNUMBER(J587)),IF(N587&lt;=J587,"PASS","FAIL"),"n/a")</f>
        <v>n/a</v>
      </c>
    </row>
    <row r="588" customFormat="false" ht="46.25" hidden="false" customHeight="false" outlineLevel="0" collapsed="false">
      <c r="A588" s="7" t="s">
        <v>1418</v>
      </c>
      <c r="B588" s="7" t="s">
        <v>437</v>
      </c>
      <c r="C588" s="7" t="s">
        <v>1419</v>
      </c>
      <c r="D588" s="7" t="s">
        <v>1391</v>
      </c>
      <c r="E588" s="7" t="s">
        <v>466</v>
      </c>
      <c r="F588" s="7" t="s">
        <v>800</v>
      </c>
      <c r="G588" s="7" t="s">
        <v>801</v>
      </c>
      <c r="H588" s="7"/>
      <c r="I588" s="7"/>
      <c r="J588" s="7" t="s">
        <v>389</v>
      </c>
      <c r="K588" s="9" t="s">
        <v>4</v>
      </c>
      <c r="L588" s="7"/>
      <c r="M588" s="7"/>
      <c r="N588" s="10" t="str">
        <f aca="false">IF(AND(ISNUMBER(F588),ISNUMBER(G588)),ABS(G588-F588),"")</f>
        <v/>
      </c>
      <c r="O588" s="4" t="str">
        <f aca="false">IF(AND(ISNUMBER(N588),ISNUMBER(J588)),IF(N588&lt;=J588,"PASS","FAIL"),"n/a")</f>
        <v>n/a</v>
      </c>
    </row>
    <row r="589" customFormat="false" ht="57.45" hidden="false" customHeight="false" outlineLevel="0" collapsed="false">
      <c r="A589" s="7" t="s">
        <v>1420</v>
      </c>
      <c r="B589" s="7" t="s">
        <v>437</v>
      </c>
      <c r="C589" s="7" t="s">
        <v>1421</v>
      </c>
      <c r="D589" s="7" t="s">
        <v>1391</v>
      </c>
      <c r="E589" s="7"/>
      <c r="F589" s="7" t="s">
        <v>1422</v>
      </c>
      <c r="G589" s="7" t="s">
        <v>1422</v>
      </c>
      <c r="H589" s="7"/>
      <c r="I589" s="7"/>
      <c r="J589" s="7"/>
      <c r="K589" s="9" t="s">
        <v>4</v>
      </c>
      <c r="L589" s="7"/>
      <c r="M589" s="7"/>
      <c r="N589" s="10" t="str">
        <f aca="false">IF(AND(ISNUMBER(F589),ISNUMBER(G589)),ABS(G589-F589),"")</f>
        <v/>
      </c>
      <c r="O589" s="4" t="str">
        <f aca="false">IF(AND(ISNUMBER(N589),ISNUMBER(J589)),IF(N589&lt;=J589,"PASS","FAIL"),"n/a")</f>
        <v>n/a</v>
      </c>
    </row>
    <row r="590" customFormat="false" ht="23.85" hidden="false" customHeight="false" outlineLevel="0" collapsed="false">
      <c r="A590" s="7" t="s">
        <v>1423</v>
      </c>
      <c r="B590" s="7" t="s">
        <v>437</v>
      </c>
      <c r="C590" s="7" t="s">
        <v>1424</v>
      </c>
      <c r="D590" s="7" t="s">
        <v>1391</v>
      </c>
      <c r="E590" s="7"/>
      <c r="F590" s="8" t="n">
        <v>1</v>
      </c>
      <c r="G590" s="8" t="n">
        <v>1</v>
      </c>
      <c r="H590" s="7" t="n">
        <v>0</v>
      </c>
      <c r="I590" s="7" t="n">
        <v>0</v>
      </c>
      <c r="J590" s="7" t="n">
        <v>0</v>
      </c>
      <c r="K590" s="9" t="s">
        <v>4</v>
      </c>
      <c r="L590" s="7"/>
      <c r="M590" s="7"/>
      <c r="N590" s="10" t="n">
        <f aca="false">IF(AND(ISNUMBER(F590),ISNUMBER(G590)),ABS(G590-F590),"")</f>
        <v>0</v>
      </c>
      <c r="O590" s="4" t="str">
        <f aca="false">IF(AND(ISNUMBER(N590),ISNUMBER(J590)),IF(N590&lt;=J590,"PASS","FAIL"),"n/a")</f>
        <v>PASS</v>
      </c>
    </row>
    <row r="591" customFormat="false" ht="23.85" hidden="false" customHeight="false" outlineLevel="0" collapsed="false">
      <c r="A591" s="7" t="s">
        <v>1425</v>
      </c>
      <c r="B591" s="7" t="s">
        <v>437</v>
      </c>
      <c r="C591" s="7" t="s">
        <v>1426</v>
      </c>
      <c r="D591" s="7"/>
      <c r="E591" s="7"/>
      <c r="F591" s="8" t="n">
        <v>0</v>
      </c>
      <c r="G591" s="8" t="n">
        <v>0</v>
      </c>
      <c r="H591" s="7" t="n">
        <v>0</v>
      </c>
      <c r="I591" s="7"/>
      <c r="J591" s="7" t="n">
        <v>0</v>
      </c>
      <c r="K591" s="9" t="s">
        <v>4</v>
      </c>
      <c r="L591" s="7"/>
      <c r="M591" s="7"/>
      <c r="N591" s="10" t="n">
        <f aca="false">IF(AND(ISNUMBER(F591),ISNUMBER(G591)),ABS(G591-F591),"")</f>
        <v>0</v>
      </c>
      <c r="O591" s="4" t="str">
        <f aca="false">IF(AND(ISNUMBER(N591),ISNUMBER(J591)),IF(N591&lt;=J591,"PASS","FAIL"),"n/a")</f>
        <v>PASS</v>
      </c>
    </row>
    <row r="592" customFormat="false" ht="23.85" hidden="false" customHeight="false" outlineLevel="0" collapsed="false">
      <c r="A592" s="7" t="s">
        <v>1427</v>
      </c>
      <c r="B592" s="7" t="s">
        <v>437</v>
      </c>
      <c r="C592" s="7" t="s">
        <v>1428</v>
      </c>
      <c r="D592" s="7" t="s">
        <v>1429</v>
      </c>
      <c r="E592" s="7"/>
      <c r="F592" s="8" t="n">
        <v>58340</v>
      </c>
      <c r="G592" s="8" t="n">
        <v>58340</v>
      </c>
      <c r="H592" s="7" t="n">
        <v>0</v>
      </c>
      <c r="I592" s="7" t="n">
        <v>0</v>
      </c>
      <c r="J592" s="7" t="n">
        <v>0</v>
      </c>
      <c r="K592" s="9" t="s">
        <v>4</v>
      </c>
      <c r="L592" s="7"/>
      <c r="M592" s="7"/>
      <c r="N592" s="10" t="n">
        <f aca="false">IF(AND(ISNUMBER(F592),ISNUMBER(G592)),ABS(G592-F592),"")</f>
        <v>0</v>
      </c>
      <c r="O592" s="4" t="str">
        <f aca="false">IF(AND(ISNUMBER(N592),ISNUMBER(J592)),IF(N592&lt;=J592,"PASS","FAIL"),"n/a")</f>
        <v>PASS</v>
      </c>
    </row>
    <row r="593" customFormat="false" ht="23.85" hidden="false" customHeight="false" outlineLevel="0" collapsed="false">
      <c r="A593" s="7" t="s">
        <v>1430</v>
      </c>
      <c r="B593" s="7" t="s">
        <v>437</v>
      </c>
      <c r="C593" s="7" t="s">
        <v>1431</v>
      </c>
      <c r="D593" s="7" t="s">
        <v>1429</v>
      </c>
      <c r="E593" s="7"/>
      <c r="F593" s="12" t="n">
        <v>202649002.1522</v>
      </c>
      <c r="G593" s="12" t="n">
        <v>202649002.152202</v>
      </c>
      <c r="H593" s="7" t="n">
        <v>1.57952308654785E-006</v>
      </c>
      <c r="I593" s="7" t="n">
        <v>7.79437880163628E-015</v>
      </c>
      <c r="J593" s="7" t="n">
        <v>0.01</v>
      </c>
      <c r="K593" s="9" t="s">
        <v>4</v>
      </c>
      <c r="L593" s="7"/>
      <c r="M593" s="7"/>
      <c r="N593" s="10" t="n">
        <f aca="false">IF(AND(ISNUMBER(F593),ISNUMBER(G593)),ABS(G593-F593),"")</f>
        <v>1.57952308654785E-006</v>
      </c>
      <c r="O593" s="4" t="str">
        <f aca="false">IF(AND(ISNUMBER(N593),ISNUMBER(J593)),IF(N593&lt;=J593,"PASS","FAIL"),"n/a")</f>
        <v>PASS</v>
      </c>
    </row>
    <row r="594" customFormat="false" ht="23.85" hidden="false" customHeight="false" outlineLevel="0" collapsed="false">
      <c r="A594" s="7" t="s">
        <v>1432</v>
      </c>
      <c r="B594" s="7" t="s">
        <v>437</v>
      </c>
      <c r="C594" s="7" t="s">
        <v>1433</v>
      </c>
      <c r="D594" s="7" t="s">
        <v>1429</v>
      </c>
      <c r="E594" s="7"/>
      <c r="F594" s="12" t="n">
        <v>176329755.9877</v>
      </c>
      <c r="G594" s="12" t="n">
        <v>176329755.9877</v>
      </c>
      <c r="H594" s="7" t="n">
        <v>1.49011611938477E-007</v>
      </c>
      <c r="I594" s="7" t="n">
        <v>8.45073544755946E-016</v>
      </c>
      <c r="J594" s="7" t="n">
        <v>0.01</v>
      </c>
      <c r="K594" s="9" t="s">
        <v>4</v>
      </c>
      <c r="L594" s="7"/>
      <c r="M594" s="7"/>
      <c r="N594" s="10" t="n">
        <f aca="false">IF(AND(ISNUMBER(F594),ISNUMBER(G594)),ABS(G594-F594),"")</f>
        <v>0</v>
      </c>
      <c r="O594" s="4" t="str">
        <f aca="false">IF(AND(ISNUMBER(N594),ISNUMBER(J594)),IF(N594&lt;=J594,"PASS","FAIL"),"n/a")</f>
        <v>PASS</v>
      </c>
    </row>
    <row r="595" customFormat="false" ht="23.85" hidden="false" customHeight="false" outlineLevel="0" collapsed="false">
      <c r="A595" s="7" t="s">
        <v>1434</v>
      </c>
      <c r="B595" s="7" t="s">
        <v>437</v>
      </c>
      <c r="C595" s="7" t="s">
        <v>1435</v>
      </c>
      <c r="D595" s="7" t="s">
        <v>1429</v>
      </c>
      <c r="E595" s="7"/>
      <c r="F595" s="12" t="n">
        <v>26319246.1645</v>
      </c>
      <c r="G595" s="12" t="n">
        <v>26319246.1645014</v>
      </c>
      <c r="H595" s="7" t="n">
        <v>1.43051147460938E-006</v>
      </c>
      <c r="I595" s="7" t="n">
        <v>5.43522966299423E-014</v>
      </c>
      <c r="J595" s="7" t="n">
        <v>0.01</v>
      </c>
      <c r="K595" s="9" t="s">
        <v>4</v>
      </c>
      <c r="L595" s="7"/>
      <c r="M595" s="7"/>
      <c r="N595" s="10" t="n">
        <f aca="false">IF(AND(ISNUMBER(F595),ISNUMBER(G595)),ABS(G595-F595),"")</f>
        <v>1.42678618431091E-006</v>
      </c>
      <c r="O595" s="4" t="str">
        <f aca="false">IF(AND(ISNUMBER(N595),ISNUMBER(J595)),IF(N595&lt;=J595,"PASS","FAIL"),"n/a")</f>
        <v>PASS</v>
      </c>
    </row>
    <row r="596" customFormat="false" ht="23.85" hidden="false" customHeight="false" outlineLevel="0" collapsed="false">
      <c r="A596" s="7" t="s">
        <v>1436</v>
      </c>
      <c r="B596" s="7" t="s">
        <v>437</v>
      </c>
      <c r="C596" s="7" t="s">
        <v>1437</v>
      </c>
      <c r="D596" s="7" t="s">
        <v>1429</v>
      </c>
      <c r="E596" s="7"/>
      <c r="F596" s="12" t="n">
        <v>202649002.1522</v>
      </c>
      <c r="G596" s="12" t="n">
        <v>202649002.152202</v>
      </c>
      <c r="H596" s="7" t="n">
        <v>1.57952308654785E-006</v>
      </c>
      <c r="I596" s="7" t="n">
        <v>7.79437880163628E-015</v>
      </c>
      <c r="J596" s="7" t="n">
        <v>0.01</v>
      </c>
      <c r="K596" s="9" t="s">
        <v>4</v>
      </c>
      <c r="L596" s="7"/>
      <c r="M596" s="7"/>
      <c r="N596" s="10" t="n">
        <f aca="false">IF(AND(ISNUMBER(F596),ISNUMBER(G596)),ABS(G596-F596),"")</f>
        <v>1.57952308654785E-006</v>
      </c>
      <c r="O596" s="4" t="str">
        <f aca="false">IF(AND(ISNUMBER(N596),ISNUMBER(J596)),IF(N596&lt;=J596,"PASS","FAIL"),"n/a")</f>
        <v>PASS</v>
      </c>
    </row>
    <row r="597" customFormat="false" ht="23.85" hidden="false" customHeight="false" outlineLevel="0" collapsed="false">
      <c r="A597" s="7" t="s">
        <v>1438</v>
      </c>
      <c r="B597" s="7" t="s">
        <v>437</v>
      </c>
      <c r="C597" s="7" t="s">
        <v>1439</v>
      </c>
      <c r="D597" s="7" t="s">
        <v>1429</v>
      </c>
      <c r="E597" s="7"/>
      <c r="F597" s="12" t="n">
        <v>92808017.9022</v>
      </c>
      <c r="G597" s="12" t="n">
        <v>92808017.9021998</v>
      </c>
      <c r="H597" s="7" t="n">
        <v>2.08616256713867E-007</v>
      </c>
      <c r="I597" s="7" t="n">
        <v>2.24782579597492E-015</v>
      </c>
      <c r="J597" s="7" t="n">
        <v>0.01</v>
      </c>
      <c r="K597" s="9" t="s">
        <v>4</v>
      </c>
      <c r="L597" s="7"/>
      <c r="M597" s="7"/>
      <c r="N597" s="10" t="n">
        <f aca="false">IF(AND(ISNUMBER(F597),ISNUMBER(G597)),ABS(G597-F597),"")</f>
        <v>0</v>
      </c>
      <c r="O597" s="4" t="str">
        <f aca="false">IF(AND(ISNUMBER(N597),ISNUMBER(J597)),IF(N597&lt;=J597,"PASS","FAIL"),"n/a")</f>
        <v>PASS</v>
      </c>
    </row>
    <row r="598" customFormat="false" ht="23.85" hidden="false" customHeight="false" outlineLevel="0" collapsed="false">
      <c r="A598" s="7" t="s">
        <v>1440</v>
      </c>
      <c r="B598" s="7" t="s">
        <v>437</v>
      </c>
      <c r="C598" s="7" t="s">
        <v>1441</v>
      </c>
      <c r="D598" s="7" t="s">
        <v>1429</v>
      </c>
      <c r="E598" s="7"/>
      <c r="F598" s="12" t="n">
        <v>39708939.3079</v>
      </c>
      <c r="G598" s="12" t="n">
        <v>39708939.3079002</v>
      </c>
      <c r="H598" s="7" t="n">
        <v>1.63912773132324E-007</v>
      </c>
      <c r="I598" s="7" t="n">
        <v>4.12785574203726E-015</v>
      </c>
      <c r="J598" s="7" t="n">
        <v>0.01</v>
      </c>
      <c r="K598" s="9" t="s">
        <v>4</v>
      </c>
      <c r="L598" s="7"/>
      <c r="M598" s="7"/>
      <c r="N598" s="10" t="n">
        <f aca="false">IF(AND(ISNUMBER(F598),ISNUMBER(G598)),ABS(G598-F598),"")</f>
        <v>1.71363353729248E-007</v>
      </c>
      <c r="O598" s="4" t="str">
        <f aca="false">IF(AND(ISNUMBER(N598),ISNUMBER(J598)),IF(N598&lt;=J598,"PASS","FAIL"),"n/a")</f>
        <v>PASS</v>
      </c>
    </row>
    <row r="599" customFormat="false" ht="23.85" hidden="false" customHeight="false" outlineLevel="0" collapsed="false">
      <c r="A599" s="7" t="s">
        <v>1442</v>
      </c>
      <c r="B599" s="7" t="s">
        <v>437</v>
      </c>
      <c r="C599" s="7" t="s">
        <v>1443</v>
      </c>
      <c r="D599" s="7" t="s">
        <v>1429</v>
      </c>
      <c r="E599" s="7"/>
      <c r="F599" s="12" t="n">
        <v>43812798.7776</v>
      </c>
      <c r="G599" s="12" t="n">
        <v>43812798.7776002</v>
      </c>
      <c r="H599" s="7" t="n">
        <v>1.63912773132324E-007</v>
      </c>
      <c r="I599" s="7" t="n">
        <v>3.741207539933E-015</v>
      </c>
      <c r="J599" s="7" t="n">
        <v>0.01</v>
      </c>
      <c r="K599" s="9" t="s">
        <v>4</v>
      </c>
      <c r="L599" s="7"/>
      <c r="M599" s="7"/>
      <c r="N599" s="10" t="n">
        <f aca="false">IF(AND(ISNUMBER(F599),ISNUMBER(G599)),ABS(G599-F599),"")</f>
        <v>1.63912773132324E-007</v>
      </c>
      <c r="O599" s="4" t="str">
        <f aca="false">IF(AND(ISNUMBER(N599),ISNUMBER(J599)),IF(N599&lt;=J599,"PASS","FAIL"),"n/a")</f>
        <v>PASS</v>
      </c>
    </row>
    <row r="600" customFormat="false" ht="23.85" hidden="false" customHeight="false" outlineLevel="0" collapsed="false">
      <c r="A600" s="7" t="s">
        <v>1444</v>
      </c>
      <c r="B600" s="7" t="s">
        <v>437</v>
      </c>
      <c r="C600" s="7" t="s">
        <v>1445</v>
      </c>
      <c r="D600" s="7" t="s">
        <v>1429</v>
      </c>
      <c r="E600" s="7"/>
      <c r="F600" s="12" t="n">
        <v>1841552.0637</v>
      </c>
      <c r="G600" s="12" t="n">
        <v>1841552.0637</v>
      </c>
      <c r="H600" s="7" t="n">
        <v>4.65661287307739E-010</v>
      </c>
      <c r="I600" s="7" t="n">
        <v>2.52863492966984E-016</v>
      </c>
      <c r="J600" s="7" t="n">
        <v>0.01</v>
      </c>
      <c r="K600" s="9" t="s">
        <v>4</v>
      </c>
      <c r="L600" s="7"/>
      <c r="M600" s="7"/>
      <c r="N600" s="10" t="n">
        <f aca="false">IF(AND(ISNUMBER(F600),ISNUMBER(G600)),ABS(G600-F600),"")</f>
        <v>0</v>
      </c>
      <c r="O600" s="4" t="str">
        <f aca="false">IF(AND(ISNUMBER(N600),ISNUMBER(J600)),IF(N600&lt;=J600,"PASS","FAIL"),"n/a")</f>
        <v>PASS</v>
      </c>
    </row>
    <row r="601" customFormat="false" ht="23.85" hidden="false" customHeight="false" outlineLevel="0" collapsed="false">
      <c r="A601" s="7" t="s">
        <v>1446</v>
      </c>
      <c r="B601" s="7" t="s">
        <v>437</v>
      </c>
      <c r="C601" s="7" t="s">
        <v>1447</v>
      </c>
      <c r="D601" s="7" t="s">
        <v>1429</v>
      </c>
      <c r="E601" s="7"/>
      <c r="F601" s="12" t="n">
        <v>595918.8704</v>
      </c>
      <c r="G601" s="12" t="n">
        <v>595918.8704</v>
      </c>
      <c r="H601" s="7" t="n">
        <v>1.16415321826935E-010</v>
      </c>
      <c r="I601" s="7" t="n">
        <v>1.95354313497059E-016</v>
      </c>
      <c r="J601" s="7" t="n">
        <v>0.01</v>
      </c>
      <c r="K601" s="9" t="s">
        <v>4</v>
      </c>
      <c r="L601" s="7"/>
      <c r="M601" s="7"/>
      <c r="N601" s="10" t="n">
        <f aca="false">IF(AND(ISNUMBER(F601),ISNUMBER(G601)),ABS(G601-F601),"")</f>
        <v>0</v>
      </c>
      <c r="O601" s="4" t="str">
        <f aca="false">IF(AND(ISNUMBER(N601),ISNUMBER(J601)),IF(N601&lt;=J601,"PASS","FAIL"),"n/a")</f>
        <v>PASS</v>
      </c>
    </row>
    <row r="602" customFormat="false" ht="23.85" hidden="false" customHeight="false" outlineLevel="0" collapsed="false">
      <c r="A602" s="7" t="s">
        <v>1448</v>
      </c>
      <c r="B602" s="7" t="s">
        <v>437</v>
      </c>
      <c r="C602" s="7" t="s">
        <v>1449</v>
      </c>
      <c r="D602" s="7" t="s">
        <v>1429</v>
      </c>
      <c r="E602" s="7"/>
      <c r="F602" s="12" t="n">
        <v>2751000.6627</v>
      </c>
      <c r="G602" s="12" t="n">
        <v>2751000.6627</v>
      </c>
      <c r="H602" s="7" t="n">
        <v>2.79396772384644E-009</v>
      </c>
      <c r="I602" s="7" t="n">
        <v>1.0156187025794E-015</v>
      </c>
      <c r="J602" s="7" t="n">
        <v>0.01</v>
      </c>
      <c r="K602" s="9" t="s">
        <v>4</v>
      </c>
      <c r="L602" s="7"/>
      <c r="M602" s="7"/>
      <c r="N602" s="10" t="n">
        <f aca="false">IF(AND(ISNUMBER(F602),ISNUMBER(G602)),ABS(G602-F602),"")</f>
        <v>0</v>
      </c>
      <c r="O602" s="4" t="str">
        <f aca="false">IF(AND(ISNUMBER(N602),ISNUMBER(J602)),IF(N602&lt;=J602,"PASS","FAIL"),"n/a")</f>
        <v>PASS</v>
      </c>
    </row>
    <row r="603" customFormat="false" ht="68.65" hidden="false" customHeight="false" outlineLevel="0" collapsed="false">
      <c r="A603" s="7" t="s">
        <v>1450</v>
      </c>
      <c r="B603" s="7" t="s">
        <v>437</v>
      </c>
      <c r="C603" s="7" t="s">
        <v>1451</v>
      </c>
      <c r="D603" s="7" t="s">
        <v>1429</v>
      </c>
      <c r="E603" s="7" t="s">
        <v>466</v>
      </c>
      <c r="F603" s="7" t="s">
        <v>1452</v>
      </c>
      <c r="G603" s="7" t="s">
        <v>1453</v>
      </c>
      <c r="H603" s="7"/>
      <c r="I603" s="7"/>
      <c r="J603" s="7" t="s">
        <v>389</v>
      </c>
      <c r="K603" s="9" t="s">
        <v>4</v>
      </c>
      <c r="L603" s="7"/>
      <c r="M603" s="7"/>
      <c r="N603" s="10" t="str">
        <f aca="false">IF(AND(ISNUMBER(F603),ISNUMBER(G603)),ABS(G603-F603),"")</f>
        <v/>
      </c>
      <c r="O603" s="4" t="str">
        <f aca="false">IF(AND(ISNUMBER(N603),ISNUMBER(J603)),IF(N603&lt;=J603,"PASS","FAIL"),"n/a")</f>
        <v>n/a</v>
      </c>
    </row>
    <row r="604" customFormat="false" ht="57.45" hidden="false" customHeight="false" outlineLevel="0" collapsed="false">
      <c r="A604" s="7" t="s">
        <v>1454</v>
      </c>
      <c r="B604" s="7" t="s">
        <v>437</v>
      </c>
      <c r="C604" s="7" t="s">
        <v>1455</v>
      </c>
      <c r="D604" s="7" t="s">
        <v>1429</v>
      </c>
      <c r="E604" s="7" t="s">
        <v>466</v>
      </c>
      <c r="F604" s="7" t="s">
        <v>1456</v>
      </c>
      <c r="G604" s="7" t="s">
        <v>1457</v>
      </c>
      <c r="H604" s="7"/>
      <c r="I604" s="7"/>
      <c r="J604" s="7" t="s">
        <v>389</v>
      </c>
      <c r="K604" s="9" t="s">
        <v>4</v>
      </c>
      <c r="L604" s="7"/>
      <c r="M604" s="7"/>
      <c r="N604" s="10" t="str">
        <f aca="false">IF(AND(ISNUMBER(F604),ISNUMBER(G604)),ABS(G604-F604),"")</f>
        <v/>
      </c>
      <c r="O604" s="4" t="str">
        <f aca="false">IF(AND(ISNUMBER(N604),ISNUMBER(J604)),IF(N604&lt;=J604,"PASS","FAIL"),"n/a")</f>
        <v>n/a</v>
      </c>
    </row>
    <row r="605" customFormat="false" ht="68.65" hidden="false" customHeight="false" outlineLevel="0" collapsed="false">
      <c r="A605" s="7" t="s">
        <v>1458</v>
      </c>
      <c r="B605" s="7" t="s">
        <v>437</v>
      </c>
      <c r="C605" s="7" t="s">
        <v>1459</v>
      </c>
      <c r="D605" s="7" t="s">
        <v>1429</v>
      </c>
      <c r="E605" s="7" t="s">
        <v>466</v>
      </c>
      <c r="F605" s="7" t="s">
        <v>1460</v>
      </c>
      <c r="G605" s="7" t="s">
        <v>1461</v>
      </c>
      <c r="H605" s="7"/>
      <c r="I605" s="7"/>
      <c r="J605" s="7" t="s">
        <v>389</v>
      </c>
      <c r="K605" s="9" t="s">
        <v>4</v>
      </c>
      <c r="L605" s="7"/>
      <c r="M605" s="7"/>
      <c r="N605" s="10" t="str">
        <f aca="false">IF(AND(ISNUMBER(F605),ISNUMBER(G605)),ABS(G605-F605),"")</f>
        <v/>
      </c>
      <c r="O605" s="4" t="str">
        <f aca="false">IF(AND(ISNUMBER(N605),ISNUMBER(J605)),IF(N605&lt;=J605,"PASS","FAIL"),"n/a")</f>
        <v>n/a</v>
      </c>
    </row>
    <row r="606" customFormat="false" ht="68.65" hidden="false" customHeight="false" outlineLevel="0" collapsed="false">
      <c r="A606" s="7" t="s">
        <v>1462</v>
      </c>
      <c r="B606" s="7" t="s">
        <v>437</v>
      </c>
      <c r="C606" s="7" t="s">
        <v>1463</v>
      </c>
      <c r="D606" s="7" t="s">
        <v>1429</v>
      </c>
      <c r="E606" s="7" t="s">
        <v>466</v>
      </c>
      <c r="F606" s="7" t="s">
        <v>1464</v>
      </c>
      <c r="G606" s="7" t="s">
        <v>1465</v>
      </c>
      <c r="H606" s="7"/>
      <c r="I606" s="7"/>
      <c r="J606" s="7" t="s">
        <v>389</v>
      </c>
      <c r="K606" s="9" t="s">
        <v>4</v>
      </c>
      <c r="L606" s="7"/>
      <c r="M606" s="7"/>
      <c r="N606" s="10" t="str">
        <f aca="false">IF(AND(ISNUMBER(F606),ISNUMBER(G606)),ABS(G606-F606),"")</f>
        <v/>
      </c>
      <c r="O606" s="4" t="str">
        <f aca="false">IF(AND(ISNUMBER(N606),ISNUMBER(J606)),IF(N606&lt;=J606,"PASS","FAIL"),"n/a")</f>
        <v>n/a</v>
      </c>
    </row>
    <row r="607" customFormat="false" ht="57.45" hidden="false" customHeight="false" outlineLevel="0" collapsed="false">
      <c r="A607" s="7" t="s">
        <v>1466</v>
      </c>
      <c r="B607" s="7" t="s">
        <v>437</v>
      </c>
      <c r="C607" s="7" t="s">
        <v>1467</v>
      </c>
      <c r="D607" s="7" t="s">
        <v>1429</v>
      </c>
      <c r="E607" s="7"/>
      <c r="F607" s="7" t="s">
        <v>483</v>
      </c>
      <c r="G607" s="7" t="s">
        <v>483</v>
      </c>
      <c r="H607" s="7"/>
      <c r="I607" s="7"/>
      <c r="J607" s="7"/>
      <c r="K607" s="9" t="s">
        <v>4</v>
      </c>
      <c r="L607" s="7"/>
      <c r="M607" s="7"/>
      <c r="N607" s="10" t="str">
        <f aca="false">IF(AND(ISNUMBER(F607),ISNUMBER(G607)),ABS(G607-F607),"")</f>
        <v/>
      </c>
      <c r="O607" s="4" t="str">
        <f aca="false">IF(AND(ISNUMBER(N607),ISNUMBER(J607)),IF(N607&lt;=J607,"PASS","FAIL"),"n/a")</f>
        <v>n/a</v>
      </c>
    </row>
    <row r="608" customFormat="false" ht="23.85" hidden="false" customHeight="false" outlineLevel="0" collapsed="false">
      <c r="A608" s="7" t="s">
        <v>1468</v>
      </c>
      <c r="B608" s="7" t="s">
        <v>437</v>
      </c>
      <c r="C608" s="7" t="s">
        <v>1469</v>
      </c>
      <c r="D608" s="7" t="s">
        <v>1429</v>
      </c>
      <c r="E608" s="7"/>
      <c r="F608" s="8" t="n">
        <v>202649002</v>
      </c>
      <c r="G608" s="12" t="n">
        <v>202649002</v>
      </c>
      <c r="H608" s="7" t="n">
        <v>0</v>
      </c>
      <c r="I608" s="7" t="n">
        <v>0</v>
      </c>
      <c r="J608" s="7" t="n">
        <v>0.5</v>
      </c>
      <c r="K608" s="9" t="s">
        <v>4</v>
      </c>
      <c r="L608" s="7"/>
      <c r="M608" s="7"/>
      <c r="N608" s="10" t="n">
        <f aca="false">IF(AND(ISNUMBER(F608),ISNUMBER(G608)),ABS(G608-F608),"")</f>
        <v>0</v>
      </c>
      <c r="O608" s="4" t="str">
        <f aca="false">IF(AND(ISNUMBER(N608),ISNUMBER(J608)),IF(N608&lt;=J608,"PASS","FAIL"),"n/a")</f>
        <v>PASS</v>
      </c>
    </row>
    <row r="609" customFormat="false" ht="23.85" hidden="false" customHeight="false" outlineLevel="0" collapsed="false">
      <c r="A609" s="7" t="s">
        <v>1470</v>
      </c>
      <c r="B609" s="7" t="s">
        <v>437</v>
      </c>
      <c r="C609" s="7" t="s">
        <v>1471</v>
      </c>
      <c r="D609" s="7" t="s">
        <v>1429</v>
      </c>
      <c r="E609" s="7"/>
      <c r="F609" s="12" t="n">
        <v>202649002.1522</v>
      </c>
      <c r="G609" s="12" t="n">
        <v>202650000</v>
      </c>
      <c r="H609" s="7" t="n">
        <v>997.847800016403</v>
      </c>
      <c r="I609" s="7" t="n">
        <v>4.92402029824439E-006</v>
      </c>
      <c r="J609" s="7" t="n">
        <v>5000</v>
      </c>
      <c r="K609" s="9" t="s">
        <v>4</v>
      </c>
      <c r="L609" s="7"/>
      <c r="M609" s="7"/>
      <c r="N609" s="10" t="n">
        <f aca="false">IF(AND(ISNUMBER(F609),ISNUMBER(G609)),ABS(G609-F609),"")</f>
        <v>997.847799986601</v>
      </c>
      <c r="O609" s="4" t="str">
        <f aca="false">IF(AND(ISNUMBER(N609),ISNUMBER(J609)),IF(N609&lt;=J609,"PASS","FAIL"),"n/a")</f>
        <v>PASS</v>
      </c>
    </row>
    <row r="610" customFormat="false" ht="23.85" hidden="false" customHeight="false" outlineLevel="0" collapsed="false">
      <c r="A610" s="7" t="s">
        <v>1472</v>
      </c>
      <c r="B610" s="7" t="s">
        <v>437</v>
      </c>
      <c r="C610" s="7" t="s">
        <v>1473</v>
      </c>
      <c r="D610" s="7" t="s">
        <v>1429</v>
      </c>
      <c r="E610" s="7"/>
      <c r="F610" s="12" t="n">
        <v>176329755.9877</v>
      </c>
      <c r="G610" s="12" t="n">
        <v>176330000</v>
      </c>
      <c r="H610" s="7" t="n">
        <v>244.012300014496</v>
      </c>
      <c r="I610" s="7" t="n">
        <v>1.38384074002528E-006</v>
      </c>
      <c r="J610" s="7" t="n">
        <v>5000</v>
      </c>
      <c r="K610" s="9" t="s">
        <v>4</v>
      </c>
      <c r="L610" s="7"/>
      <c r="M610" s="7"/>
      <c r="N610" s="10" t="n">
        <f aca="false">IF(AND(ISNUMBER(F610),ISNUMBER(G610)),ABS(G610-F610),"")</f>
        <v>244.012300014496</v>
      </c>
      <c r="O610" s="4" t="str">
        <f aca="false">IF(AND(ISNUMBER(N610),ISNUMBER(J610)),IF(N610&lt;=J610,"PASS","FAIL"),"n/a")</f>
        <v>PASS</v>
      </c>
    </row>
    <row r="611" customFormat="false" ht="23.85" hidden="false" customHeight="false" outlineLevel="0" collapsed="false">
      <c r="A611" s="7" t="s">
        <v>1474</v>
      </c>
      <c r="B611" s="7" t="s">
        <v>437</v>
      </c>
      <c r="C611" s="7" t="s">
        <v>1475</v>
      </c>
      <c r="D611" s="7" t="s">
        <v>1429</v>
      </c>
      <c r="E611" s="7"/>
      <c r="F611" s="12" t="n">
        <v>26319246.1645</v>
      </c>
      <c r="G611" s="12" t="n">
        <v>26320000</v>
      </c>
      <c r="H611" s="7" t="n">
        <v>753.835500001907</v>
      </c>
      <c r="I611" s="7" t="n">
        <v>2.86419867533553E-005</v>
      </c>
      <c r="J611" s="7" t="n">
        <v>5000</v>
      </c>
      <c r="K611" s="9" t="s">
        <v>4</v>
      </c>
      <c r="L611" s="7"/>
      <c r="M611" s="7"/>
      <c r="N611" s="10" t="n">
        <f aca="false">IF(AND(ISNUMBER(F611),ISNUMBER(G611)),ABS(G611-F611),"")</f>
        <v>753.835499998182</v>
      </c>
      <c r="O611" s="4" t="str">
        <f aca="false">IF(AND(ISNUMBER(N611),ISNUMBER(J611)),IF(N611&lt;=J611,"PASS","FAIL"),"n/a")</f>
        <v>PASS</v>
      </c>
    </row>
    <row r="612" customFormat="false" ht="23.85" hidden="false" customHeight="false" outlineLevel="0" collapsed="false">
      <c r="A612" s="7" t="s">
        <v>1476</v>
      </c>
      <c r="B612" s="7" t="s">
        <v>437</v>
      </c>
      <c r="C612" s="7" t="s">
        <v>1477</v>
      </c>
      <c r="D612" s="7"/>
      <c r="E612" s="7"/>
      <c r="F612" s="8" t="n">
        <v>0</v>
      </c>
      <c r="G612" s="8" t="n">
        <v>0</v>
      </c>
      <c r="H612" s="7" t="n">
        <v>0</v>
      </c>
      <c r="I612" s="7"/>
      <c r="J612" s="7" t="n">
        <v>0</v>
      </c>
      <c r="K612" s="9" t="s">
        <v>4</v>
      </c>
      <c r="L612" s="7"/>
      <c r="M612" s="7"/>
      <c r="N612" s="10" t="n">
        <f aca="false">IF(AND(ISNUMBER(F612),ISNUMBER(G612)),ABS(G612-F612),"")</f>
        <v>0</v>
      </c>
      <c r="O612" s="4" t="str">
        <f aca="false">IF(AND(ISNUMBER(N612),ISNUMBER(J612)),IF(N612&lt;=J612,"PASS","FAIL"),"n/a")</f>
        <v>PASS</v>
      </c>
    </row>
    <row r="613" customFormat="false" ht="23.85" hidden="false" customHeight="false" outlineLevel="0" collapsed="false">
      <c r="A613" s="7" t="s">
        <v>1478</v>
      </c>
      <c r="B613" s="7" t="s">
        <v>437</v>
      </c>
      <c r="C613" s="7" t="s">
        <v>1479</v>
      </c>
      <c r="D613" s="7" t="s">
        <v>1429</v>
      </c>
      <c r="E613" s="7"/>
      <c r="F613" s="8" t="n">
        <v>58340</v>
      </c>
      <c r="G613" s="8" t="n">
        <v>58340</v>
      </c>
      <c r="H613" s="7" t="n">
        <v>0</v>
      </c>
      <c r="I613" s="7" t="n">
        <v>0</v>
      </c>
      <c r="J613" s="7" t="n">
        <v>0</v>
      </c>
      <c r="K613" s="9" t="s">
        <v>4</v>
      </c>
      <c r="L613" s="7"/>
      <c r="M613" s="7"/>
      <c r="N613" s="10" t="n">
        <f aca="false">IF(AND(ISNUMBER(F613),ISNUMBER(G613)),ABS(G613-F613),"")</f>
        <v>0</v>
      </c>
      <c r="O613" s="4" t="str">
        <f aca="false">IF(AND(ISNUMBER(N613),ISNUMBER(J613)),IF(N613&lt;=J613,"PASS","FAIL"),"n/a")</f>
        <v>PASS</v>
      </c>
    </row>
    <row r="614" customFormat="false" ht="23.85" hidden="false" customHeight="false" outlineLevel="0" collapsed="false">
      <c r="A614" s="7" t="s">
        <v>1480</v>
      </c>
      <c r="B614" s="7" t="s">
        <v>437</v>
      </c>
      <c r="C614" s="7" t="s">
        <v>1481</v>
      </c>
      <c r="D614" s="7"/>
      <c r="E614" s="7"/>
      <c r="F614" s="8" t="n">
        <v>0</v>
      </c>
      <c r="G614" s="8" t="n">
        <v>0</v>
      </c>
      <c r="H614" s="7" t="n">
        <v>0</v>
      </c>
      <c r="I614" s="7"/>
      <c r="J614" s="7" t="n">
        <v>0</v>
      </c>
      <c r="K614" s="9" t="s">
        <v>4</v>
      </c>
      <c r="L614" s="7"/>
      <c r="M614" s="7"/>
      <c r="N614" s="10" t="n">
        <f aca="false">IF(AND(ISNUMBER(F614),ISNUMBER(G614)),ABS(G614-F614),"")</f>
        <v>0</v>
      </c>
      <c r="O614" s="4" t="str">
        <f aca="false">IF(AND(ISNUMBER(N614),ISNUMBER(J614)),IF(N614&lt;=J614,"PASS","FAIL"),"n/a")</f>
        <v>PASS</v>
      </c>
    </row>
    <row r="615" customFormat="false" ht="23.85" hidden="false" customHeight="false" outlineLevel="0" collapsed="false">
      <c r="A615" s="7" t="s">
        <v>1482</v>
      </c>
      <c r="B615" s="7" t="s">
        <v>437</v>
      </c>
      <c r="C615" s="7" t="s">
        <v>1483</v>
      </c>
      <c r="D615" s="7"/>
      <c r="E615" s="7"/>
      <c r="F615" s="12" t="n">
        <v>202649002.1522</v>
      </c>
      <c r="G615" s="12" t="n">
        <v>202649002.1522</v>
      </c>
      <c r="H615" s="7" t="n">
        <v>0</v>
      </c>
      <c r="I615" s="7" t="n">
        <v>0</v>
      </c>
      <c r="J615" s="7" t="n">
        <v>0.01</v>
      </c>
      <c r="K615" s="9" t="s">
        <v>4</v>
      </c>
      <c r="L615" s="7"/>
      <c r="M615" s="7"/>
      <c r="N615" s="10" t="n">
        <f aca="false">IF(AND(ISNUMBER(F615),ISNUMBER(G615)),ABS(G615-F615),"")</f>
        <v>0</v>
      </c>
      <c r="O615" s="4" t="str">
        <f aca="false">IF(AND(ISNUMBER(N615),ISNUMBER(J615)),IF(N615&lt;=J615,"PASS","FAIL"),"n/a")</f>
        <v>PASS</v>
      </c>
    </row>
    <row r="616" customFormat="false" ht="23.85" hidden="false" customHeight="false" outlineLevel="0" collapsed="false">
      <c r="A616" s="7" t="s">
        <v>1484</v>
      </c>
      <c r="B616" s="7" t="s">
        <v>437</v>
      </c>
      <c r="C616" s="7" t="s">
        <v>1485</v>
      </c>
      <c r="D616" s="7"/>
      <c r="E616" s="7"/>
      <c r="F616" s="12" t="n">
        <v>92808017.9022</v>
      </c>
      <c r="G616" s="12" t="n">
        <v>92808017.9022</v>
      </c>
      <c r="H616" s="7" t="n">
        <v>0</v>
      </c>
      <c r="I616" s="7" t="n">
        <v>0</v>
      </c>
      <c r="J616" s="7" t="n">
        <v>0.01</v>
      </c>
      <c r="K616" s="9" t="s">
        <v>4</v>
      </c>
      <c r="L616" s="7"/>
      <c r="M616" s="7"/>
      <c r="N616" s="10" t="n">
        <f aca="false">IF(AND(ISNUMBER(F616),ISNUMBER(G616)),ABS(G616-F616),"")</f>
        <v>0</v>
      </c>
      <c r="O616" s="4" t="str">
        <f aca="false">IF(AND(ISNUMBER(N616),ISNUMBER(J616)),IF(N616&lt;=J616,"PASS","FAIL"),"n/a")</f>
        <v>PASS</v>
      </c>
    </row>
    <row r="617" customFormat="false" ht="23.85" hidden="false" customHeight="false" outlineLevel="0" collapsed="false">
      <c r="A617" s="7" t="s">
        <v>1486</v>
      </c>
      <c r="B617" s="7" t="s">
        <v>437</v>
      </c>
      <c r="C617" s="7" t="s">
        <v>1487</v>
      </c>
      <c r="D617" s="7"/>
      <c r="E617" s="7"/>
      <c r="F617" s="12" t="n">
        <v>39708939.3079</v>
      </c>
      <c r="G617" s="12" t="n">
        <v>39708939.3079</v>
      </c>
      <c r="H617" s="7" t="n">
        <v>0</v>
      </c>
      <c r="I617" s="7" t="n">
        <v>0</v>
      </c>
      <c r="J617" s="7" t="n">
        <v>0.01</v>
      </c>
      <c r="K617" s="9" t="s">
        <v>4</v>
      </c>
      <c r="L617" s="7"/>
      <c r="M617" s="7"/>
      <c r="N617" s="10" t="n">
        <f aca="false">IF(AND(ISNUMBER(F617),ISNUMBER(G617)),ABS(G617-F617),"")</f>
        <v>0</v>
      </c>
      <c r="O617" s="4" t="str">
        <f aca="false">IF(AND(ISNUMBER(N617),ISNUMBER(J617)),IF(N617&lt;=J617,"PASS","FAIL"),"n/a")</f>
        <v>PASS</v>
      </c>
    </row>
    <row r="618" customFormat="false" ht="23.85" hidden="false" customHeight="false" outlineLevel="0" collapsed="false">
      <c r="A618" s="7" t="s">
        <v>1488</v>
      </c>
      <c r="B618" s="7" t="s">
        <v>437</v>
      </c>
      <c r="C618" s="7" t="s">
        <v>1489</v>
      </c>
      <c r="D618" s="7"/>
      <c r="E618" s="7"/>
      <c r="F618" s="12" t="n">
        <v>43812798.7776</v>
      </c>
      <c r="G618" s="12" t="n">
        <v>43812798.7776</v>
      </c>
      <c r="H618" s="7" t="n">
        <v>0</v>
      </c>
      <c r="I618" s="7" t="n">
        <v>0</v>
      </c>
      <c r="J618" s="7" t="n">
        <v>0.01</v>
      </c>
      <c r="K618" s="9" t="s">
        <v>4</v>
      </c>
      <c r="L618" s="7"/>
      <c r="M618" s="7"/>
      <c r="N618" s="10" t="n">
        <f aca="false">IF(AND(ISNUMBER(F618),ISNUMBER(G618)),ABS(G618-F618),"")</f>
        <v>0</v>
      </c>
      <c r="O618" s="4" t="str">
        <f aca="false">IF(AND(ISNUMBER(N618),ISNUMBER(J618)),IF(N618&lt;=J618,"PASS","FAIL"),"n/a")</f>
        <v>PASS</v>
      </c>
    </row>
    <row r="619" customFormat="false" ht="23.85" hidden="false" customHeight="false" outlineLevel="0" collapsed="false">
      <c r="A619" s="7" t="s">
        <v>1490</v>
      </c>
      <c r="B619" s="7" t="s">
        <v>437</v>
      </c>
      <c r="C619" s="7" t="s">
        <v>1491</v>
      </c>
      <c r="D619" s="7"/>
      <c r="E619" s="7"/>
      <c r="F619" s="7"/>
      <c r="G619" s="8" t="n">
        <v>50</v>
      </c>
      <c r="H619" s="7"/>
      <c r="I619" s="7"/>
      <c r="J619" s="7"/>
      <c r="K619" s="9" t="s">
        <v>4</v>
      </c>
      <c r="L619" s="7"/>
      <c r="M619" s="7"/>
      <c r="N619" s="10" t="str">
        <f aca="false">IF(AND(ISNUMBER(F619),ISNUMBER(G619)),ABS(G619-F619),"")</f>
        <v/>
      </c>
      <c r="O619" s="4" t="str">
        <f aca="false">IF(AND(ISNUMBER(N619),ISNUMBER(J619)),IF(N619&lt;=J619,"PASS","FAIL"),"n/a")</f>
        <v>n/a</v>
      </c>
    </row>
    <row r="620" customFormat="false" ht="23.85" hidden="false" customHeight="false" outlineLevel="0" collapsed="false">
      <c r="A620" s="7" t="s">
        <v>1492</v>
      </c>
      <c r="B620" s="7" t="s">
        <v>437</v>
      </c>
      <c r="C620" s="7" t="s">
        <v>1493</v>
      </c>
      <c r="D620" s="7"/>
      <c r="E620" s="7"/>
      <c r="F620" s="8" t="n">
        <v>1</v>
      </c>
      <c r="G620" s="8" t="n">
        <v>1</v>
      </c>
      <c r="H620" s="7" t="n">
        <v>0</v>
      </c>
      <c r="I620" s="7" t="n">
        <v>0</v>
      </c>
      <c r="J620" s="7" t="n">
        <v>0</v>
      </c>
      <c r="K620" s="9" t="s">
        <v>4</v>
      </c>
      <c r="L620" s="7"/>
      <c r="M620" s="7"/>
      <c r="N620" s="10" t="n">
        <f aca="false">IF(AND(ISNUMBER(F620),ISNUMBER(G620)),ABS(G620-F620),"")</f>
        <v>0</v>
      </c>
      <c r="O620" s="4" t="str">
        <f aca="false">IF(AND(ISNUMBER(N620),ISNUMBER(J620)),IF(N620&lt;=J620,"PASS","FAIL"),"n/a")</f>
        <v>PASS</v>
      </c>
    </row>
    <row r="621" customFormat="false" ht="23.85" hidden="false" customHeight="false" outlineLevel="0" collapsed="false">
      <c r="A621" s="7" t="s">
        <v>1494</v>
      </c>
      <c r="B621" s="7" t="s">
        <v>437</v>
      </c>
      <c r="C621" s="7" t="s">
        <v>1495</v>
      </c>
      <c r="D621" s="7"/>
      <c r="E621" s="7"/>
      <c r="F621" s="8" t="n">
        <v>1</v>
      </c>
      <c r="G621" s="8" t="n">
        <v>1</v>
      </c>
      <c r="H621" s="7" t="n">
        <v>0</v>
      </c>
      <c r="I621" s="7" t="n">
        <v>0</v>
      </c>
      <c r="J621" s="7" t="n">
        <v>0</v>
      </c>
      <c r="K621" s="9" t="s">
        <v>4</v>
      </c>
      <c r="L621" s="7" t="s">
        <v>1496</v>
      </c>
      <c r="M621" s="7"/>
      <c r="N621" s="10" t="n">
        <f aca="false">IF(AND(ISNUMBER(F621),ISNUMBER(G621)),ABS(G621-F621),"")</f>
        <v>0</v>
      </c>
      <c r="O621" s="4" t="str">
        <f aca="false">IF(AND(ISNUMBER(N621),ISNUMBER(J621)),IF(N621&lt;=J621,"PASS","FAIL"),"n/a")</f>
        <v>PASS</v>
      </c>
    </row>
    <row r="622" customFormat="false" ht="23.85" hidden="false" customHeight="false" outlineLevel="0" collapsed="false">
      <c r="A622" s="7" t="s">
        <v>1497</v>
      </c>
      <c r="B622" s="7" t="s">
        <v>437</v>
      </c>
      <c r="C622" s="7" t="s">
        <v>1498</v>
      </c>
      <c r="D622" s="7"/>
      <c r="E622" s="7"/>
      <c r="F622" s="8" t="n">
        <v>1</v>
      </c>
      <c r="G622" s="8" t="n">
        <v>1</v>
      </c>
      <c r="H622" s="7" t="n">
        <v>0</v>
      </c>
      <c r="I622" s="7" t="n">
        <v>0</v>
      </c>
      <c r="J622" s="7" t="n">
        <v>0</v>
      </c>
      <c r="K622" s="9" t="s">
        <v>4</v>
      </c>
      <c r="L622" s="7" t="s">
        <v>1499</v>
      </c>
      <c r="M622" s="7"/>
      <c r="N622" s="10" t="n">
        <f aca="false">IF(AND(ISNUMBER(F622),ISNUMBER(G622)),ABS(G622-F622),"")</f>
        <v>0</v>
      </c>
      <c r="O622" s="4" t="str">
        <f aca="false">IF(AND(ISNUMBER(N622),ISNUMBER(J622)),IF(N622&lt;=J622,"PASS","FAIL"),"n/a")</f>
        <v>PASS</v>
      </c>
    </row>
    <row r="623" customFormat="false" ht="23.85" hidden="false" customHeight="false" outlineLevel="0" collapsed="false">
      <c r="A623" s="7" t="s">
        <v>1500</v>
      </c>
      <c r="B623" s="7" t="s">
        <v>437</v>
      </c>
      <c r="C623" s="7" t="s">
        <v>1501</v>
      </c>
      <c r="D623" s="7"/>
      <c r="E623" s="7"/>
      <c r="F623" s="8" t="n">
        <v>0</v>
      </c>
      <c r="G623" s="8" t="n">
        <v>0</v>
      </c>
      <c r="H623" s="7" t="n">
        <v>0</v>
      </c>
      <c r="I623" s="7"/>
      <c r="J623" s="7" t="n">
        <v>0</v>
      </c>
      <c r="K623" s="9" t="s">
        <v>4</v>
      </c>
      <c r="L623" s="7"/>
      <c r="M623" s="7"/>
      <c r="N623" s="10" t="n">
        <f aca="false">IF(AND(ISNUMBER(F623),ISNUMBER(G623)),ABS(G623-F623),"")</f>
        <v>0</v>
      </c>
      <c r="O623" s="4" t="str">
        <f aca="false">IF(AND(ISNUMBER(N623),ISNUMBER(J623)),IF(N623&lt;=J623,"PASS","FAIL"),"n/a")</f>
        <v>PASS</v>
      </c>
    </row>
    <row r="624" customFormat="false" ht="23.85" hidden="false" customHeight="false" outlineLevel="0" collapsed="false">
      <c r="A624" s="7" t="s">
        <v>1502</v>
      </c>
      <c r="B624" s="7" t="s">
        <v>437</v>
      </c>
      <c r="C624" s="7" t="s">
        <v>1503</v>
      </c>
      <c r="D624" s="7"/>
      <c r="E624" s="7"/>
      <c r="F624" s="8" t="n">
        <v>1</v>
      </c>
      <c r="G624" s="8" t="n">
        <v>1</v>
      </c>
      <c r="H624" s="7" t="n">
        <v>0</v>
      </c>
      <c r="I624" s="7" t="n">
        <v>0</v>
      </c>
      <c r="J624" s="7" t="n">
        <v>0</v>
      </c>
      <c r="K624" s="9" t="s">
        <v>4</v>
      </c>
      <c r="L624" s="7"/>
      <c r="M624" s="7"/>
      <c r="N624" s="10" t="n">
        <f aca="false">IF(AND(ISNUMBER(F624),ISNUMBER(G624)),ABS(G624-F624),"")</f>
        <v>0</v>
      </c>
      <c r="O624" s="4" t="str">
        <f aca="false">IF(AND(ISNUMBER(N624),ISNUMBER(J624)),IF(N624&lt;=J624,"PASS","FAIL"),"n/a")</f>
        <v>PASS</v>
      </c>
    </row>
    <row r="625" customFormat="false" ht="23.85" hidden="false" customHeight="false" outlineLevel="0" collapsed="false">
      <c r="A625" s="7" t="s">
        <v>1504</v>
      </c>
      <c r="B625" s="7" t="s">
        <v>437</v>
      </c>
      <c r="C625" s="7" t="s">
        <v>1505</v>
      </c>
      <c r="D625" s="7"/>
      <c r="E625" s="7"/>
      <c r="F625" s="8" t="n">
        <v>0</v>
      </c>
      <c r="G625" s="8" t="n">
        <v>0</v>
      </c>
      <c r="H625" s="7" t="n">
        <v>0</v>
      </c>
      <c r="I625" s="7"/>
      <c r="J625" s="7" t="n">
        <v>0</v>
      </c>
      <c r="K625" s="9" t="s">
        <v>4</v>
      </c>
      <c r="L625" s="7"/>
      <c r="M625" s="7"/>
      <c r="N625" s="10" t="n">
        <f aca="false">IF(AND(ISNUMBER(F625),ISNUMBER(G625)),ABS(G625-F625),"")</f>
        <v>0</v>
      </c>
      <c r="O625" s="4" t="str">
        <f aca="false">IF(AND(ISNUMBER(N625),ISNUMBER(J625)),IF(N625&lt;=J625,"PASS","FAIL"),"n/a")</f>
        <v>PASS</v>
      </c>
    </row>
    <row r="626" customFormat="false" ht="23.85" hidden="false" customHeight="false" outlineLevel="0" collapsed="false">
      <c r="A626" s="7" t="s">
        <v>1506</v>
      </c>
      <c r="B626" s="7" t="s">
        <v>437</v>
      </c>
      <c r="C626" s="7" t="s">
        <v>1507</v>
      </c>
      <c r="D626" s="7"/>
      <c r="E626" s="7"/>
      <c r="F626" s="8" t="n">
        <v>0</v>
      </c>
      <c r="G626" s="8" t="n">
        <v>0</v>
      </c>
      <c r="H626" s="7" t="n">
        <v>0</v>
      </c>
      <c r="I626" s="7"/>
      <c r="J626" s="7" t="n">
        <v>0</v>
      </c>
      <c r="K626" s="9" t="s">
        <v>4</v>
      </c>
      <c r="L626" s="7"/>
      <c r="M626" s="7"/>
      <c r="N626" s="10" t="n">
        <f aca="false">IF(AND(ISNUMBER(F626),ISNUMBER(G626)),ABS(G626-F626),"")</f>
        <v>0</v>
      </c>
      <c r="O626" s="4" t="str">
        <f aca="false">IF(AND(ISNUMBER(N626),ISNUMBER(J626)),IF(N626&lt;=J626,"PASS","FAIL"),"n/a")</f>
        <v>PASS</v>
      </c>
    </row>
    <row r="627" customFormat="false" ht="23.85" hidden="false" customHeight="false" outlineLevel="0" collapsed="false">
      <c r="A627" s="7" t="s">
        <v>1508</v>
      </c>
      <c r="B627" s="7" t="s">
        <v>437</v>
      </c>
      <c r="C627" s="7" t="s">
        <v>1509</v>
      </c>
      <c r="D627" s="7"/>
      <c r="E627" s="7"/>
      <c r="F627" s="8" t="n">
        <v>0</v>
      </c>
      <c r="G627" s="8" t="n">
        <v>0</v>
      </c>
      <c r="H627" s="7" t="n">
        <v>0</v>
      </c>
      <c r="I627" s="7"/>
      <c r="J627" s="7" t="n">
        <v>0</v>
      </c>
      <c r="K627" s="9" t="s">
        <v>4</v>
      </c>
      <c r="L627" s="7"/>
      <c r="M627" s="7"/>
      <c r="N627" s="10" t="n">
        <f aca="false">IF(AND(ISNUMBER(F627),ISNUMBER(G627)),ABS(G627-F627),"")</f>
        <v>0</v>
      </c>
      <c r="O627" s="4" t="str">
        <f aca="false">IF(AND(ISNUMBER(N627),ISNUMBER(J627)),IF(N627&lt;=J627,"PASS","FAIL"),"n/a")</f>
        <v>PASS</v>
      </c>
    </row>
    <row r="628" customFormat="false" ht="23.85" hidden="false" customHeight="false" outlineLevel="0" collapsed="false">
      <c r="A628" s="7" t="s">
        <v>1510</v>
      </c>
      <c r="B628" s="7" t="s">
        <v>437</v>
      </c>
      <c r="C628" s="7" t="s">
        <v>1511</v>
      </c>
      <c r="D628" s="7"/>
      <c r="E628" s="7"/>
      <c r="F628" s="8" t="n">
        <v>0</v>
      </c>
      <c r="G628" s="8" t="n">
        <v>0</v>
      </c>
      <c r="H628" s="7" t="n">
        <v>0</v>
      </c>
      <c r="I628" s="7"/>
      <c r="J628" s="7" t="n">
        <v>0</v>
      </c>
      <c r="K628" s="9" t="s">
        <v>4</v>
      </c>
      <c r="L628" s="7"/>
      <c r="M628" s="7"/>
      <c r="N628" s="10" t="n">
        <f aca="false">IF(AND(ISNUMBER(F628),ISNUMBER(G628)),ABS(G628-F628),"")</f>
        <v>0</v>
      </c>
      <c r="O628" s="4" t="str">
        <f aca="false">IF(AND(ISNUMBER(N628),ISNUMBER(J628)),IF(N628&lt;=J628,"PASS","FAIL"),"n/a")</f>
        <v>PASS</v>
      </c>
    </row>
    <row r="629" customFormat="false" ht="23.85" hidden="false" customHeight="false" outlineLevel="0" collapsed="false">
      <c r="A629" s="7" t="s">
        <v>1512</v>
      </c>
      <c r="B629" s="7" t="s">
        <v>437</v>
      </c>
      <c r="C629" s="7" t="s">
        <v>1513</v>
      </c>
      <c r="D629" s="7"/>
      <c r="E629" s="7"/>
      <c r="F629" s="8" t="n">
        <v>0</v>
      </c>
      <c r="G629" s="8" t="n">
        <v>0</v>
      </c>
      <c r="H629" s="7" t="n">
        <v>0</v>
      </c>
      <c r="I629" s="7"/>
      <c r="J629" s="7" t="n">
        <v>0</v>
      </c>
      <c r="K629" s="9" t="s">
        <v>4</v>
      </c>
      <c r="L629" s="7" t="s">
        <v>353</v>
      </c>
      <c r="M629" s="7"/>
      <c r="N629" s="10" t="n">
        <f aca="false">IF(AND(ISNUMBER(F629),ISNUMBER(G629)),ABS(G629-F629),"")</f>
        <v>0</v>
      </c>
      <c r="O629" s="4" t="str">
        <f aca="false">IF(AND(ISNUMBER(N629),ISNUMBER(J629)),IF(N629&lt;=J629,"PASS","FAIL"),"n/a")</f>
        <v>PASS</v>
      </c>
    </row>
    <row r="630" customFormat="false" ht="23.85" hidden="false" customHeight="false" outlineLevel="0" collapsed="false">
      <c r="A630" s="7" t="s">
        <v>1514</v>
      </c>
      <c r="B630" s="7" t="s">
        <v>437</v>
      </c>
      <c r="C630" s="7" t="s">
        <v>1515</v>
      </c>
      <c r="D630" s="7"/>
      <c r="E630" s="7"/>
      <c r="F630" s="8" t="n">
        <v>0</v>
      </c>
      <c r="G630" s="8" t="n">
        <v>0</v>
      </c>
      <c r="H630" s="7" t="n">
        <v>0</v>
      </c>
      <c r="I630" s="7"/>
      <c r="J630" s="7" t="n">
        <v>0</v>
      </c>
      <c r="K630" s="9" t="s">
        <v>4</v>
      </c>
      <c r="L630" s="7" t="s">
        <v>353</v>
      </c>
      <c r="M630" s="7"/>
      <c r="N630" s="10" t="n">
        <f aca="false">IF(AND(ISNUMBER(F630),ISNUMBER(G630)),ABS(G630-F630),"")</f>
        <v>0</v>
      </c>
      <c r="O630" s="4" t="str">
        <f aca="false">IF(AND(ISNUMBER(N630),ISNUMBER(J630)),IF(N630&lt;=J630,"PASS","FAIL"),"n/a")</f>
        <v>PASS</v>
      </c>
    </row>
    <row r="631" customFormat="false" ht="23.85" hidden="false" customHeight="false" outlineLevel="0" collapsed="false">
      <c r="A631" s="7" t="s">
        <v>1516</v>
      </c>
      <c r="B631" s="7" t="s">
        <v>437</v>
      </c>
      <c r="C631" s="7" t="s">
        <v>1517</v>
      </c>
      <c r="D631" s="7"/>
      <c r="E631" s="7"/>
      <c r="F631" s="7"/>
      <c r="G631" s="8" t="n">
        <v>0</v>
      </c>
      <c r="H631" s="7"/>
      <c r="I631" s="7"/>
      <c r="J631" s="7"/>
      <c r="K631" s="11" t="s">
        <v>8</v>
      </c>
      <c r="L631" s="7"/>
      <c r="M631" s="7"/>
      <c r="N631" s="10" t="str">
        <f aca="false">IF(AND(ISNUMBER(F631),ISNUMBER(G631)),ABS(G631-F631),"")</f>
        <v/>
      </c>
      <c r="O631" s="4" t="str">
        <f aca="false">IF(AND(ISNUMBER(N631),ISNUMBER(J631)),IF(N631&lt;=J631,"PASS","FAIL"),"n/a")</f>
        <v>n/a</v>
      </c>
    </row>
    <row r="632" customFormat="false" ht="23.85" hidden="false" customHeight="false" outlineLevel="0" collapsed="false">
      <c r="A632" s="7" t="s">
        <v>1518</v>
      </c>
      <c r="B632" s="7" t="s">
        <v>437</v>
      </c>
      <c r="C632" s="7" t="s">
        <v>1519</v>
      </c>
      <c r="D632" s="7"/>
      <c r="E632" s="7"/>
      <c r="F632" s="7"/>
      <c r="G632" s="7"/>
      <c r="H632" s="7"/>
      <c r="I632" s="7"/>
      <c r="J632" s="7"/>
      <c r="K632" s="11" t="s">
        <v>7</v>
      </c>
      <c r="L632" s="7" t="s">
        <v>1520</v>
      </c>
      <c r="M632" s="7"/>
      <c r="N632" s="10" t="str">
        <f aca="false">IF(AND(ISNUMBER(F632),ISNUMBER(G632)),ABS(G632-F632),"")</f>
        <v/>
      </c>
      <c r="O632" s="4" t="str">
        <f aca="false">IF(AND(ISNUMBER(N632),ISNUMBER(J632)),IF(N632&lt;=J632,"PASS","FAIL"),"n/a")</f>
        <v>n/a</v>
      </c>
    </row>
    <row r="633" customFormat="false" ht="23.85" hidden="false" customHeight="false" outlineLevel="0" collapsed="false">
      <c r="A633" s="7" t="s">
        <v>1521</v>
      </c>
      <c r="B633" s="7" t="s">
        <v>437</v>
      </c>
      <c r="C633" s="7" t="s">
        <v>1522</v>
      </c>
      <c r="D633" s="7"/>
      <c r="E633" s="7"/>
      <c r="F633" s="7"/>
      <c r="G633" s="7"/>
      <c r="H633" s="7"/>
      <c r="I633" s="7"/>
      <c r="J633" s="7"/>
      <c r="K633" s="11" t="s">
        <v>7</v>
      </c>
      <c r="L633" s="7" t="s">
        <v>1523</v>
      </c>
      <c r="M633" s="7"/>
      <c r="N633" s="10" t="str">
        <f aca="false">IF(AND(ISNUMBER(F633),ISNUMBER(G633)),ABS(G633-F633),"")</f>
        <v/>
      </c>
      <c r="O633" s="4" t="str">
        <f aca="false">IF(AND(ISNUMBER(N633),ISNUMBER(J633)),IF(N633&lt;=J633,"PASS","FAIL"),"n/a")</f>
        <v>n/a</v>
      </c>
    </row>
    <row r="634" customFormat="false" ht="23.85" hidden="false" customHeight="false" outlineLevel="0" collapsed="false">
      <c r="A634" s="7" t="s">
        <v>1524</v>
      </c>
      <c r="B634" s="7" t="s">
        <v>437</v>
      </c>
      <c r="C634" s="7" t="s">
        <v>1525</v>
      </c>
      <c r="D634" s="7"/>
      <c r="E634" s="7"/>
      <c r="F634" s="7"/>
      <c r="G634" s="7"/>
      <c r="H634" s="7"/>
      <c r="I634" s="7"/>
      <c r="J634" s="7"/>
      <c r="K634" s="11" t="s">
        <v>7</v>
      </c>
      <c r="L634" s="7" t="s">
        <v>1526</v>
      </c>
      <c r="M634" s="7"/>
      <c r="N634" s="10" t="str">
        <f aca="false">IF(AND(ISNUMBER(F634),ISNUMBER(G634)),ABS(G634-F634),"")</f>
        <v/>
      </c>
      <c r="O634" s="4" t="str">
        <f aca="false">IF(AND(ISNUMBER(N634),ISNUMBER(J634)),IF(N634&lt;=J634,"PASS","FAIL"),"n/a")</f>
        <v>n/a</v>
      </c>
    </row>
  </sheetData>
  <autoFilter ref="A3:M6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" t="s">
        <v>1527</v>
      </c>
    </row>
    <row r="2" customFormat="false" ht="15" hidden="false" customHeight="false" outlineLevel="0" collapsed="false">
      <c r="A2" s="2" t="s">
        <v>1528</v>
      </c>
    </row>
    <row r="3" customFormat="false" ht="15" hidden="false" customHeight="false" outlineLevel="0" collapsed="false">
      <c r="A3" s="6" t="s">
        <v>1529</v>
      </c>
      <c r="B3" s="6" t="s">
        <v>1530</v>
      </c>
    </row>
    <row r="4" customFormat="false" ht="23.85" hidden="false" customHeight="false" outlineLevel="0" collapsed="false">
      <c r="A4" s="7" t="s">
        <v>1531</v>
      </c>
      <c r="B4" s="12" t="n">
        <v>202649002.1522</v>
      </c>
    </row>
    <row r="5" customFormat="false" ht="23.85" hidden="false" customHeight="false" outlineLevel="0" collapsed="false">
      <c r="A5" s="7" t="s">
        <v>1532</v>
      </c>
      <c r="B5" s="12" t="n">
        <v>176329755.9877</v>
      </c>
    </row>
    <row r="6" customFormat="false" ht="23.85" hidden="false" customHeight="false" outlineLevel="0" collapsed="false">
      <c r="A6" s="7" t="s">
        <v>1533</v>
      </c>
      <c r="B6" s="12" t="n">
        <v>26319246.1645</v>
      </c>
    </row>
    <row r="7" customFormat="false" ht="15" hidden="false" customHeight="false" outlineLevel="0" collapsed="false">
      <c r="A7" s="7" t="s">
        <v>1534</v>
      </c>
      <c r="B7" s="12" t="n">
        <v>58340</v>
      </c>
    </row>
  </sheetData>
  <autoFilter ref="A3:B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8" min="7" style="0" width="18"/>
  </cols>
  <sheetData>
    <row r="1" customFormat="false" ht="16.15" hidden="false" customHeight="false" outlineLevel="0" collapsed="false">
      <c r="A1" s="1" t="s">
        <v>1535</v>
      </c>
    </row>
    <row r="3" customFormat="false" ht="26.85" hidden="false" customHeight="false" outlineLevel="0" collapsed="false">
      <c r="A3" s="6" t="s">
        <v>1536</v>
      </c>
      <c r="B3" s="6" t="s">
        <v>1537</v>
      </c>
      <c r="C3" s="6" t="s">
        <v>1538</v>
      </c>
      <c r="D3" s="6" t="s">
        <v>1539</v>
      </c>
      <c r="E3" s="6" t="s">
        <v>1540</v>
      </c>
      <c r="F3" s="6" t="s">
        <v>1541</v>
      </c>
      <c r="G3" s="6" t="s">
        <v>1542</v>
      </c>
      <c r="H3" s="6" t="s">
        <v>1543</v>
      </c>
    </row>
    <row r="4" customFormat="false" ht="23.85" hidden="false" customHeight="false" outlineLevel="0" collapsed="false">
      <c r="A4" s="7" t="s">
        <v>1544</v>
      </c>
      <c r="B4" s="7" t="s">
        <v>1545</v>
      </c>
      <c r="C4" s="7" t="s">
        <v>1546</v>
      </c>
      <c r="D4" s="8" t="n">
        <v>15092</v>
      </c>
      <c r="E4" s="12" t="n">
        <v>61295630.9945</v>
      </c>
      <c r="F4" s="12" t="n">
        <v>28820261.6473</v>
      </c>
      <c r="G4" s="12" t="n">
        <v>32475369.3472</v>
      </c>
      <c r="H4" s="7" t="n">
        <v>0.52981540152697</v>
      </c>
    </row>
    <row r="5" customFormat="false" ht="23.85" hidden="false" customHeight="false" outlineLevel="0" collapsed="false">
      <c r="A5" s="7" t="s">
        <v>1544</v>
      </c>
      <c r="B5" s="7" t="s">
        <v>1545</v>
      </c>
      <c r="C5" s="7" t="s">
        <v>1547</v>
      </c>
      <c r="D5" s="8" t="n">
        <v>14971</v>
      </c>
      <c r="E5" s="12" t="n">
        <v>70362583.5629</v>
      </c>
      <c r="F5" s="12" t="n">
        <v>30243513.2078</v>
      </c>
      <c r="G5" s="12" t="n">
        <v>40119070.3551</v>
      </c>
      <c r="H5" s="7" t="n">
        <v>0.570176197683758</v>
      </c>
    </row>
    <row r="6" customFormat="false" ht="23.85" hidden="false" customHeight="false" outlineLevel="0" collapsed="false">
      <c r="A6" s="7" t="s">
        <v>1544</v>
      </c>
      <c r="B6" s="7" t="s">
        <v>1545</v>
      </c>
      <c r="C6" s="7" t="s">
        <v>1548</v>
      </c>
      <c r="D6" s="8" t="n">
        <v>14948</v>
      </c>
      <c r="E6" s="12" t="n">
        <v>70990787.5948</v>
      </c>
      <c r="F6" s="12" t="n">
        <v>33744243.0471</v>
      </c>
      <c r="G6" s="12" t="n">
        <v>37246544.5477</v>
      </c>
      <c r="H6" s="7" t="n">
        <v>0.524667295710187</v>
      </c>
    </row>
    <row r="7" customFormat="false" ht="23.85" hidden="false" customHeight="false" outlineLevel="0" collapsed="false">
      <c r="A7" s="7" t="s">
        <v>1544</v>
      </c>
      <c r="B7" s="7" t="s">
        <v>1545</v>
      </c>
      <c r="C7" s="7" t="s">
        <v>1549</v>
      </c>
      <c r="D7" s="8" t="n">
        <v>45011</v>
      </c>
      <c r="E7" s="12" t="n">
        <v>202649002.1522</v>
      </c>
      <c r="F7" s="12" t="n">
        <v>92808017.9022</v>
      </c>
      <c r="G7" s="12" t="n">
        <v>109840984.25</v>
      </c>
      <c r="H7" s="7" t="n">
        <v>0.542025783909381</v>
      </c>
    </row>
    <row r="8" customFormat="false" ht="23.85" hidden="false" customHeight="false" outlineLevel="0" collapsed="false">
      <c r="A8" s="7" t="s">
        <v>1544</v>
      </c>
      <c r="B8" s="7" t="s">
        <v>1550</v>
      </c>
      <c r="C8" s="7" t="s">
        <v>1546</v>
      </c>
      <c r="D8" s="8" t="n">
        <v>15092</v>
      </c>
      <c r="E8" s="12" t="n">
        <v>57208112.5557</v>
      </c>
      <c r="F8" s="12" t="n">
        <v>28820261.6473</v>
      </c>
      <c r="G8" s="12" t="n">
        <v>28387850.9084</v>
      </c>
      <c r="H8" s="7" t="n">
        <v>0.496220721855847</v>
      </c>
    </row>
    <row r="9" customFormat="false" ht="23.85" hidden="false" customHeight="false" outlineLevel="0" collapsed="false">
      <c r="A9" s="7" t="s">
        <v>1544</v>
      </c>
      <c r="B9" s="7" t="s">
        <v>1550</v>
      </c>
      <c r="C9" s="7" t="s">
        <v>1547</v>
      </c>
      <c r="D9" s="8" t="n">
        <v>14971</v>
      </c>
      <c r="E9" s="12" t="n">
        <v>66280235.4211</v>
      </c>
      <c r="F9" s="12" t="n">
        <v>30243513.2078</v>
      </c>
      <c r="G9" s="12" t="n">
        <v>36036722.2133</v>
      </c>
      <c r="H9" s="7" t="n">
        <v>0.543702387059233</v>
      </c>
    </row>
    <row r="10" customFormat="false" ht="23.85" hidden="false" customHeight="false" outlineLevel="0" collapsed="false">
      <c r="A10" s="7" t="s">
        <v>1544</v>
      </c>
      <c r="B10" s="7" t="s">
        <v>1550</v>
      </c>
      <c r="C10" s="7" t="s">
        <v>1548</v>
      </c>
      <c r="D10" s="8" t="n">
        <v>14948</v>
      </c>
      <c r="E10" s="12" t="n">
        <v>66312284.4514</v>
      </c>
      <c r="F10" s="12" t="n">
        <v>33744243.0471</v>
      </c>
      <c r="G10" s="12" t="n">
        <v>32568041.4043</v>
      </c>
      <c r="H10" s="7" t="n">
        <v>0.491131344271045</v>
      </c>
    </row>
    <row r="11" customFormat="false" ht="23.85" hidden="false" customHeight="false" outlineLevel="0" collapsed="false">
      <c r="A11" s="7" t="s">
        <v>1544</v>
      </c>
      <c r="B11" s="7" t="s">
        <v>1550</v>
      </c>
      <c r="C11" s="7" t="s">
        <v>1549</v>
      </c>
      <c r="D11" s="8" t="n">
        <v>45011</v>
      </c>
      <c r="E11" s="12" t="n">
        <v>189800632.4282</v>
      </c>
      <c r="F11" s="12" t="n">
        <v>92808017.9022</v>
      </c>
      <c r="G11" s="12" t="n">
        <v>96992614.526</v>
      </c>
      <c r="H11" s="7" t="n">
        <v>0.511023663541751</v>
      </c>
    </row>
    <row r="12" customFormat="false" ht="23.85" hidden="false" customHeight="false" outlineLevel="0" collapsed="false">
      <c r="A12" s="7" t="s">
        <v>1544</v>
      </c>
      <c r="B12" s="7" t="s">
        <v>1551</v>
      </c>
      <c r="C12" s="7" t="s">
        <v>1546</v>
      </c>
      <c r="D12" s="8" t="n">
        <v>15092</v>
      </c>
      <c r="E12" s="12" t="n">
        <v>61961255.2615</v>
      </c>
      <c r="F12" s="12" t="n">
        <v>28820261.6473</v>
      </c>
      <c r="G12" s="12" t="n">
        <v>33140993.6142</v>
      </c>
      <c r="H12" s="7" t="n">
        <v>0.534866401178163</v>
      </c>
    </row>
    <row r="13" customFormat="false" ht="23.85" hidden="false" customHeight="false" outlineLevel="0" collapsed="false">
      <c r="A13" s="7" t="s">
        <v>1544</v>
      </c>
      <c r="B13" s="7" t="s">
        <v>1551</v>
      </c>
      <c r="C13" s="7" t="s">
        <v>1547</v>
      </c>
      <c r="D13" s="8" t="n">
        <v>14971</v>
      </c>
      <c r="E13" s="12" t="n">
        <v>71288868.6743</v>
      </c>
      <c r="F13" s="12" t="n">
        <v>30243513.2078</v>
      </c>
      <c r="G13" s="12" t="n">
        <v>41045355.4665</v>
      </c>
      <c r="H13" s="7" t="n">
        <v>0.575761072237313</v>
      </c>
    </row>
    <row r="14" customFormat="false" ht="23.85" hidden="false" customHeight="false" outlineLevel="0" collapsed="false">
      <c r="A14" s="7" t="s">
        <v>1544</v>
      </c>
      <c r="B14" s="7" t="s">
        <v>1551</v>
      </c>
      <c r="C14" s="7" t="s">
        <v>1548</v>
      </c>
      <c r="D14" s="8" t="n">
        <v>14948</v>
      </c>
      <c r="E14" s="12" t="n">
        <v>71932361.1318</v>
      </c>
      <c r="F14" s="12" t="n">
        <v>33744243.0471</v>
      </c>
      <c r="G14" s="12" t="n">
        <v>38188118.0847</v>
      </c>
      <c r="H14" s="7" t="n">
        <v>0.530889261576286</v>
      </c>
    </row>
    <row r="15" customFormat="false" ht="23.85" hidden="false" customHeight="false" outlineLevel="0" collapsed="false">
      <c r="A15" s="7" t="s">
        <v>1544</v>
      </c>
      <c r="B15" s="7" t="s">
        <v>1551</v>
      </c>
      <c r="C15" s="7" t="s">
        <v>1549</v>
      </c>
      <c r="D15" s="8" t="n">
        <v>45011</v>
      </c>
      <c r="E15" s="12" t="n">
        <v>205182485.0676</v>
      </c>
      <c r="F15" s="12" t="n">
        <v>92808017.9022</v>
      </c>
      <c r="G15" s="12" t="n">
        <v>112374467.1654</v>
      </c>
      <c r="H15" s="7" t="n">
        <v>0.547680603090351</v>
      </c>
    </row>
    <row r="16" customFormat="false" ht="23.85" hidden="false" customHeight="false" outlineLevel="0" collapsed="false">
      <c r="A16" s="7" t="s">
        <v>1552</v>
      </c>
      <c r="B16" s="7" t="s">
        <v>1545</v>
      </c>
      <c r="C16" s="7" t="s">
        <v>1546</v>
      </c>
      <c r="D16" s="8" t="n">
        <v>9018</v>
      </c>
      <c r="E16" s="12" t="n">
        <v>52409416.6397</v>
      </c>
      <c r="F16" s="12" t="n">
        <v>26361438.6194</v>
      </c>
      <c r="G16" s="12" t="n">
        <v>26047978.0203</v>
      </c>
      <c r="H16" s="7" t="n">
        <v>0.497009501162215</v>
      </c>
    </row>
    <row r="17" customFormat="false" ht="23.85" hidden="false" customHeight="false" outlineLevel="0" collapsed="false">
      <c r="A17" s="7" t="s">
        <v>1552</v>
      </c>
      <c r="B17" s="7" t="s">
        <v>1545</v>
      </c>
      <c r="C17" s="7" t="s">
        <v>1547</v>
      </c>
      <c r="D17" s="8" t="n">
        <v>8974</v>
      </c>
      <c r="E17" s="12" t="n">
        <v>59761818.6226</v>
      </c>
      <c r="F17" s="12" t="n">
        <v>27985295.6402</v>
      </c>
      <c r="G17" s="12" t="n">
        <v>31776522.9824</v>
      </c>
      <c r="H17" s="7" t="n">
        <v>0.53171947766635</v>
      </c>
    </row>
    <row r="18" customFormat="false" ht="23.85" hidden="false" customHeight="false" outlineLevel="0" collapsed="false">
      <c r="A18" s="7" t="s">
        <v>1552</v>
      </c>
      <c r="B18" s="7" t="s">
        <v>1545</v>
      </c>
      <c r="C18" s="7" t="s">
        <v>1548</v>
      </c>
      <c r="D18" s="8" t="n">
        <v>8903</v>
      </c>
      <c r="E18" s="12" t="n">
        <v>59732806.4291</v>
      </c>
      <c r="F18" s="12" t="n">
        <v>29970640.6171</v>
      </c>
      <c r="G18" s="12" t="n">
        <v>29762165.812</v>
      </c>
      <c r="H18" s="7" t="n">
        <v>0.498254938805299</v>
      </c>
    </row>
    <row r="19" customFormat="false" ht="23.85" hidden="false" customHeight="false" outlineLevel="0" collapsed="false">
      <c r="A19" s="7" t="s">
        <v>1552</v>
      </c>
      <c r="B19" s="7" t="s">
        <v>1545</v>
      </c>
      <c r="C19" s="7" t="s">
        <v>1549</v>
      </c>
      <c r="D19" s="8" t="n">
        <v>26895</v>
      </c>
      <c r="E19" s="12" t="n">
        <v>171904041.6914</v>
      </c>
      <c r="F19" s="12" t="n">
        <v>84317374.8767</v>
      </c>
      <c r="G19" s="12" t="n">
        <v>87586666.8147</v>
      </c>
      <c r="H19" s="7" t="n">
        <v>0.509509060711525</v>
      </c>
    </row>
    <row r="20" customFormat="false" ht="23.85" hidden="false" customHeight="false" outlineLevel="0" collapsed="false">
      <c r="A20" s="7" t="s">
        <v>1552</v>
      </c>
      <c r="B20" s="7" t="s">
        <v>1550</v>
      </c>
      <c r="C20" s="7" t="s">
        <v>1546</v>
      </c>
      <c r="D20" s="8" t="n">
        <v>9018</v>
      </c>
      <c r="E20" s="12" t="n">
        <v>49370755.7339</v>
      </c>
      <c r="F20" s="12" t="n">
        <v>26361438.6194</v>
      </c>
      <c r="G20" s="12" t="n">
        <v>23009317.1145</v>
      </c>
      <c r="H20" s="7" t="n">
        <v>0.466051547570313</v>
      </c>
    </row>
    <row r="21" customFormat="false" ht="23.85" hidden="false" customHeight="false" outlineLevel="0" collapsed="false">
      <c r="A21" s="7" t="s">
        <v>1552</v>
      </c>
      <c r="B21" s="7" t="s">
        <v>1550</v>
      </c>
      <c r="C21" s="7" t="s">
        <v>1547</v>
      </c>
      <c r="D21" s="8" t="n">
        <v>8974</v>
      </c>
      <c r="E21" s="12" t="n">
        <v>56740717.7394</v>
      </c>
      <c r="F21" s="12" t="n">
        <v>27985295.6402</v>
      </c>
      <c r="G21" s="12" t="n">
        <v>28755422.0992</v>
      </c>
      <c r="H21" s="7" t="n">
        <v>0.506786365150834</v>
      </c>
    </row>
    <row r="22" customFormat="false" ht="23.85" hidden="false" customHeight="false" outlineLevel="0" collapsed="false">
      <c r="A22" s="7" t="s">
        <v>1552</v>
      </c>
      <c r="B22" s="7" t="s">
        <v>1550</v>
      </c>
      <c r="C22" s="7" t="s">
        <v>1548</v>
      </c>
      <c r="D22" s="8" t="n">
        <v>8903</v>
      </c>
      <c r="E22" s="12" t="n">
        <v>56207432.7915</v>
      </c>
      <c r="F22" s="12" t="n">
        <v>29970640.6171</v>
      </c>
      <c r="G22" s="12" t="n">
        <v>26236792.1744</v>
      </c>
      <c r="H22" s="7" t="n">
        <v>0.466785100677426</v>
      </c>
    </row>
    <row r="23" customFormat="false" ht="23.85" hidden="false" customHeight="false" outlineLevel="0" collapsed="false">
      <c r="A23" s="7" t="s">
        <v>1552</v>
      </c>
      <c r="B23" s="7" t="s">
        <v>1550</v>
      </c>
      <c r="C23" s="7" t="s">
        <v>1549</v>
      </c>
      <c r="D23" s="8" t="n">
        <v>26895</v>
      </c>
      <c r="E23" s="12" t="n">
        <v>162318906.2648</v>
      </c>
      <c r="F23" s="12" t="n">
        <v>84317374.8767</v>
      </c>
      <c r="G23" s="12" t="n">
        <v>78001531.3881</v>
      </c>
      <c r="H23" s="7" t="n">
        <v>0.48054495426954</v>
      </c>
    </row>
    <row r="24" customFormat="false" ht="23.85" hidden="false" customHeight="false" outlineLevel="0" collapsed="false">
      <c r="A24" s="7" t="s">
        <v>1552</v>
      </c>
      <c r="B24" s="7" t="s">
        <v>1551</v>
      </c>
      <c r="C24" s="7" t="s">
        <v>1546</v>
      </c>
      <c r="D24" s="8" t="n">
        <v>9018</v>
      </c>
      <c r="E24" s="12" t="n">
        <v>50890086.1868</v>
      </c>
      <c r="F24" s="12" t="n">
        <v>26361438.6194</v>
      </c>
      <c r="G24" s="12" t="n">
        <v>24528647.5674</v>
      </c>
      <c r="H24" s="7" t="n">
        <v>0.481992651326307</v>
      </c>
    </row>
    <row r="25" customFormat="false" ht="23.85" hidden="false" customHeight="false" outlineLevel="0" collapsed="false">
      <c r="A25" s="7" t="s">
        <v>1552</v>
      </c>
      <c r="B25" s="7" t="s">
        <v>1551</v>
      </c>
      <c r="C25" s="7" t="s">
        <v>1547</v>
      </c>
      <c r="D25" s="8" t="n">
        <v>8974</v>
      </c>
      <c r="E25" s="12" t="n">
        <v>58251268.181</v>
      </c>
      <c r="F25" s="12" t="n">
        <v>27985295.6402</v>
      </c>
      <c r="G25" s="12" t="n">
        <v>30265972.5408</v>
      </c>
      <c r="H25" s="7" t="n">
        <v>0.519576199555977</v>
      </c>
    </row>
    <row r="26" customFormat="false" ht="23.85" hidden="false" customHeight="false" outlineLevel="0" collapsed="false">
      <c r="A26" s="7" t="s">
        <v>1552</v>
      </c>
      <c r="B26" s="7" t="s">
        <v>1551</v>
      </c>
      <c r="C26" s="7" t="s">
        <v>1548</v>
      </c>
      <c r="D26" s="8" t="n">
        <v>8903</v>
      </c>
      <c r="E26" s="12" t="n">
        <v>57970119.6103</v>
      </c>
      <c r="F26" s="12" t="n">
        <v>29970640.6171</v>
      </c>
      <c r="G26" s="12" t="n">
        <v>27999478.9932</v>
      </c>
      <c r="H26" s="7" t="n">
        <v>0.482998468545942</v>
      </c>
    </row>
    <row r="27" customFormat="false" ht="23.85" hidden="false" customHeight="false" outlineLevel="0" collapsed="false">
      <c r="A27" s="7" t="s">
        <v>1552</v>
      </c>
      <c r="B27" s="7" t="s">
        <v>1551</v>
      </c>
      <c r="C27" s="7" t="s">
        <v>1549</v>
      </c>
      <c r="D27" s="8" t="n">
        <v>26895</v>
      </c>
      <c r="E27" s="12" t="n">
        <v>167111473.9781</v>
      </c>
      <c r="F27" s="12" t="n">
        <v>84317374.8767</v>
      </c>
      <c r="G27" s="12" t="n">
        <v>82794099.1014</v>
      </c>
      <c r="H27" s="7" t="n">
        <v>0.495442336366743</v>
      </c>
    </row>
  </sheetData>
  <autoFilter ref="A3:H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</cols>
  <sheetData>
    <row r="1" customFormat="false" ht="16.15" hidden="false" customHeight="false" outlineLevel="0" collapsed="false">
      <c r="A1" s="1" t="s">
        <v>1553</v>
      </c>
    </row>
    <row r="3" customFormat="false" ht="26.85" hidden="false" customHeight="false" outlineLevel="0" collapsed="false">
      <c r="A3" s="6" t="s">
        <v>1554</v>
      </c>
      <c r="B3" s="6" t="s">
        <v>1534</v>
      </c>
      <c r="C3" s="6" t="s">
        <v>1555</v>
      </c>
      <c r="D3" s="6" t="s">
        <v>1556</v>
      </c>
    </row>
    <row r="4" customFormat="false" ht="15" hidden="false" customHeight="false" outlineLevel="0" collapsed="false">
      <c r="A4" s="7" t="s">
        <v>1557</v>
      </c>
      <c r="B4" s="8" t="n">
        <v>598</v>
      </c>
      <c r="C4" s="12" t="n">
        <v>5761461.0561</v>
      </c>
      <c r="D4" s="12" t="n">
        <v>4380482.4355</v>
      </c>
    </row>
    <row r="5" customFormat="false" ht="23.85" hidden="false" customHeight="false" outlineLevel="0" collapsed="false">
      <c r="A5" s="7" t="s">
        <v>1558</v>
      </c>
      <c r="B5" s="8" t="n">
        <v>613</v>
      </c>
      <c r="C5" s="12" t="n">
        <v>10327568.2245</v>
      </c>
      <c r="D5" s="12" t="n">
        <v>6917045.5199</v>
      </c>
    </row>
    <row r="6" customFormat="false" ht="23.85" hidden="false" customHeight="false" outlineLevel="0" collapsed="false">
      <c r="A6" s="7" t="s">
        <v>1559</v>
      </c>
      <c r="B6" s="8" t="n">
        <v>2051</v>
      </c>
      <c r="C6" s="12" t="n">
        <v>20018761.5488</v>
      </c>
      <c r="D6" s="12" t="n">
        <v>14768889.8456</v>
      </c>
    </row>
    <row r="7" customFormat="false" ht="15" hidden="false" customHeight="false" outlineLevel="0" collapsed="false">
      <c r="A7" s="7" t="s">
        <v>1560</v>
      </c>
      <c r="B7" s="8" t="n">
        <v>1351</v>
      </c>
      <c r="C7" s="12" t="n">
        <v>9841493.3049</v>
      </c>
      <c r="D7" s="12" t="n">
        <v>7155579.3399</v>
      </c>
    </row>
    <row r="8" customFormat="false" ht="15" hidden="false" customHeight="false" outlineLevel="0" collapsed="false">
      <c r="A8" s="7" t="s">
        <v>1561</v>
      </c>
      <c r="B8" s="8" t="n">
        <v>1355</v>
      </c>
      <c r="C8" s="12" t="n">
        <v>9334274.212</v>
      </c>
      <c r="D8" s="12" t="n">
        <v>6548033.6678</v>
      </c>
    </row>
    <row r="9" customFormat="false" ht="23.85" hidden="false" customHeight="false" outlineLevel="0" collapsed="false">
      <c r="A9" s="7" t="s">
        <v>1562</v>
      </c>
      <c r="B9" s="8" t="n">
        <v>1978</v>
      </c>
      <c r="C9" s="12" t="n">
        <v>20287904.9606</v>
      </c>
      <c r="D9" s="12" t="n">
        <v>14920507.6926</v>
      </c>
    </row>
    <row r="10" customFormat="false" ht="23.85" hidden="false" customHeight="false" outlineLevel="0" collapsed="false">
      <c r="A10" s="7" t="s">
        <v>1563</v>
      </c>
      <c r="B10" s="8" t="n">
        <v>2043</v>
      </c>
      <c r="C10" s="12" t="n">
        <v>20117761.0452</v>
      </c>
      <c r="D10" s="12" t="n">
        <v>14679086.917</v>
      </c>
    </row>
    <row r="11" customFormat="false" ht="23.85" hidden="false" customHeight="false" outlineLevel="0" collapsed="false">
      <c r="A11" s="7" t="s">
        <v>1564</v>
      </c>
      <c r="B11" s="8" t="n">
        <v>1941</v>
      </c>
      <c r="C11" s="12" t="n">
        <v>19921936.042</v>
      </c>
      <c r="D11" s="12" t="n">
        <v>14152112.6672</v>
      </c>
    </row>
  </sheetData>
  <autoFilter ref="A3:D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</cols>
  <sheetData>
    <row r="1" customFormat="false" ht="16.15" hidden="false" customHeight="false" outlineLevel="0" collapsed="false">
      <c r="A1" s="1" t="s">
        <v>1565</v>
      </c>
    </row>
    <row r="3" customFormat="false" ht="26.85" hidden="false" customHeight="false" outlineLevel="0" collapsed="false">
      <c r="A3" s="6" t="s">
        <v>22</v>
      </c>
      <c r="B3" s="6" t="s">
        <v>1566</v>
      </c>
      <c r="C3" s="6" t="s">
        <v>1567</v>
      </c>
    </row>
    <row r="4" customFormat="false" ht="15" hidden="false" customHeight="false" outlineLevel="0" collapsed="false">
      <c r="A4" s="7" t="s">
        <v>1568</v>
      </c>
      <c r="B4" s="8" t="n">
        <v>58340</v>
      </c>
      <c r="C4" s="12" t="n">
        <v>505444346.3525</v>
      </c>
    </row>
    <row r="5" customFormat="false" ht="15" hidden="false" customHeight="false" outlineLevel="0" collapsed="false">
      <c r="A5" s="7" t="s">
        <v>1569</v>
      </c>
      <c r="B5" s="8" t="n">
        <v>19777</v>
      </c>
      <c r="C5" s="12" t="n">
        <v>170499552.8726</v>
      </c>
    </row>
    <row r="6" customFormat="false" ht="15" hidden="false" customHeight="false" outlineLevel="0" collapsed="false">
      <c r="A6" s="7" t="s">
        <v>1570</v>
      </c>
      <c r="B6" s="8" t="n">
        <v>19467</v>
      </c>
      <c r="C6" s="12" t="n">
        <v>170932261.2847</v>
      </c>
    </row>
    <row r="7" customFormat="false" ht="15" hidden="false" customHeight="false" outlineLevel="0" collapsed="false">
      <c r="A7" s="7" t="s">
        <v>1557</v>
      </c>
      <c r="B7" s="8" t="n">
        <v>19444</v>
      </c>
      <c r="C7" s="12" t="n">
        <v>169833448.5223</v>
      </c>
    </row>
    <row r="8" customFormat="false" ht="15" hidden="false" customHeight="false" outlineLevel="0" collapsed="false">
      <c r="A8" s="7" t="s">
        <v>1571</v>
      </c>
      <c r="B8" s="8" t="n">
        <v>19302</v>
      </c>
      <c r="C8" s="12" t="n">
        <v>170810470.8882</v>
      </c>
    </row>
  </sheetData>
  <autoFilter ref="A3:C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2026-10-30T11:58:35Z</dcterms:created>
  <dc:creator>openpyxl</dc:creator>
  <dc:description/>
  <dc:language>en-US</dc:language>
  <cp:lastModifiedBy/>
  <dcterms:modified xsi:type="dcterms:W3CDTF">2026-10-30T11:58:35Z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