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tables/table16.xml" ContentType="application/vnd.openxmlformats-officedocument.spreadsheetml.table+xml"/>
  <Override PartName="/xl/tables/table9.xml" ContentType="application/vnd.openxmlformats-officedocument.spreadsheetml.table+xml"/>
  <Override PartName="/xl/tables/table11.xml" ContentType="application/vnd.openxmlformats-officedocument.spreadsheetml.table+xml"/>
  <Override PartName="/xl/tables/table2.xml" ContentType="application/vnd.openxmlformats-officedocument.spreadsheetml.table+xml"/>
  <Override PartName="/xl/tables/table6.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xl/tables/table10.xml" ContentType="application/vnd.openxmlformats-officedocument.spreadsheetml.table+xml"/>
  <Override PartName="/xl/tables/table8.xml" ContentType="application/vnd.openxmlformats-officedocument.spreadsheetml.table+xml"/>
  <Override PartName="/xl/tables/table19.xml" ContentType="application/vnd.openxmlformats-officedocument.spreadsheetml.table+xml"/>
  <Override PartName="/xl/tables/table21.xml" ContentType="application/vnd.openxmlformats-officedocument.spreadsheetml.table+xml"/>
  <Override PartName="/xl/tables/table18.xml" ContentType="application/vnd.openxmlformats-officedocument.spreadsheetml.table+xml"/>
  <Override PartName="/xl/tables/table20.xml" ContentType="application/vnd.openxmlformats-officedocument.spreadsheetml.table+xml"/>
  <Override PartName="/xl/tables/table1.xml" ContentType="application/vnd.openxmlformats-officedocument.spreadsheetml.table+xml"/>
  <Override PartName="/xl/tables/table14.xml" ContentType="application/vnd.openxmlformats-officedocument.spreadsheetml.table+xml"/>
  <Override PartName="/xl/tables/table7.xml" ContentType="application/vnd.openxmlformats-officedocument.spreadsheetml.table+xml"/>
  <Override PartName="/xl/tables/table13.xml" ContentType="application/vnd.openxmlformats-officedocument.spreadsheetml.table+xml"/>
  <Override PartName="/xl/tables/table3.xml" ContentType="application/vnd.openxmlformats-officedocument.spreadsheetml.table+xml"/>
  <Override PartName="/xl/tables/table22.xml" ContentType="application/vnd.openxmlformats-officedocument.spreadsheetml.table+xml"/>
  <Override PartName="/xl/tables/table12.xml" ContentType="application/vnd.openxmlformats-officedocument.spreadsheetml.table+xml"/>
  <Override PartName="/xl/tables/table15.xml" ContentType="application/vnd.openxmlformats-officedocument.spreadsheetml.table+xml"/>
  <Override PartName="/xl/tables/table17.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tart Here" sheetId="1" state="visible" r:id="rId3"/>
    <sheet name="Executive Summary" sheetId="2" state="visible" r:id="rId4"/>
    <sheet name="Monthly P&amp;L" sheetId="3" state="visible" r:id="rId5"/>
    <sheet name="Budget vs Actual" sheetId="4" state="visible" r:id="rId6"/>
    <sheet name="Forecast &amp; Prior Year" sheetId="5" state="visible" r:id="rId7"/>
    <sheet name="Entity &amp; Division" sheetId="6" state="visible" r:id="rId8"/>
    <sheet name="GL &amp; Cost Drivers" sheetId="7" state="visible" r:id="rId9"/>
    <sheet name="Gross Profit" sheetId="8" state="visible" r:id="rId10"/>
    <sheet name="Insights &amp; Actions" sheetId="9" state="visible" r:id="rId11"/>
    <sheet name="Data Quality" sheetId="10" state="visible" r:id="rId12"/>
    <sheet name="Reconciliation &amp; QA" sheetId="11" state="visible" r:id="rId13"/>
    <sheet name="Definition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<sst xmlns="http://schemas.openxmlformats.org/spreadsheetml/2006/main" count="5858" uniqueCount="1312">
  <si>
    <t xml:space="preserve">Month-End Close Reliability &amp; Financial Performance Analytics</t>
  </si>
  <si>
    <t xml:space="preserve">Phase 5 - FP&amp;A Excel workbook and reconciliation  |  NovaBridge Industries (synthetic data)  |  local use only, not published</t>
  </si>
  <si>
    <t xml:space="preserve">STATUS: PROVISIONAL. The data is a synthetic extract with unverified provenance and licence. Posted-only eligibility, scale restoration, FX direction and the variance-% convention are working conventions; the account sign convention, duplicate rule and consolidation are unresolved. Read 'Definitions' before quoting any number.</t>
  </si>
  <si>
    <t xml:space="preserve">Sheet</t>
  </si>
  <si>
    <t xml:space="preserve">What it answers</t>
  </si>
  <si>
    <t xml:space="preserve">1. Start Here</t>
  </si>
  <si>
    <t xml:space="preserve">This page: scope, status, navigation, colour legend, source identity.</t>
  </si>
  <si>
    <t xml:space="preserve">2. Executive Summary</t>
  </si>
  <si>
    <t xml:space="preserve">Headline numbers, annual view, ranked insights and what the workbook does not claim. All numbers are links.</t>
  </si>
  <si>
    <t xml:space="preserve">3. Monthly P&amp;L</t>
  </si>
  <si>
    <t xml:space="preserve">36-month P&amp;L by section, gross profit, operating result proxy, calendar-year totals, MoM %. Source of the totals every other sheet reconciles to.</t>
  </si>
  <si>
    <t xml:space="preserve">4. Budget vs Actual</t>
  </si>
  <si>
    <t xml:space="preserve">Variance by section on same-sign and all-lines bases, bridge, top entity x GL contributors, materiality sensitivity, monthly variance with % check.</t>
  </si>
  <si>
    <t xml:space="preserve">5. Forecast &amp; Prior Year</t>
  </si>
  <si>
    <t xml:space="preserve">Forecast error (WAPE, bias), forecast vs budget on matched lines, where the error sits, prior-year column vs true year-on-year.</t>
  </si>
  <si>
    <t xml:space="preserve">6. Entity &amp; Division</t>
  </si>
  <si>
    <t xml:space="preserve">Six entities and five divisions: size, margin, variance, growth; entity x GL variance detail.</t>
  </si>
  <si>
    <t xml:space="preserve">7. GL &amp; Cost Drivers</t>
  </si>
  <si>
    <t xml:space="preserve">24 GL accounts, cost Pareto, mix, cost-to-revenue, concentration, persistent deviations, salary-rate scenario (conditional).</t>
  </si>
  <si>
    <t xml:space="preserve">8. Gross Profit</t>
  </si>
  <si>
    <t xml:space="preserve">Three explicit discount/sign treatments x two row sets; margin range, versus budget, by entity.</t>
  </si>
  <si>
    <t xml:space="preserve">9. Insights &amp; Actions</t>
  </si>
  <si>
    <t xml:space="preserve">Seven ranked insights, 16 fields each: observed vs hypothesis, evidence required, owner, KPI. No savings claims.</t>
  </si>
  <si>
    <t xml:space="preserve">10. Data Quality</t>
  </si>
  <si>
    <t xml:space="preserve">Exclusion waterfall (152,682 rows), flag exposure, field reliability, scenario swings, scale/duplicate exposure, balance-sheet limits.</t>
  </si>
  <si>
    <t xml:space="preserve">11. Reconciliation &amp; QA</t>
  </si>
  <si>
    <t xml:space="preserve">Live PASS/FAIL formulas: workbook vs independent recompute from the Phase 4 database views, plus source identity.</t>
  </si>
  <si>
    <t xml:space="preserve">12. Definitions</t>
  </si>
  <si>
    <t xml:space="preserve">Rules register R1-R14, metric definitions, owner decisions, assumptions, lineage.</t>
  </si>
  <si>
    <t xml:space="preserve">Colour and format legend</t>
  </si>
  <si>
    <t xml:space="preserve">Blue text</t>
  </si>
  <si>
    <t xml:space="preserve">Input value taken from Phase 4 (or an adjustable assumption on an amber cell).</t>
  </si>
  <si>
    <t xml:space="preserve">Black text</t>
  </si>
  <si>
    <t xml:space="preserve">Formula calculated on the same sheet.</t>
  </si>
  <si>
    <t xml:space="preserve">Green text</t>
  </si>
  <si>
    <t xml:space="preserve">Formula that links to another sheet in this workbook.</t>
  </si>
  <si>
    <t xml:space="preserve">Red text</t>
  </si>
  <si>
    <t xml:space="preserve">Link to an external workbook - none exist in this file (checked by the test suite).</t>
  </si>
  <si>
    <t xml:space="preserve">Negative numbers</t>
  </si>
  <si>
    <t xml:space="preserve">Red in parentheses; zeros show as a dash.</t>
  </si>
  <si>
    <t xml:space="preserve">Amber fill</t>
  </si>
  <si>
    <t xml:space="preserve">Adjustable threshold, or highlighted result (legend printed on each sheet).</t>
  </si>
  <si>
    <t xml:space="preserve">How to read</t>
  </si>
  <si>
    <t xml:space="preserve">1. Amounts: USD, scale-adjusted (provisional), signs as recorded; costs are positive magnitudes.</t>
  </si>
  <si>
    <t xml:space="preserve">2. Variance = Actual - Budget; Variance % = Variance / |net budget|, hidden when |net budget| &lt; 50% of gross budget. Direction columns state arithmetic only.</t>
  </si>
  <si>
    <t xml:space="preserve">3. Primary basis: same-sign lines. The all-lines view is always shown beside it. Opposite-sign and zero-involved lines are bridged, never removed or flipped.</t>
  </si>
  <si>
    <t xml:space="preserve">4. Tables have filters; use the sheet's Basis / Section columns to slice. Every sheet has a link back to this page.</t>
  </si>
  <si>
    <t xml:space="preserve">5. Reconciliation &amp; QA must read ALL CHECKS PASS; if you change an input, re-check it.</t>
  </si>
  <si>
    <t xml:space="preserve">Source identity</t>
  </si>
  <si>
    <t xml:space="preserve">Reconciliation status</t>
  </si>
  <si>
    <t xml:space="preserve">Phase 4 database SHA-256</t>
  </si>
  <si>
    <t xml:space="preserve">00e7437697c8e11baab5d2cff7036d6dda3d251a139774adee0a2dfe92c413e6</t>
  </si>
  <si>
    <t xml:space="preserve">Approved cleaned CSV SHA-256</t>
  </si>
  <si>
    <t xml:space="preserve">c184b677bacc6f23086e3b5eedd71836643cb75064e428a1ebfee4c075fa9b47</t>
  </si>
  <si>
    <t xml:space="preserve">Generator SHA-256</t>
  </si>
  <si>
    <t xml:space="preserve">02b45089fc71e6b10d16c738e9796755409290014e85945c80aad932ac564d0a</t>
  </si>
  <si>
    <t xml:space="preserve">Generated at (UTC)</t>
  </si>
  <si>
    <t xml:space="preserve">2026-10-29T12:55:33Z</t>
  </si>
  <si>
    <t xml:space="preserve">Version</t>
  </si>
  <si>
    <t xml:space="preserve">Phase 5 workbook v1.0</t>
  </si>
  <si>
    <t xml:space="preserve">Executive summary - FP&amp;A month-end close analysis</t>
  </si>
  <si>
    <t xml:space="preserve">Back to Start Here</t>
  </si>
  <si>
    <t xml:space="preserve">NovaBridge Industries (synthetic extract), Jan 2023 - Dec 2025, six legal entities, USD. Every number on this page is a green link to the sheet that calculates it.</t>
  </si>
  <si>
    <t xml:space="preserve">READ FIRST: all figures are provisional. The population is Posted-only journal lines with scale restoration (conventions R6/R7), signs are as recorded (R9 unresolved) and there are no favourable/adverse labels. The operating result proxy is NOT EBITDA. Nothing here is a forecast-skill claim, a saving or a finding about cause - see 'Insights &amp; Actions' for what is observed vs hypothesised.</t>
  </si>
  <si>
    <t xml:space="preserve">Headline numbers (3 years, eligible Posted-only lines)</t>
  </si>
  <si>
    <t xml:space="preserve">Measure</t>
  </si>
  <si>
    <t xml:space="preserve">Value</t>
  </si>
  <si>
    <t xml:space="preserve">Where calculated</t>
  </si>
  <si>
    <t xml:space="preserve">Revenue (USD)</t>
  </si>
  <si>
    <t xml:space="preserve">Monthly P&amp;L</t>
  </si>
  <si>
    <t xml:space="preserve">Gross profit, treatment S1 signed as recorded (USD)</t>
  </si>
  <si>
    <t xml:space="preserve">Monthly P&amp;L / Gross Profit</t>
  </si>
  <si>
    <t xml:space="preserve">Gross margin % (S1)</t>
  </si>
  <si>
    <t xml:space="preserve">Operating result proxy (USD) - not EBITDA</t>
  </si>
  <si>
    <t xml:space="preserve">Proxy margin %</t>
  </si>
  <si>
    <t xml:space="preserve">Eligible P&amp;L lines (count)</t>
  </si>
  <si>
    <t xml:space="preserve">Revenue growth 2024 vs 2023</t>
  </si>
  <si>
    <t xml:space="preserve">Monthly P&amp;L (calendar-year block)</t>
  </si>
  <si>
    <t xml:space="preserve">Revenue growth 2025 vs 2024</t>
  </si>
  <si>
    <t xml:space="preserve">Revenue variance vs budget, same-sign lines (USD)</t>
  </si>
  <si>
    <t xml:space="preserve">Budget vs Actual A1</t>
  </si>
  <si>
    <t xml:space="preserve">Revenue variance %, same-sign lines</t>
  </si>
  <si>
    <t xml:space="preserve">COGS variance %, same-sign lines</t>
  </si>
  <si>
    <t xml:space="preserve">People variance %, same-sign lines</t>
  </si>
  <si>
    <t xml:space="preserve">Opex variance %, same-sign lines</t>
  </si>
  <si>
    <t xml:space="preserve">Gross profit variance vs budget, S1 same-sign (USD)</t>
  </si>
  <si>
    <t xml:space="preserve">Gross Profit GP3</t>
  </si>
  <si>
    <t xml:space="preserve">Opposite-sign share of revenue forecast error</t>
  </si>
  <si>
    <t xml:space="preserve">Forecast &amp; Prior Year F4</t>
  </si>
  <si>
    <t xml:space="preserve">Revenue forecast accuracy: three populations, never to be mixed</t>
  </si>
  <si>
    <t xml:space="preserve">WAPE = sum |forecast - actual| / sum |actual| (budget analogous). Forecast error = forecast - actual.</t>
  </si>
  <si>
    <t xml:space="preserve">Population (revenue lines)</t>
  </si>
  <si>
    <t xml:space="preserve">Lines (count)</t>
  </si>
  <si>
    <t xml:space="preserve">Forecast WAPE</t>
  </si>
  <si>
    <t xml:space="preserve">Budget WAPE</t>
  </si>
  <si>
    <t xml:space="preserve">A. Matched same-sign subset: actual, budget and forecast all non-zero with the same sign (selected by outcome)</t>
  </si>
  <si>
    <t xml:space="preserve">Forecast &amp; Prior Year F3</t>
  </si>
  <si>
    <t xml:space="preserve">B. Comparable lines: actual, budget and forecast all present, any sign (same lines for both measures)</t>
  </si>
  <si>
    <t xml:space="preserve">Forecast &amp; Prior Year F3b</t>
  </si>
  <si>
    <t xml:space="preserve">C. All lines with a forecast value (no budget required; budget WAPE not computed on this population)</t>
  </si>
  <si>
    <t xml:space="preserve">n/a</t>
  </si>
  <si>
    <t xml:space="preserve">Forecast &amp; Prior Year F2</t>
  </si>
  <si>
    <t xml:space="preserve">Why the populations differ: A keeps only lines where all three amounts agree in sign, which mechanically removes the lines carrying most of the error (opposite-sign lines hold the share of absolute revenue forecast error shown above). B keeps every line that has all three values. C also keeps lines with no budget value.</t>
  </si>
  <si>
    <t xml:space="preserve">Reading: the matched-subset WAPE (A) is small because of how the subset is chosen; it is not general forecasting skill. On B both errors are large and the forecast is only modestly closer than the budget for revenue, COGS and opex, and not closer for people costs (see Forecast &amp; Prior Year F3b). The extract has no forecast version or as-of date, so forecast skill cannot be established from either figure.</t>
  </si>
  <si>
    <t xml:space="preserve">Reconciliation status (workbook vs independent database recompute)</t>
  </si>
  <si>
    <t xml:space="preserve">Annual view (links to Monthly P&amp;L)</t>
  </si>
  <si>
    <t xml:space="preserve">Year</t>
  </si>
  <si>
    <t xml:space="preserve">Gross profit S1 (USD)</t>
  </si>
  <si>
    <t xml:space="preserve">Operating result proxy (USD)</t>
  </si>
  <si>
    <t xml:space="preserve">2023</t>
  </si>
  <si>
    <t xml:space="preserve">2024</t>
  </si>
  <si>
    <t xml:space="preserve">2025</t>
  </si>
  <si>
    <t xml:space="preserve">Ranked insights (observed fact first; see 'Insights &amp; Actions' for hypothesis, evidence required, owner and KPI)</t>
  </si>
  <si>
    <t xml:space="preserve">Insight</t>
  </si>
  <si>
    <t xml:space="preserve">Score (of 12)</t>
  </si>
  <si>
    <t xml:space="preserve">Confidence (1-3)</t>
  </si>
  <si>
    <t xml:space="preserve">#1 INS-01: The journal-status rule is the largest swing factor in the revenue and result headlines among the four assumptions tested (status, scale, sign, duplicates)</t>
  </si>
  <si>
    <t xml:space="preserve">#2 INS-02: Lines whose forecast and actual have opposite signs (10% to 13% of lines) carry 89% to 91% of the absolute forecast error; whether they are data defects or legitimate entries is unresolved</t>
  </si>
  <si>
    <t xml:space="preserve">#3 INS-03: Actuals sit a near-constant 3.6% below budget on revenue and 6.4% above budget on costs on same-sign lines in all 36 months, all 6 entities, all 5 divisions and every one of the 20 operating accounts (the all-lines view differs)</t>
  </si>
  <si>
    <t xml:space="preserve">#4 INS-04: Gross profit is $12.3M below budget on same-sign lines: 57% of the gap is revenue below budget and 43% is COGS above budget; the margin gap holds under all three discount treatments</t>
  </si>
  <si>
    <t xml:space="preserve">#5 INS-05: On a matched same-sign subset the forecast is closer to actuals than the budget; on all comparable lines the margin is 26.8% vs 29.3% revenue WAPE (forecast vs budget) and reverses for people costs, and neither view establishes forecast skill</t>
  </si>
  <si>
    <t xml:space="preserve">#6 INS-06: Salary lines carry a near-constant rate per FTE within each entity; without a budgeted FTE plan and the budget's rate method, the people-cost variance cannot be split into rate and volume</t>
  </si>
  <si>
    <t xml:space="preserve">#7 INS-07: Scale restoration moves the result proxy by $3.1M, and the larger (MEDIUM-confidence) tier cannot be verified against price</t>
  </si>
  <si>
    <t xml:space="preserve">What this workbook does NOT say</t>
  </si>
  <si>
    <t xml:space="preserve">- Costs are not 'favourable' or 'adverse': the sign convention (R9) is unresolved.</t>
  </si>
  <si>
    <t xml:space="preserve">- A variance is not a saving; no recoverable-savings amount is claimed anywhere (financial exposure, cause hypothesis and savings are kept separate).</t>
  </si>
  <si>
    <t xml:space="preserve">- The matched-subset forecast WAPE is not general forecasting skill: on all comparable lines both errors are large and the forecast's edge over the budget is small (and absent for people costs). Without dated forecast snapshots neither is evidence of skill or of a correctable bias.</t>
  </si>
  <si>
    <t xml:space="preserve">- Headline revenue moves by more than 100% depending on which journal statuses count (INS-01): confirm the status rule before using any total externally.</t>
  </si>
  <si>
    <t xml:space="preserve">- Balance-sheet lines are records, not period-end balances; close duration and on-time-close rates cannot be calculated from this extract.</t>
  </si>
  <si>
    <t xml:space="preserve">Monthly P&amp;L - actuals, Posted-only eligible lines</t>
  </si>
  <si>
    <t xml:space="preserve">USD, scale-adjusted (provisional), signs as recorded. Source: out_a1_pl_period_section (Phase 4). Costs are positive magnitudes: result = revenue - costs.</t>
  </si>
  <si>
    <t xml:space="preserve">Provisional population: Posted-only journal status (rule R6) and the scale-restoration rule are conventions, not confirmed accounting. No favourable/adverse labels: the account sign convention (R9) is unresolved. 'Operating result proxy' = Revenue - COGS - People - Opex; it is NOT EBITDA or operating profit. D&amp;A, below-EBITDA items and tax are shown as memo lines and are not subtotalled because their sign treatment is unverified. Balance-sheet records are excluded (see Data Quality).</t>
  </si>
  <si>
    <t xml:space="preserve">MoM highlight threshold (assumption):</t>
  </si>
  <si>
    <t xml:space="preserve">&lt;- amber = |month-on-month revenue change| &gt;= threshold (also read the sign in the cell). Blue = input, black = formula.</t>
  </si>
  <si>
    <t xml:space="preserve">Month</t>
  </si>
  <si>
    <t xml:space="preserve">COGS (USD)</t>
  </si>
  <si>
    <t xml:space="preserve">Gross profit, S1 signed as recorded (USD)</t>
  </si>
  <si>
    <t xml:space="preserve">People costs (USD)</t>
  </si>
  <si>
    <t xml:space="preserve">Operating expenses (USD)</t>
  </si>
  <si>
    <t xml:space="preserve">Memo: D&amp;A (USD)</t>
  </si>
  <si>
    <t xml:space="preserve">Memo: Below-EBITDA (USD)</t>
  </si>
  <si>
    <t xml:space="preserve">Memo: Tax (USD)</t>
  </si>
  <si>
    <t xml:space="preserve">Eligible lines (count)</t>
  </si>
  <si>
    <t xml:space="preserve">Revenue MoM %</t>
  </si>
  <si>
    <t xml:space="preserve">Total Jan 2023 - Dec 2025</t>
  </si>
  <si>
    <t xml:space="preserve">Calendar-year totals (formulas over the monthly table)</t>
  </si>
  <si>
    <t xml:space="preserve">Calendar year of the posting period. Growth = year / prior year - 1.</t>
  </si>
  <si>
    <t xml:space="preserve">Gross margin %</t>
  </si>
  <si>
    <t xml:space="preserve">People (USD)</t>
  </si>
  <si>
    <t xml:space="preserve">Opex (USD)</t>
  </si>
  <si>
    <t xml:space="preserve">D&amp;A memo (USD)</t>
  </si>
  <si>
    <t xml:space="preserve">Below-EBITDA memo (USD)</t>
  </si>
  <si>
    <t xml:space="preserve">Tax memo (USD)</t>
  </si>
  <si>
    <t xml:space="preserve">Eligible lines</t>
  </si>
  <si>
    <t xml:space="preserve">Revenue growth %</t>
  </si>
  <si>
    <t xml:space="preserve">Budget vs actual</t>
  </si>
  <si>
    <t xml:space="preserve">USD, scale-adjusted (provisional), signs as recorded. Population: eligible P&amp;L lines that also have a budget (55,043 lines). Sources: out_b1, out_b2, out_b3, out_b4, out_b7-b11.</t>
  </si>
  <si>
    <t xml:space="preserve">Definitions follow Phase 4 exactly: Variance = Actual - Budget. Variance % = Variance / |net budget|, published only when |net budget| &gt;= 50% of the gross (absolute) budget (project convention, not an accounting standard). Primary basis = SAME-SIGN lines (actual and budget non-zero with the same sign). 'All lines' includes opposite-sign and zero-involved lines and is shown beside it. Nothing is labelled favourable or unfavourable: the sign convention (R9) is unresolved. Cost-centre variance is not published by Phase 4, so it is not shown.</t>
  </si>
  <si>
    <t xml:space="preserve">Net-budget guard (Phase 4 convention):</t>
  </si>
  <si>
    <t xml:space="preserve">&lt;- % is shown only when |net budget| / gross budget &gt;= this value. Highlight threshold for |variance %|:</t>
  </si>
  <si>
    <t xml:space="preserve">A1. By section - SAME-SIGN lines (primary basis)</t>
  </si>
  <si>
    <t xml:space="preserve">Gross cell variance = sum of absolute entity x GL x month variances; it shows movements that offset inside the net figure.</t>
  </si>
  <si>
    <t xml:space="preserve">Section</t>
  </si>
  <si>
    <t xml:space="preserve">Actual (USD)</t>
  </si>
  <si>
    <t xml:space="preserve">Budget (USD)</t>
  </si>
  <si>
    <t xml:space="preserve">Net variance = actual - budget (USD)</t>
  </si>
  <si>
    <t xml:space="preserve">|Net budget| / gross budget</t>
  </si>
  <si>
    <t xml:space="preserve">Variance % of |budget| (guarded)</t>
  </si>
  <si>
    <t xml:space="preserve">Gross cell variance (USD)</t>
  </si>
  <si>
    <t xml:space="preserve">Gross variance % of gross budget</t>
  </si>
  <si>
    <t xml:space="preserve">Direction (arithmetic only)</t>
  </si>
  <si>
    <t xml:space="preserve">Revenue</t>
  </si>
  <si>
    <t xml:space="preserve">COGS</t>
  </si>
  <si>
    <t xml:space="preserve">People costs</t>
  </si>
  <si>
    <t xml:space="preserve">Operating expenses</t>
  </si>
  <si>
    <t xml:space="preserve">D&amp;A (depreciation, GL 6300)</t>
  </si>
  <si>
    <t xml:space="preserve">Below-EBITDA items</t>
  </si>
  <si>
    <t xml:space="preserve">Tax</t>
  </si>
  <si>
    <t xml:space="preserve">A2. By section - ALL lines (sensitivity)</t>
  </si>
  <si>
    <t xml:space="preserve">A3. Bridge: all-lines net variance = same-sign + opposite-sign + zero-involved (out_b8)</t>
  </si>
  <si>
    <t xml:space="preserve">Opposite-sign and zero-involved lines are an observation, not a proven error: credit notes, reversals and contra accounts can legitimately differ in sign. They are kept, never flipped or removed.</t>
  </si>
  <si>
    <t xml:space="preserve">All lines net variance (USD)</t>
  </si>
  <si>
    <t xml:space="preserve">Same-sign (USD)</t>
  </si>
  <si>
    <t xml:space="preserve">Opposite-sign (USD)</t>
  </si>
  <si>
    <t xml:space="preserve">Zero-involved (USD)</t>
  </si>
  <si>
    <t xml:space="preserve">Bridge difference (USD) = all - (same + opposite + zero)</t>
  </si>
  <si>
    <t xml:space="preserve">B. Largest entity x GL contributors to the variance - same-sign basis (top 20 by |variance|)</t>
  </si>
  <si>
    <t xml:space="preserve">Net variance can hide offsetting cells; 'Share of section gross cell variance' shows each cell's weight against the section's gross movement (Phase 4 out_b2).</t>
  </si>
  <si>
    <t xml:space="preserve">Rank by |variance|</t>
  </si>
  <si>
    <t xml:space="preserve">Entity</t>
  </si>
  <si>
    <t xml:space="preserve">GL</t>
  </si>
  <si>
    <t xml:space="preserve">Account</t>
  </si>
  <si>
    <t xml:space="preserve">Variance (USD)</t>
  </si>
  <si>
    <t xml:space="preserve">Variance % (Phase 4)</t>
  </si>
  <si>
    <t xml:space="preserve">Share of section gross cell variance</t>
  </si>
  <si>
    <t xml:space="preserve">US01</t>
  </si>
  <si>
    <t xml:space="preserve">Product sales</t>
  </si>
  <si>
    <t xml:space="preserve">IN01</t>
  </si>
  <si>
    <t xml:space="preserve">Materials</t>
  </si>
  <si>
    <t xml:space="preserve">SG01</t>
  </si>
  <si>
    <t xml:space="preserve">DE01</t>
  </si>
  <si>
    <t xml:space="preserve">AE01</t>
  </si>
  <si>
    <t xml:space="preserve">GB01</t>
  </si>
  <si>
    <t xml:space="preserve">Salaries</t>
  </si>
  <si>
    <t xml:space="preserve">Service and spares revenue</t>
  </si>
  <si>
    <t xml:space="preserve">Direct labor</t>
  </si>
  <si>
    <t xml:space="preserve">C. How sensitive is 'what counts as material'? (out_b9, out_b10, out_b11)</t>
  </si>
  <si>
    <t xml:space="preserve">Phase 4 materiality thresholds are project conventions, not standards. The tables show how many entity x GL cells fall above each threshold, and how much of the total absolute variance they cover.</t>
  </si>
  <si>
    <t xml:space="preserve">Basis</t>
  </si>
  <si>
    <t xml:space="preserve">Cell share of total |variance| &gt;=</t>
  </si>
  <si>
    <t xml:space="preserve">Cells at/above (count)</t>
  </si>
  <si>
    <t xml:space="preserve">Share of total |variance| covered</t>
  </si>
  <si>
    <t xml:space="preserve">|Variance| &gt;= % of cell gross budget</t>
  </si>
  <si>
    <t xml:space="preserve">Cells not scored (count)</t>
  </si>
  <si>
    <t xml:space="preserve">Cells total (count)</t>
  </si>
  <si>
    <t xml:space="preserve">Share of total |variance| in flagged cells</t>
  </si>
  <si>
    <t xml:space="preserve">Same-sign</t>
  </si>
  <si>
    <t xml:space="preserve">All lines</t>
  </si>
  <si>
    <t xml:space="preserve">Top-10 cell overlap between the all-lines and same-sign views: 8 of 10 cells are in both lists (out_b10). The ranking is stable enough to read the concentration, not stable enough to rely on a single cell.</t>
  </si>
  <si>
    <t xml:space="preserve">D. Monthly variance by section (out_b4; filter by Basis and Section)</t>
  </si>
  <si>
    <t xml:space="preserve">Variance recomputed in Excel; 'Phase 4 %' is the guarded published figure (blank = suppressed by the guard); 'Recomputed %' is variance/|budget| with no guard, shown so the two can be compared. Check = OK when they agree.</t>
  </si>
  <si>
    <t xml:space="preserve">Phase 4 variance % (guarded)</t>
  </si>
  <si>
    <t xml:space="preserve">Recomputed % (no guard)</t>
  </si>
  <si>
    <t xml:space="preserve">Check</t>
  </si>
  <si>
    <t xml:space="preserve">REVENUE</t>
  </si>
  <si>
    <t xml:space="preserve">PEOPLE</t>
  </si>
  <si>
    <t xml:space="preserve">OPEX</t>
  </si>
  <si>
    <t xml:space="preserve">D&amp;A</t>
  </si>
  <si>
    <t xml:space="preserve">BELOW_EBITDA</t>
  </si>
  <si>
    <t xml:space="preserve">TAX</t>
  </si>
  <si>
    <t xml:space="preserve">Months with DIFF (count):</t>
  </si>
  <si>
    <t xml:space="preserve">Forecast and prior-year analysis</t>
  </si>
  <si>
    <t xml:space="preserve">USD, scale-adjusted (provisional), signs as recorded. Forecast error = Forecast - Actual. WAPE = sum|F-A| / sum|A|. Bias = sum(F-A) / sum|A|. Sources: out_c1-c8, out_d1-d5.</t>
  </si>
  <si>
    <t xml:space="preserve">THREE DIFFERENT THINGS - do not blur them. (1) Observed: the forecast column differs from actuals by the amounts shown. (2) A historical forecasting-performance measure would need dated forecast snapshots: the extract has NO forecast version or as-of date, so forecast skill, forecast accuracy as a KPI and any bias correction are NOT established here. (3) Business explanations (a late re-forecast, a mechanically derived forecast, planning optimism) are hypotheses. Population: eligible P&amp;L lines with a forecast value; the prior-year COLUMN is not the prior calendar year's actuals (see F6).</t>
  </si>
  <si>
    <t xml:space="preserve">F1. Forecast vs actual - SAME-SIGN lines (actual and forecast non-zero, same sign)</t>
  </si>
  <si>
    <t xml:space="preserve">Net error = forecast - actual (positive = forecast above actual). Bias and WAPE recomputed from Phase 4 inputs (net error, absolute error and absolute actual).</t>
  </si>
  <si>
    <t xml:space="preserve">Forecast (USD)</t>
  </si>
  <si>
    <t xml:space="preserve">Net error = forecast - actual (USD)</t>
  </si>
  <si>
    <t xml:space="preserve">Absolute error sum (USD)</t>
  </si>
  <si>
    <t xml:space="preserve">Absolute actual sum (USD)</t>
  </si>
  <si>
    <t xml:space="preserve">Bias = net error / abs actual</t>
  </si>
  <si>
    <t xml:space="preserve">WAPE = abs error / abs actual</t>
  </si>
  <si>
    <t xml:space="preserve">Observed direction</t>
  </si>
  <si>
    <t xml:space="preserve">F2. Forecast vs actual - ALL lines</t>
  </si>
  <si>
    <t xml:space="preserve">F3. Is the forecast closer to actuals than the budget? Matched lines only (out_c6)</t>
  </si>
  <si>
    <t xml:space="preserve">Same lines for both measures: actual, budget and forecast all non-zero with the same sign. This population is selected by outcome (it drops the opposite-sign lines that carry most of the error - see F4), so the improvement is a statement about these lines only.</t>
  </si>
  <si>
    <t xml:space="preserve">Matched lines (count)</t>
  </si>
  <si>
    <t xml:space="preserve">WAPE forecast</t>
  </si>
  <si>
    <t xml:space="preserve">WAPE budget</t>
  </si>
  <si>
    <t xml:space="preserve">Budget WAPE - forecast WAPE (points)</t>
  </si>
  <si>
    <t xml:space="preserve">Bias forecast</t>
  </si>
  <si>
    <t xml:space="preserve">Bias budget</t>
  </si>
  <si>
    <t xml:space="preserve">F3b. Forecast vs budget on ALL comparable lines (actual, budget and forecast present; any sign)</t>
  </si>
  <si>
    <t xml:space="preserve">Same lines for both measures, NOT selected by outcome. Compare with F3: the matched subset drops opposite-sign and zero-involved lines, so its WAPE is much smaller. Neither population establishes forecast skill (no forecast version/as-of date). F2 (all forecast lines) is larger still because it does not require a budget value, so its lines are not the same lines as F3b.</t>
  </si>
  <si>
    <t xml:space="preserve">Comparable lines (count)</t>
  </si>
  <si>
    <t xml:space="preserve">Forecast WAPE - budget WAPE (points; negative = forecast closer)</t>
  </si>
  <si>
    <t xml:space="preserve">F4. Where the forecast error sits: by sign category of the (actual, forecast) pair (out_c2)</t>
  </si>
  <si>
    <t xml:space="preserve">Counts of lines and dollars are separate columns. Opposite-sign lines carry most of the absolute error; whether they are data defects or legitimate entries (credit notes, reversals) is unresolved. Zero-involved lines carry very little.</t>
  </si>
  <si>
    <t xml:space="preserve">Sign category</t>
  </si>
  <si>
    <t xml:space="preserve">Absolute error (USD)</t>
  </si>
  <si>
    <t xml:space="preserve">Share of the section's lines</t>
  </si>
  <si>
    <t xml:space="preserve">Share of the section's absolute error</t>
  </si>
  <si>
    <t xml:space="preserve">OPPOSITE_SIGN_NONZERO</t>
  </si>
  <si>
    <t xml:space="preserve">SAME_SIGN_NONZERO</t>
  </si>
  <si>
    <t xml:space="preserve">ZERO_INVOLVED</t>
  </si>
  <si>
    <t xml:space="preserve">F5. Direction by quarter (out_c5, 12 quarters)</t>
  </si>
  <si>
    <t xml:space="preserve">On same-sign lines the forecast sits on one side of actual in every quarter. That is an observation about this sample; without dated snapshots it cannot be called a forecasting bias that a correction would remove.</t>
  </si>
  <si>
    <t xml:space="preserve">Quarters (count)</t>
  </si>
  <si>
    <t xml:space="preserve">Quarters forecast above actual</t>
  </si>
  <si>
    <t xml:space="preserve">Quarters forecast below actual</t>
  </si>
  <si>
    <t xml:space="preserve">Mean quarterly bias</t>
  </si>
  <si>
    <t xml:space="preserve">SD of quarterly bias</t>
  </si>
  <si>
    <t xml:space="preserve">F6. Result proxy on lines where actual, budget and forecast are all non-zero and same-sign (out_c8)</t>
  </si>
  <si>
    <t xml:space="preserve">Result proxy = revenue - COGS - People - Opex on the selected lines. Illustrates the gap in dollars; the selection is outcome-based, so these are NOT company results and not a forecast-skill measure.</t>
  </si>
  <si>
    <t xml:space="preserve">Actual revenue (USD)</t>
  </si>
  <si>
    <t xml:space="preserve">Actual result proxy (USD)</t>
  </si>
  <si>
    <t xml:space="preserve">Forecast result proxy (USD)</t>
  </si>
  <si>
    <t xml:space="preserve">Budget result proxy (USD)</t>
  </si>
  <si>
    <t xml:space="preserve">Forecast - actual (USD)</t>
  </si>
  <si>
    <t xml:space="preserve">Budget - actual (USD)</t>
  </si>
  <si>
    <t xml:space="preserve">3 years</t>
  </si>
  <si>
    <t xml:space="preserve">F7. Forecast error by entity (out_c3)</t>
  </si>
  <si>
    <t xml:space="preserve">Same measures by legal entity and section; 'Basis' filters same-sign vs all lines.</t>
  </si>
  <si>
    <t xml:space="preserve">Net error (USD)</t>
  </si>
  <si>
    <t xml:space="preserve">Bias</t>
  </si>
  <si>
    <t xml:space="preserve">WAPE</t>
  </si>
  <si>
    <t xml:space="preserve">F8. Actual vs the prior-year COLUMN (out_d1) - USD</t>
  </si>
  <si>
    <t xml:space="preserve">The prior-year column is a field on each line. F9 shows it is NOT equal to the previous calendar year's actuals, so 'change vs prior-year column' must not be read as year-on-year growth.</t>
  </si>
  <si>
    <t xml:space="preserve">Prior-year column (USD)</t>
  </si>
  <si>
    <t xml:space="preserve">Change = actual - prior-year column (USD)</t>
  </si>
  <si>
    <t xml:space="preserve">Change % of |prior-year column|</t>
  </si>
  <si>
    <t xml:space="preserve">F9. Does the prior-year column equal last year's actual? (out_d4) and true calendar year-on-year growth (out_d3)</t>
  </si>
  <si>
    <t xml:space="preserve">Same-sign basis is not used here: these are all eligible lines. A non-zero difference means the column is a separate planning input, not a ledger-derived prior-year actual.</t>
  </si>
  <si>
    <t xml:space="preserve">Previous calendar year actual (USD)</t>
  </si>
  <si>
    <t xml:space="preserve">Difference = column - previous actual (USD)</t>
  </si>
  <si>
    <t xml:space="preserve">Difference % of previous actual</t>
  </si>
  <si>
    <t xml:space="preserve">Basis (ANY_STATUS = all journal statuses)</t>
  </si>
  <si>
    <t xml:space="preserve">Amount (USD)</t>
  </si>
  <si>
    <t xml:space="preserve">Prior calendar year (USD)</t>
  </si>
  <si>
    <t xml:space="preserve">Lines this year (count)</t>
  </si>
  <si>
    <t xml:space="preserve">Lines prior year (count)</t>
  </si>
  <si>
    <t xml:space="preserve">YoY growth = amount / prior - 1</t>
  </si>
  <si>
    <t xml:space="preserve">ANY_STATUS_ABS</t>
  </si>
  <si>
    <t xml:space="preserve">ANY_STATUS_SIGNED</t>
  </si>
  <si>
    <t xml:space="preserve">POSTED_SIGNED</t>
  </si>
  <si>
    <t xml:space="preserve">Entity and division analysis</t>
  </si>
  <si>
    <t xml:space="preserve">USD, scale-adjusted (provisional), signs as recorded. 3-year totals unless stated. Sources: out_a2, out_a3, out_b2, out_b3, out_g5.</t>
  </si>
  <si>
    <t xml:space="preserve">Comparability: all six entities report in USD in this extract after conversion, cover the same 36 months (0 entity-month gaps, out_a6) and use the same Posted-only population. Entity size differs widely, so compare shares and percentages, not raw amounts. Consolidation and intercompany elimination (R12) are unresolved: group totals here are sums of entity lines, not consolidated results.</t>
  </si>
  <si>
    <t xml:space="preserve">E1. Actual performance by legal entity (3 years, Posted-only eligible lines)</t>
  </si>
  <si>
    <t xml:space="preserve">Gross profit = Revenue - COGS (treatment S1, signed as recorded). Share of group revenue = entity revenue / sum of entity revenues.</t>
  </si>
  <si>
    <t xml:space="preserve">Legal entity</t>
  </si>
  <si>
    <t xml:space="preserve">Share of group revenue</t>
  </si>
  <si>
    <t xml:space="preserve">NovaBridge MENA FZE</t>
  </si>
  <si>
    <t xml:space="preserve">NovaBridge Europe GmbH</t>
  </si>
  <si>
    <t xml:space="preserve">NovaBridge UK Ltd</t>
  </si>
  <si>
    <t xml:space="preserve">NovaBridge India Pvt Ltd</t>
  </si>
  <si>
    <t xml:space="preserve">NovaBridge APAC Pte Ltd</t>
  </si>
  <si>
    <t xml:space="preserve">NovaBridge Americas Inc</t>
  </si>
  <si>
    <t xml:space="preserve">Group</t>
  </si>
  <si>
    <t xml:space="preserve">Sum of entities</t>
  </si>
  <si>
    <t xml:space="preserve">E2. Actual performance by division (3 years)</t>
  </si>
  <si>
    <t xml:space="preserve">Division is populated on 100% of eligible lines (out_a5). Shares are of the sum of divisions.</t>
  </si>
  <si>
    <t xml:space="preserve">Division</t>
  </si>
  <si>
    <t xml:space="preserve">Consumer Durables</t>
  </si>
  <si>
    <t xml:space="preserve">Industrial Components</t>
  </si>
  <si>
    <t xml:space="preserve">Medical Devices</t>
  </si>
  <si>
    <t xml:space="preserve">Packaging</t>
  </si>
  <si>
    <t xml:space="preserve">Services &amp; Spares</t>
  </si>
  <si>
    <t xml:space="preserve">E3. Actual vs budget by legal entity - same-sign basis (SUMIFS over the E6 detail table)</t>
  </si>
  <si>
    <t xml:space="preserve">Variance = actual - budget. Variance % = variance / |budget| at entity level; no favourable/adverse label. Cost = COGS + People + Opex.</t>
  </si>
  <si>
    <t xml:space="preserve">Revenue actual (USD)</t>
  </si>
  <si>
    <t xml:space="preserve">Revenue budget (USD)</t>
  </si>
  <si>
    <t xml:space="preserve">Revenue variance (USD)</t>
  </si>
  <si>
    <t xml:space="preserve">Revenue variance %</t>
  </si>
  <si>
    <t xml:space="preserve">Cost actual (USD)</t>
  </si>
  <si>
    <t xml:space="preserve">Cost budget (USD)</t>
  </si>
  <si>
    <t xml:space="preserve">Cost variance (USD)</t>
  </si>
  <si>
    <t xml:space="preserve">Cost variance %</t>
  </si>
  <si>
    <t xml:space="preserve">Net effect on result proxy (USD) = revenue var - cost var</t>
  </si>
  <si>
    <t xml:space="preserve">E4. Actual vs budget by division (out_b3, both bases)</t>
  </si>
  <si>
    <t xml:space="preserve">Variance recomputed in Excel (actual - budget); % is the Phase 4 guarded figure.</t>
  </si>
  <si>
    <t xml:space="preserve">Variance % (Phase 4, guarded)</t>
  </si>
  <si>
    <t xml:space="preserve">E5. Year-on-year growth by entity (out_g5; operating cost = COGS + People + Opex)</t>
  </si>
  <si>
    <t xml:space="preserve">Growth uses Posted-only signed amounts for consecutive calendar years; 2023 has no prior year.</t>
  </si>
  <si>
    <t xml:space="preserve">YoY growth %</t>
  </si>
  <si>
    <t xml:space="preserve">OPERATING COST</t>
  </si>
  <si>
    <t xml:space="preserve">E6. Detail: variance by entity x GL (out_b2, 288 rows; filter by Basis)</t>
  </si>
  <si>
    <t xml:space="preserve">Source of the SUMIFS in E3 and in 'Budget vs Actual' / 'GL &amp; Cost Drivers'. Same-sign = lines where actual and budget are non-zero with the same sign (Phase 4 primary basis). All lines = every eligible line with a budget. 'Variance %' is blank where the Phase 4 guard (|net budget| &lt; 50% of gross) suppresses it.</t>
  </si>
  <si>
    <t xml:space="preserve">Variance = actual - budget (USD)</t>
  </si>
  <si>
    <t xml:space="preserve">Freight recovered</t>
  </si>
  <si>
    <t xml:space="preserve">Sales discounts and rebates</t>
  </si>
  <si>
    <t xml:space="preserve">Inbound freight</t>
  </si>
  <si>
    <t xml:space="preserve">Purchase price variance</t>
  </si>
  <si>
    <t xml:space="preserve">Factory overhead</t>
  </si>
  <si>
    <t xml:space="preserve">Bonus and incentives</t>
  </si>
  <si>
    <t xml:space="preserve">Benefits</t>
  </si>
  <si>
    <t xml:space="preserve">Travel</t>
  </si>
  <si>
    <t xml:space="preserve">Marketing programs</t>
  </si>
  <si>
    <t xml:space="preserve">Warehouse and distribution</t>
  </si>
  <si>
    <t xml:space="preserve">Rent and facilities</t>
  </si>
  <si>
    <t xml:space="preserve">Professional fees</t>
  </si>
  <si>
    <t xml:space="preserve">IT and software</t>
  </si>
  <si>
    <t xml:space="preserve">Warranty provision</t>
  </si>
  <si>
    <t xml:space="preserve">Bad debt</t>
  </si>
  <si>
    <t xml:space="preserve">Depreciation</t>
  </si>
  <si>
    <t xml:space="preserve">Interest expense</t>
  </si>
  <si>
    <t xml:space="preserve">FX gain or loss</t>
  </si>
  <si>
    <t xml:space="preserve">Income tax expense</t>
  </si>
  <si>
    <t xml:space="preserve">GL accounts and cost drivers</t>
  </si>
  <si>
    <t xml:space="preserve">USD, scale-adjusted (provisional), signs as recorded. Sources: out_a4, out_f1-f7, out_b2, out_b6. 3-year totals.</t>
  </si>
  <si>
    <t xml:space="preserve">High spending is not proof of inefficiency, and a variance is not a saving. Nothing here claims a causal cost driver. Unit economics (price, volume, mix) are NOT built: quantity is populated on only 33% of revenue lines (UNSUITABLE, out_a5) and the materials unit value equals the sales unit value for every product family (out_e5), so quantity and unit-of-measure fields are unresolved. 'NOS' and 'EA' are not treated as equivalent.</t>
  </si>
  <si>
    <t xml:space="preserve">G1. Activity by GL account - all 24 P&amp;L accounts used (out_a4)</t>
  </si>
  <si>
    <t xml:space="preserve">Share of total = |actual| / sum of |actual| over all accounts (absolute activity, so offsetting signs do not net out). '% lines negative' flags accounts whose sign convention is mixed (4190 discounts and 5120 PPV are the visible cases).</t>
  </si>
  <si>
    <t xml:space="preserve">Actual, signed (USD)</t>
  </si>
  <si>
    <t xml:space="preserve">Absolute actual (USD)</t>
  </si>
  <si>
    <t xml:space="preserve">Share of total absolute activity</t>
  </si>
  <si>
    <t xml:space="preserve">% of lines negative</t>
  </si>
  <si>
    <t xml:space="preserve">Total</t>
  </si>
  <si>
    <t xml:space="preserve">G2. Cost concentration - Pareto of the 17 cost accounts (out_f1)</t>
  </si>
  <si>
    <t xml:space="preserve">Cost = COGS + People + Opex + D&amp;A accounts only (COGS 5, D&amp;A 1, OPEX 8, PEOPLE 3), ranked by absolute activity. Below-EBITDA items and Tax are NOT in this population (they are not operating costs and the Phase 4 query excludes them). Cumulative share is a running sum of shares.</t>
  </si>
  <si>
    <t xml:space="preserve">Rank</t>
  </si>
  <si>
    <t xml:space="preserve">Share of cost absolute activity</t>
  </si>
  <si>
    <t xml:space="preserve">Cumulative share</t>
  </si>
  <si>
    <t xml:space="preserve">G3. Variance by GL account - same-sign basis (SUMIFS over 'Entity &amp; Division' E6)</t>
  </si>
  <si>
    <t xml:space="preserve">Rank = rank of |variance| across accounts (1 = largest). Variance % = variance / |budget|. No favourable/adverse label.</t>
  </si>
  <si>
    <t xml:space="preserve">Variance % of |budget|</t>
  </si>
  <si>
    <t xml:space="preserve">Amber = five largest absolute variances.</t>
  </si>
  <si>
    <t xml:space="preserve">G4. Cost mix and cost-to-revenue ratios by year (out_f3, out_f4)</t>
  </si>
  <si>
    <t xml:space="preserve">Ratios are absolute-value ratios (|cost| / |revenue|) and signed ratios; the two differ because of negative lines. Not a margin.</t>
  </si>
  <si>
    <t xml:space="preserve">Share of cost (absolute)</t>
  </si>
  <si>
    <t xml:space="preserve">Signed actual (USD)</t>
  </si>
  <si>
    <t xml:space="preserve">COGS / revenue (abs)</t>
  </si>
  <si>
    <t xml:space="preserve">People / revenue (abs)</t>
  </si>
  <si>
    <t xml:space="preserve">Opex / revenue (abs)</t>
  </si>
  <si>
    <t xml:space="preserve">COGS / revenue (signed)</t>
  </si>
  <si>
    <t xml:space="preserve">People / revenue (signed)</t>
  </si>
  <si>
    <t xml:space="preserve">Opex / revenue (signed)</t>
  </si>
  <si>
    <t xml:space="preserve">G5. Concentration (out_f2)</t>
  </si>
  <si>
    <t xml:space="preserve">HHI = sum of squared shares; the equal-share benchmark is 1 / members. Concentration is descriptive: it does not say spend is excessive.</t>
  </si>
  <si>
    <t xml:space="preserve">Dimension</t>
  </si>
  <si>
    <t xml:space="preserve">Members (count)</t>
  </si>
  <si>
    <t xml:space="preserve">Largest member</t>
  </si>
  <si>
    <t xml:space="preserve">Top-1 share</t>
  </si>
  <si>
    <t xml:space="preserve">Top-3 share</t>
  </si>
  <si>
    <t xml:space="preserve">HHI</t>
  </si>
  <si>
    <t xml:space="preserve">Equal-share benchmark (1/members)</t>
  </si>
  <si>
    <t xml:space="preserve">gl_account</t>
  </si>
  <si>
    <t xml:space="preserve">5100</t>
  </si>
  <si>
    <t xml:space="preserve">legal_entity</t>
  </si>
  <si>
    <t xml:space="preserve">cost_center (opex+people)</t>
  </si>
  <si>
    <t xml:space="preserve">CC410</t>
  </si>
  <si>
    <t xml:space="preserve">division</t>
  </si>
  <si>
    <t xml:space="preserve">G6. Persistent deviations: entity x GL cells that are on the same side of budget in most months (out_f5; all 144 cells, filter/sort)</t>
  </si>
  <si>
    <t xml:space="preserve">Dominant-direction share = months on the more common side / months with data. A share near 100% means the deviation is systematic rather than month-to-month noise (INS-03).</t>
  </si>
  <si>
    <t xml:space="preserve">Months with data (count)</t>
  </si>
  <si>
    <t xml:space="preserve">Months above budget (count)</t>
  </si>
  <si>
    <t xml:space="preserve">Months below budget (count)</t>
  </si>
  <si>
    <t xml:space="preserve">Dominant-direction share</t>
  </si>
  <si>
    <t xml:space="preserve">Variance %</t>
  </si>
  <si>
    <t xml:space="preserve">G7. Salary rate per FTE and the implied FTE-month scenario (out_f6, out_f7) - CONDITIONAL, not a finding</t>
  </si>
  <si>
    <t xml:space="preserve">Observed: salary lines carry a near-constant USD rate per FTE-month within each entity. Scenario (assumes the budget used the same rate and the FTE field is complete): variance / rate = implied excess FTE-months. Without a budgeted FTE plan and the budget's rate method, the people-cost variance cannot be split into rate and volume.</t>
  </si>
  <si>
    <t xml:space="preserve">Rate per FTE-month (USD)</t>
  </si>
  <si>
    <t xml:space="preserve">Salary actual (USD)</t>
  </si>
  <si>
    <t xml:space="preserve">Salary budget (USD)</t>
  </si>
  <si>
    <t xml:space="preserve">Implied excess FTE-months over 36 months (scenario)</t>
  </si>
  <si>
    <t xml:space="preserve">Implied average excess FTEs per month</t>
  </si>
  <si>
    <t xml:space="preserve">Gross profit and margin - three explicit treatments</t>
  </si>
  <si>
    <t xml:space="preserve">USD, scale-adjusted (provisional). Gross profit = Revenue - COGS (GL 4100-4190 and 5100-5300). Sources: out_e1-e4.</t>
  </si>
  <si>
    <t xml:space="preserve">No treatment is the authoritative accounting answer. Discount account 4190 is negative on about 58% of its lines and positive on the rest, and 5120 is mixed too, so the sign convention is unresolved (R9). S1 = every amount signed as recorded. S2 = discounts forced to reduce revenue (-|4190|). S3 = discounts excluded (gross sales). Row sets: 'All eligible lines' (headline) and 'ROWS_ALL_NON_NEGATIVE' = lines where none of the available amount columns is negative; it is an all-non-negative population, NOT a genuinely sign-consistent one (zero amounts count as non-negative; all-negative, single-column-flip and mixed rows are outside it). The second row set is a sensitivity, not a correction.</t>
  </si>
  <si>
    <t xml:space="preserve">GP1. Gross profit by row set, treatment and year (out_e1)</t>
  </si>
  <si>
    <t xml:space="preserve">Gross margin % = gross profit / revenue, shown only when revenue &gt; 0.</t>
  </si>
  <si>
    <t xml:space="preserve">Row set</t>
  </si>
  <si>
    <t xml:space="preserve">Treatment</t>
  </si>
  <si>
    <t xml:space="preserve">Period</t>
  </si>
  <si>
    <t xml:space="preserve">Gross profit (USD)</t>
  </si>
  <si>
    <t xml:space="preserve">All eligible lines</t>
  </si>
  <si>
    <t xml:space="preserve">S1 - signed as recorded</t>
  </si>
  <si>
    <t xml:space="preserve">ALL YEARS</t>
  </si>
  <si>
    <t xml:space="preserve">S2 - discount (4190) at absolute value</t>
  </si>
  <si>
    <t xml:space="preserve">S3 - excluding discounts (4190)</t>
  </si>
  <si>
    <t xml:space="preserve">Lines with no negative available amount (NOT sign-consistent)</t>
  </si>
  <si>
    <t xml:space="preserve">GP2. Margin range at a glance - all years (links to GP1)</t>
  </si>
  <si>
    <t xml:space="preserve">How much does the headline margin depend on the discount treatment and the row set? Read it as a range with its labels, not as one number.</t>
  </si>
  <si>
    <t xml:space="preserve">GM % - all eligible lines</t>
  </si>
  <si>
    <t xml:space="preserve">GM % - no-negative-amount lines</t>
  </si>
  <si>
    <t xml:space="preserve">Gross profit (USD) - all eligible lines</t>
  </si>
  <si>
    <t xml:space="preserve">Gross profit (USD) - no-negative-amount lines</t>
  </si>
  <si>
    <t xml:space="preserve">GP3. Gross profit vs budget - same-sign lines, by treatment (out_e3, out_e4)</t>
  </si>
  <si>
    <t xml:space="preserve">Bridge: GP variance = revenue variance - COGS variance (a higher COGS than budget lowers gross profit). Margin gap in percentage points.</t>
  </si>
  <si>
    <t xml:space="preserve">Budget revenue (USD)</t>
  </si>
  <si>
    <t xml:space="preserve">Actual COGS (USD)</t>
  </si>
  <si>
    <t xml:space="preserve">Budget COGS (USD)</t>
  </si>
  <si>
    <t xml:space="preserve">Actual GP (USD)</t>
  </si>
  <si>
    <t xml:space="preserve">Budget GP (USD)</t>
  </si>
  <si>
    <t xml:space="preserve">GP variance (USD)</t>
  </si>
  <si>
    <t xml:space="preserve">COGS variance (USD)</t>
  </si>
  <si>
    <t xml:space="preserve">Bridge difference = GP var - (rev var - COGS var)</t>
  </si>
  <si>
    <t xml:space="preserve">Actual GM %</t>
  </si>
  <si>
    <t xml:space="preserve">Budget GM %</t>
  </si>
  <si>
    <t xml:space="preserve">Margin gap (percentage points)</t>
  </si>
  <si>
    <t xml:space="preserve">GP4. Gross profit by entity (out_e2; all years)</t>
  </si>
  <si>
    <t xml:space="preserve">Filter by row set and treatment. Entity margins are comparable only within the same treatment and row set.</t>
  </si>
  <si>
    <t xml:space="preserve">Financial insights and actions</t>
  </si>
  <si>
    <t xml:space="preserve">Source: the corrected Phase 4 insight register (docs/PHASE4_INSIGHT_REGISTER.md, generated from the validated database). Ranked by materiality, persistence, confidence and actionability.</t>
  </si>
  <si>
    <t xml:space="preserve">Every insight separates OBSERVED FACT from HYPOTHESIS. Observed variance is not a saving: variance, financial exposure, a cause hypothesis and recoverable savings are kept apart. Confidence reflects synthetic, assumption-dependent data. Scores (1-3 per axis) are a project convention. Rows 'Check' compare figures recomputed from the database with the register text (formula-based, see Reconciliation).</t>
  </si>
  <si>
    <t xml:space="preserve">Ranking</t>
  </si>
  <si>
    <t xml:space="preserve">Total = materiality + persistence + confidence + actionability (each 1-3). Ties are ordered by the register's order.</t>
  </si>
  <si>
    <t xml:space="preserve">Rank / ID</t>
  </si>
  <si>
    <t xml:space="preserve">Headline</t>
  </si>
  <si>
    <t xml:space="preserve">Confidence axis (1-3)</t>
  </si>
  <si>
    <t xml:space="preserve">#1  INS-01</t>
  </si>
  <si>
    <t xml:space="preserve">The journal-status rule is the largest swing factor in the revenue and result headlines among the four assumptions tested (status, scale, sign, duplicates)</t>
  </si>
  <si>
    <t xml:space="preserve">#2  INS-02</t>
  </si>
  <si>
    <t xml:space="preserve">Lines whose forecast and actual have opposite signs (10% to 13% of lines) carry 89% to 91% of the absolute forecast error; whether they are data defects or legitimate entries is unresolved</t>
  </si>
  <si>
    <t xml:space="preserve">#3  INS-03</t>
  </si>
  <si>
    <t xml:space="preserve">Actuals sit a near-constant 3.6% below budget on revenue and 6.4% above budget on costs on same-sign lines in all 36 months, all 6 entities, all 5 divisions and every one of the 20 operating accounts (the all-lines view differs)</t>
  </si>
  <si>
    <t xml:space="preserve">#4  INS-04</t>
  </si>
  <si>
    <t xml:space="preserve">Gross profit is $12.3M below budget on same-sign lines: 57% of the gap is revenue below budget and 43% is COGS above budget; the margin gap holds under all three discount treatments</t>
  </si>
  <si>
    <t xml:space="preserve">#5  INS-05</t>
  </si>
  <si>
    <t xml:space="preserve">On a matched same-sign subset the forecast is closer to actuals than the budget; on all comparable lines the margin is 26.8% vs 29.3% revenue WAPE (forecast vs budget) and reverses for people costs, and neither view establishes forecast skill</t>
  </si>
  <si>
    <t xml:space="preserve">#6  INS-06</t>
  </si>
  <si>
    <t xml:space="preserve">Salary lines carry a near-constant rate per FTE within each entity; without a budgeted FTE plan and the budget's rate method, the people-cost variance cannot be split into rate and volume</t>
  </si>
  <si>
    <t xml:space="preserve">#7  INS-07</t>
  </si>
  <si>
    <t xml:space="preserve">Scale restoration moves the result proxy by $3.1M, and the larger (MEDIUM-confidence) tier cannot be verified against price</t>
  </si>
  <si>
    <t xml:space="preserve">#1  INS-01 - The journal-status rule is the largest swing factor in the revenue and result headlines among the four assumptions tested (status, scale, sign, duplicates)</t>
  </si>
  <si>
    <t xml:space="preserve">1. Insight ID and headline</t>
  </si>
  <si>
    <t xml:space="preserve">INS-01 - The journal-status rule is the largest swing factor in the revenue and result headlines among the four assumptions tested (status, scale, sign, duplicates)</t>
  </si>
  <si>
    <t xml:space="preserve">2. Business question</t>
  </si>
  <si>
    <t xml:space="preserve">How much of the reported revenue, cost and result depends on which journal statuses are counted?</t>
  </si>
  <si>
    <t xml:space="preserve">3. Period and population</t>
  </si>
  <si>
    <t xml:space="preserve">P&amp;L lines passing every gate except the status gate: 136,330 lines, Jan 2023 - Dec 2025. Baseline (provisional rule R6) = Posted only: 58,340 lines (42.8%).</t>
  </si>
  <si>
    <t xml:space="preserve">4. Quantified financial result (observed fact)</t>
  </si>
  <si>
    <t xml:space="preserve">Policy scenarios: revenue $202.65M (Posted only, baseline) vs $404.38M (all except Rejected) vs $471.58M (all statuses); result proxy $26.32M vs $49.16M vs $53.88M. Across these 3 policy scenarios the revenue headline moves by 133% of the baseline and the result proxy by 105%; the corresponding ranges for the scale, duplicate and sign factors (each over its own policy scenarios and baseline) are 4%, 1% and 19% of revenue. Partition diagnostic: the four non-Posted statuses hold near-equal volumes of lines (19,777, 19,302, 19,467, 19,444 for Pending, Parked, Rejected, blank) and of revenue ($67.6M, $67.0M, $67.2M, $67.1M); Posted holds 58,340 lines (42.8%, about three times any other status) and $202.6M.</t>
  </si>
  <si>
    <t xml:space="preserve">5. Formula and metric definition</t>
  </si>
  <si>
    <t xml:space="preserve">Revenue = REVENUE section; cost = COGS + PEOPLE + OPEX; result proxy = revenue - cost (not a reported operating profit; D&amp;A, below-EBITDA and tax excluded). USD, scale-adjusted (provisional), signs as recorded. Two kinds of scenario are kept apart: REPORTING-POLICY scenarios (Posted only = baseline, all except Rejected, all statuses) are the comparable alternatives that the swing ranking uses; STATUS-PARTITION diagnostics (Pending, Parked, Rejected and blank on their own) only show how the any-status population splits and are not alternative reporting policies.</t>
  </si>
  <si>
    <t xml:space="preserve">6. Comparison / baseline</t>
  </si>
  <si>
    <t xml:space="preserve">Baseline = Posted-only population (rule R6) with the scale-adjusted amounts</t>
  </si>
  <si>
    <t xml:space="preserve">7. Driver breakdown and contribution</t>
  </si>
  <si>
    <t xml:space="preserve">Reporting-policy scenarios (ranked)
Scenario | Class | Lines | Revenue | Cost | Result proxy
POSTED_ONLY (baseline) | BASELINE | 58,340 | $202.65M | $176.33M | $26.32M
ALL_EXCEPT_REJECTED | POLICY_SCENARIO | 116,863 | $404.38M | $355.23M | $49.16M
ALL_STATUSES | POLICY_SCENARIO | 136,330 | $471.58M | $417.70M | $53.88M
Status-partition diagnostics (not ranked; the five statuses add up to the all-status population)
Scenario | Class | Lines | Revenue | Cost | Result proxy
POSTED_ONLY (baseline) | BASELINE | 58,340 | $202.65M | $176.33M | $26.32M
PENDING_ONLY | STATUS_PARTITION_DIAGNOSTIC | 19,777 | $67.57M | $57.89M | $9.68M
PARKED_ONLY | STATUS_PARTITION_DIAGNOSTIC | 19,302 | $67.04M | $61.73M | $5.31M
REJECTED_ONLY | STATUS_PARTITION_DIAGNOSTIC | 19,467 | $67.19M | $62.47M | $4.72M
BLANK_ONLY | STATUS_PARTITION_DIAGNOSTIC | 19,444 | $67.13M | $59.28M | $7.85M</t>
  </si>
  <si>
    <t xml:space="preserve">8. Validation evidence / Phase 4 reference</t>
  </si>
  <si>
    <t xml:space="preserve">Single-status buckets partition the any-status population exactly (checks I03, I04); scenario classes are validated (I13-I15: the ranking uses only baseline + policy scenarios); all 15 scenarios recomputed in pandas from the CSV (cross-check X8xx) and the status range recomputed independently (X98_REV); Posted subset equals the eligible flag (L27).</t>
  </si>
  <si>
    <t xml:space="preserve">9. Observed fact vs hypothesis</t>
  </si>
  <si>
    <t xml:space="preserve">OBSERVED: see field 4.
HYPOTHESIS / INTERPRETATION: The split is almost exactly 3:1:1:1:1 (Posted = 42.8% of lines against 3/7 = 42.9%), and each non-Posted status carries about the same revenue, so status shows no visible link to line size or section. A genuine workflow would normally leave a Posted majority with small Pending/Parked tails and few Rejected lines. Whether Rejected lines belong in the books, and whether Parked/Pending are accruals or cut-off items, decides which of several very different P&amp;Ls is 'the' P&amp;L. The ranking measures how far each unresolved assumption can move the headline under the policies defined here; it is a sensitivity, not an estimate of error, and the ranges of different factors are not strictly like-for-like because each factor has its own baseline and its own set of policies.
ALTERNATIVE EXPLANATIONS: (a) The extract is a union of several scenarios or versions that were all labelled by status by accident. (b) Status is assigned at random in the generator (the dataset is synthetic - provenance unverified). (c) Posting really is 43% complete at the extract date, in which case the all-status view overstates. None can be tested from the file.</t>
  </si>
  <si>
    <t xml:space="preserve">10. Confidence level and reasons</t>
  </si>
  <si>
    <t xml:space="preserve">High that the dependency exists (arithmetic, reconciled). Low on which scenario is right: it needs the business definition of each status; the official journal-status rule is not chosen here. Limitation: the proxy omits D&amp;A, below-EBITDA and tax.</t>
  </si>
  <si>
    <t xml:space="preserve">11. Data limitations</t>
  </si>
  <si>
    <t xml:space="preserve">the proxy omits D&amp;A, below-EBITDA and tax.
Standing limits: synthetic extract with unverified provenance; Posted-only status rule (R6) and scale restoration (R7) are provisional; sign convention unresolved (R9); forecast has no version or as-of date.</t>
  </si>
  <si>
    <t xml:space="preserve">12. Recommended action</t>
  </si>
  <si>
    <t xml:space="preserve">Before any report is published, obtain written definitions for Posted, Pending, Parked, Rejected and blank, and the cut-off rule for the extract. Until then show headline figures as a range (Posted-only to all-except-Rejected), never a point estimate.</t>
  </si>
  <si>
    <t xml:space="preserve">13. Expected impact (only where supportable)</t>
  </si>
  <si>
    <t xml:space="preserve">No saving is implied, and this sizes the exposure only: it does not show which journal-status policy is correct. The exposure is reporting error: a point estimate on the Posted-only rule could understate revenue by $202M (all statuses except Rejected) up to $269M (all statuses) over 3 years and all entities (observed differences) if the other statuses belong in the books.</t>
  </si>
  <si>
    <t xml:space="preserve">14. Evidence required to confirm the underlying cause</t>
  </si>
  <si>
    <t xml:space="preserve">Written definition of every journal status (Posted, Pending, Parked, Rejected, blank) from the controller, and confirmation of which statuses belong in period-end reporting.</t>
  </si>
  <si>
    <t xml:space="preserve">15. Suggested owner (function / role)</t>
  </si>
  <si>
    <t xml:space="preserve">Controller / close owner (status definitions); FP&amp;A lead (range presentation)</t>
  </si>
  <si>
    <t xml:space="preserve">16. Follow-up KPI / validation step</t>
  </si>
  <si>
    <t xml:space="preserve">KPI : share of lines with a documented status definition = 100%; share of period-end lines not Posted.
Monitoring: Re-run out_i1/out_i2 each close; alert when the Posted share of any-status lines (out_g1: posted_rows / any_rows) leaves the range observed over the 36 months.</t>
  </si>
  <si>
    <t xml:space="preserve">Back to ranking</t>
  </si>
  <si>
    <t xml:space="preserve">#2  INS-02 - Lines whose forecast and actual have opposite signs (10% to 13% of lines) carry 89% to 91% of the absolute forecast error; whether they are data defects or legitimate entries is unresolved</t>
  </si>
  <si>
    <t xml:space="preserve">INS-02 - Lines whose forecast and actual have opposite signs (10% to 13% of lines) carry 89% to 91% of the absolute forecast error; whether they are data defects or legitimate entries is unresolved</t>
  </si>
  <si>
    <t xml:space="preserve">What drives the large forecast error, and what remains unresolved about it?</t>
  </si>
  <si>
    <t xml:space="preserve">Eligible P&amp;L lines with a forecast value: 53,543 (four operating sections).</t>
  </si>
  <si>
    <t xml:space="preserve">WAPE on all lines (scale-adjusted amounts, signs as recorded): revenue 26.6%, COGS 27.0%, people 29.3%, opex 27.9%. On same-sign non-zero lines only: 2.6%, 3.4%, 3.4%, 3.4%. 10.5% of revenue lines are opposite-sign but they carry 91.2% of the absolute revenue forecast error (total absolute revenue forecast error $63.93M); zero-involved lines carry 0.2% or less in every section. The shares come from the explicit four-category rule and are recomputed independently in pandas (X97).</t>
  </si>
  <si>
    <t xml:space="preserve">Forecast error = Forecast - Actual. WAPE = sum|F-A| / sum|A|. Bias = sum(F-A) / sum|A|. Sign category of each (actual, forecast) pair: SAME_SIGN_NONZERO, OPPOSITE_SIGN_NONZERO (both non-zero, different signs), ZERO_INVOLVED (either amount is exactly 0) and MISSING_OR_UNAVAILABLE (empty here by construction). An opposite-sign pair is an observation, not a confirmed accounting error. No sign is flipped anywhere.</t>
  </si>
  <si>
    <t xml:space="preserve">Baseline = same-sign lines (WAPE) vs all lines</t>
  </si>
  <si>
    <t xml:space="preserve">Section | Opposite-sign lines (share of lines) | Opposite-sign share of abs error | Same-sign share of abs error | Zero-involved share of abs error | WAPE all lines | WAPE same-sign lines only
REVENUE | 10.5% | 91.2% | 8.6% | 0.21% | 26.6% | 2.6%
COGS | 12.1% | 88.6% | 11.1% | 0.24% | 27.0% | 3.4%
PEOPLE | 13.2% | 89.9% | 10.0% | 0.11% | 29.3% | 3.4%
OPEX | 13.1% | 89.1% | 10.7% | 0.23% | 27.9% | 3.4%</t>
  </si>
  <si>
    <t xml:space="preserve">Category shares of rows and of error each sum to 1 and error attribution reconciles to total absolute error (C06, C07); the opposite-sign share is recomputed from fact_close (C09) and with the independent pandas category rule (X97); category counts for budget, forecast and prior year are recounted in pandas (X96); WAPE and bias recomputed in pandas (X30-X32). Variance bridge: all lines = same-sign + opposite-sign + zero-involved with difference 0.00 (B08).</t>
  </si>
  <si>
    <t xml:space="preserve">OBSERVED: see field 4.
HYPOTHESIS / INTERPRETATION: Observed (arithmetic): on all lines the forecast error is large; restricted to same-sign non-zero lines it is small. Concentration of error: opposite-sign lines (an association in this extract; no cause is established). The same category accounts for the difference between the all-lines and same-sign budget variances: people-cost variance is $0.04M on all lines but $2.29M on same-sign lines (opposite-sign lines contribute -$2.26M); revenue variance moves from -$4.67M to -$7.02M. Among eligible lines, 21.8% are flagged by the Phase 3 sign-pattern rule as a single-column sign flip (24.0% of absolute value) and 10.7% have local and USD amounts of opposite sign (a flag, not proof). Caution: the same-sign WAPE is a sensitivity chosen by the outcome (a line is kept because actual and forecast agree in sign, which mechanically removes the largest errors); it is not a measure of forecast skill. Unresolved (accounting): whether an opposite-sign pair is an error or a legitimate reversal, credit note or contra-account entry depends on the account-level sign convention, which is not verified (R9). Next investigation: take a sample of opposite-sign lines per account and compare them with source documents; ask the ledger owner for the sign convention by account.
ALTERNATIVE EXPLANATIONS: (a) Some opposite-sign lines are legitimate credit notes, reversals or reclassifications - not testable without the sign convention (the sign convention is an unresolved Phase 1 rule, R9). (b) If the data were generated synthetically, sign inversions may have been injected independently per column, which would explain why differences appear in exactly one of the amount columns. (c) The forecast may be a late re-forecast (no version or as-of date exists), which changes what the error means.</t>
  </si>
  <si>
    <t xml:space="preserve">High on the arithmetic and on its independent recomputation. Low on the accounting interpretation: no validated sign convention exists. Forecast skill is neither proved nor disproved, because the extract has no forecast version or as-of date.</t>
  </si>
  <si>
    <t xml:space="preserve">Standing limits: synthetic extract with unverified provenance; Posted-only status rule (R6) and scale restoration (R7) are provisional; sign convention unresolved (R9); forecast has no version or as-of date.</t>
  </si>
  <si>
    <t xml:space="preserve">Do not report forecast accuracy from this extract. Investigate the opposite-sign lines by account against source documents and obtain the account-level sign convention (contra accounts such as 4190, reversal postings, credit notes). Only after the conventions are verified, decide whether a validation rule is needed; do not impose a universal 'actual, budget and forecast must share a sign' rule before then.</t>
  </si>
  <si>
    <t xml:space="preserve">Measurement exposure, not a saving. Opposite-sign lines contribute $2.36M to the net revenue variance and -$2.26M to the net people-cost variance (observed, scale-adjusted amounts, signs as recorded).</t>
  </si>
  <si>
    <t xml:space="preserve">Sign convention per account (R9) from the controller; for a sample of opposite-sign lines, the source journals to see whether they are reversals/credit notes or data defects.</t>
  </si>
  <si>
    <t xml:space="preserve">Data owner of the source ledger extract; FP&amp;A analytics</t>
  </si>
  <si>
    <t xml:space="preserve">KPI (monitoring statistic, not a defect rate): share of lines with opposite-sign actual and forecast (currently 10.5% of revenue lines).
Monitoring: Each close: count of opposite-sign lines by account (out_b7, out_c2); investigate when a new account appears or the share moves outside the observed range.</t>
  </si>
  <si>
    <t xml:space="preserve">#3  INS-03 - Actuals sit a near-constant 3.6% below budget on revenue and 6.4% above budget on costs on same-sign lines in all 36 months, all 6 entities, all 5 divisions and every one of the 20 operating accounts (the all-lines view differs)</t>
  </si>
  <si>
    <t xml:space="preserve">INS-03 - Actuals sit a near-constant 3.6% below budget on revenue and 6.4% above budget on costs on same-sign lines in all 36 months, all 6 entities, all 5 divisions and every one of the 20 operating accounts (the all-lines view differs)</t>
  </si>
  <si>
    <t xml:space="preserve">Where, and in which months, do actuals deviate from budget, and is the deviation concentrated anywhere?</t>
  </si>
  <si>
    <t xml:space="preserve">Eligible lines with a budget value: 55,043; analysis on lines where actual and budget are both non-zero with the same sign (same-sign view), with the all-lines view (scale-adjusted amounts, signs as recorded) shown beside it.</t>
  </si>
  <si>
    <t xml:space="preserve">Revenue -$7.02M (-3.6%); COGS $5.30M (+6.4%); people $2.29M (+6.4%); opex $2.50M (+6.4%). The monthly % is on the same side of budget in 36 of 36 months for revenue (below) and 36 of 36 for COGS, 36 of 36 for people and 36 of 36 for opex (above), with a monthly standard deviation of only 0.16, 0.37, 0.53 and 0.33 percentage points (revenue, COGS, people, opex). On all lines (no sign filter) the variances are -2.4%, +5.8%, +0.1% and +4.9%. Same-side check on same-sign lines (revenue below budget, costs above): revenue 36/36 months, 6/6 entities, 5/5 divisions, 4/4 GL accounts; cogs 36/36 months, 6/6 entities, 5/5 divisions, 5/5 GL accounts; people 36/36 months, 6/6 entities, 5/5 divisions, 3/3 GL accounts; opex 36/36 months, 6/6 entities, 5/5 divisions, 8/8 GL accounts. The claim is limited to the four operating sections on same-sign lines; D&amp;A, below-EBITDA and tax are not covered and the all-lines view does not show it.</t>
  </si>
  <si>
    <t xml:space="preserve">Variance = Actual - Budget (USD). % = variance / ABS(net budget), published only when |net budget| &gt;= 50% of gross budget (project convention; otherwise NULL). Net and gross shown. Revenue: negative = below budget. Costs are positive magnitudes: positive variance = spend above budget. No favourable/unfavourable label is attached.</t>
  </si>
  <si>
    <t xml:space="preserve">Baseline = budget, same-sign lines; all-lines view alongside</t>
  </si>
  <si>
    <t xml:space="preserve">Section | Cells (entity x GL, &gt;=100 lines) | Lowest cell % | Highest cell % | SD of cell % (points) | Division range | GL range (all lines of the GL)
REVENUE | 18 | -3.6% | -3.3% | 0.08 | -3.6% to -3.5% | -3.5% to -2.5%
COGS | 6 | +6.3% | +6.6% | 0.09 | +6.2% to +6.6% | +5.8% to +6.5%
PEOPLE | 18 | +5.9% | +6.7% | 0.21 | +6.2% to +6.8% | +6.4% to +6.4%
OPEX | 48 | +5.9% | +7.1% | 0.27 | +6.3% to +6.8% | +6.2% to +6.6%</t>
  </si>
  <si>
    <t xml:space="preserve">Variance recomputed per section in pandas (X20/X21) and in SQL (B01-B05); entity x GL, division and month tables each reconcile to the section totals (B09-B11); net-budget guard checked (B13); the top-10 cells overlap 8 of 10 between the all-lines and same-sign views (row_number with a tie-break gives exactly ten cells).</t>
  </si>
  <si>
    <t xml:space="preserve">OBSERVED: see field 4.
HYPOTHESIS / INTERPRETATION: A real operating deviation would differ by entity, product or month. This one does not: the cells sit within about one percentage point of the same figure per section (the discount account 4190 is the only visible exception, see the GL range) and the pattern repeats in all 36 months. That is what a top-down percentage adjustment of the budget (or a budget derived from actuals by a fixed factor) produces. It is an observation about the pattern, not a finding about operations.
ALTERNATIVE EXPLANATIONS: (a) Synthetic data: budget is generated as actual x a section factor. (b) Budgets were genuinely set top-down, e.g. +3.7% revenue ambition and -6% cost reduction targets applied uniformly. (c) Budget was re-based on actuals after the fact. The file cannot separate these.</t>
  </si>
  <si>
    <t xml:space="preserve">High on the numbers; Medium-Low on any business reading. Limitation: the same-sign filter removes 11% to 13% of the lines of a section (opposite-sign and zero-involved lines); the budget field has no version or approval date.</t>
  </si>
  <si>
    <t xml:space="preserve">the same-sign filter removes 11% to 13% of the lines of a section (opposite-sign and zero-involved lines); the budget field has no version or approval date.
Standing limits: synthetic extract with unverified provenance; Posted-only status rule (R6) and scale restoration (R7) are provisional; sign convention unresolved (R9); forecast has no version or as-of date.</t>
  </si>
  <si>
    <t xml:space="preserve">Do not assign variance to entities or accounts from this pattern: there is nothing to rank. Ask the budget owner how the budget was built (top-down factor or bottom-up) and its version history. If it was top-down, the useful action is a driver-based re-forecast of revenue and cost for the entities with the largest absolute exposure, listed in the driver table.</t>
  </si>
  <si>
    <t xml:space="preserve">Observed, not a saving: over 3 years the same-sign revenue is $7.02M below budget and cost is $10.09M above budget on Posted lines only. A uniform gap implies a calibration issue in the plan, so closing it is a planning question; no cost can be 'recovered' from this table.</t>
  </si>
  <si>
    <t xml:space="preserve">The budget construction method and approval document; test whether budget lines equal a prior-year or actual-derived base multiplied by a uniform factor.</t>
  </si>
  <si>
    <t xml:space="preserve">Head of FP&amp;A (budget method); budget owner</t>
  </si>
  <si>
    <t xml:space="preserve">KPI : dispersion (SD) of variance % across entity x GL cells - a value near zero flags a mechanical budget.
Monitoring: Quarterly: recompute out_b2 and out_b5; investigate when the cell dispersion rises (a real operating difference emerging) or the monthly % crosses sides.</t>
  </si>
  <si>
    <t xml:space="preserve">#4  INS-04 - Gross profit is $12.3M below budget on same-sign lines: 57% of the gap is revenue below budget and 43% is COGS above budget; the margin gap holds under all three discount treatments</t>
  </si>
  <si>
    <t xml:space="preserve">INS-04 - Gross profit is $12.3M below budget on same-sign lines: 57% of the gap is revenue below budget and 43% is COGS above budget; the margin gap holds under all three discount treatments</t>
  </si>
  <si>
    <t xml:space="preserve">How far is gross profit from budget and which side explains it?</t>
  </si>
  <si>
    <t xml:space="preserve">Eligible lines with a budget where actual and budget are both non-zero with the same sign, revenue + COGS sections only (GL 4100-4190, 5100-5300). Revenue and COGS variances are each measured on their own section's same-sign lines (different line sets), so the gap is the published revenue variance minus the published COGS variance (reconciled to 0.00), not a like-for-like match of individual lines.</t>
  </si>
  <si>
    <t xml:space="preserve">GP variance -$12.32M (S1), -$12.61M (S2), -$12.26M (S3). Actual margin 53.9% vs budget 58.2% (S1); S2 51.0% vs 55.8%; S3 54.5% vs 58.7%. Revenue explains 57% of the S1 gap (-$7.02M), COGS 43% ($5.30M).</t>
  </si>
  <si>
    <t xml:space="preserve">Gross profit = revenue - COGS. The discount account 4190 is negative on 58% of its eligible lines, so three treatments are shown: S1 signed as recorded, S2 discount at absolute value, S3 excluding discounts. Margin % = GP / revenue.</t>
  </si>
  <si>
    <t xml:space="preserve">Baseline = budget gross profit under each of the three treatments</t>
  </si>
  <si>
    <t xml:space="preserve">Treatment | Actual margin | Budget margin | Margin gap (points) | GP variance | Revenue variance | COGS variance
GP_S1_SIGNED_AS_RECORDED | 53.9% | 58.2% | -4.3 | -$12.32M | -$7.02M | $5.30M
GP_S2_DISCOUNT_ABS | 51.0% | 55.8% | -4.8 | -$12.61M | -$7.31M | $5.30M
GP_S3_EXCL_DISCOUNT | 54.5% | 58.7% | -4.2 | -$12.26M | -$6.96M | $5.30M</t>
  </si>
  <si>
    <t xml:space="preserve">Bridge GP variance = revenue variance - COGS variance closes to 0.00 for all treatments (E01); GP recomputed from the CSV in pandas for S1, S2 and S3 (X50-X52); account classification of 4100/4110/4120/4190 verified (E06).</t>
  </si>
  <si>
    <t xml:space="preserve">OBSERVED: see field 4.
HYPOTHESIS / INTERPRETATION: The margin level depends on the row set: all lines give 54.2%, rows with sign_flag ALL_NON_NEGATIVE (no available amount negative; not a sign-consistent population) give 51.0% (S1, actuals only). The gap to budget is measured on same-sign lines, where it stays between -4.8 and -4.2 points across the discount treatments. Because the revenue gap and the cost gap are each uniform (INS-03), the margin gap looks like a plan-calibration effect on both sides rather than a mix or price effect.
ALTERNATIVE EXPLANATIONS: Price/volume/mix cannot be separated: the materials unit value equals the sales unit value for every product family (rejected finding R2 in the analysis report), so product-level unit economics are not usable. COGS sign mixing (5120 purchase price variance, mixed signs) could shift the COGS side.</t>
  </si>
  <si>
    <t xml:space="preserve">Medium. Level of margin: low (row-set dependent). Direction and size of the gap: medium-high.</t>
  </si>
  <si>
    <t xml:space="preserve">Report gross margin only as a range with its treatment named. Ask the revenue accounting owner for the sign convention of 4190 and 5120. Re-base the GM% budget once the plan method is confirmed (INS-03).</t>
  </si>
  <si>
    <t xml:space="preserve">Observed over 3 years on Posted same-sign lines: $12.32M below budget. This is a variance, not an addressable saving.</t>
  </si>
  <si>
    <t xml:space="preserve">Sign convention for discounts (4190) and purchase price variance (5120); the budget's gross-margin method; price/volume/mix data that is currently unusable.</t>
  </si>
  <si>
    <t xml:space="preserve">Controller (4190/5120 convention); FP&amp;A (GM% reporting)</t>
  </si>
  <si>
    <t xml:space="preserve">KPI : gross margin % vs budget with the treatment label.
Monitoring: Monthly: out_e3 (treatments side by side). Flag when treatments disagree on the sign of the gap.</t>
  </si>
  <si>
    <t xml:space="preserve">#5  INS-05 - On a matched same-sign subset the forecast is closer to actuals than the budget; on all comparable lines the margin is 26.8% vs 29.3% revenue WAPE (forecast vs budget) and reverses for people costs, and neither view establishes forecast skill</t>
  </si>
  <si>
    <t xml:space="preserve">INS-05 - On a matched same-sign subset the forecast is closer to actuals than the budget; on all comparable lines the margin is 26.8% vs 29.3% revenue WAPE (forecast vs budget) and reverses for people costs, and neither view establishes forecast skill</t>
  </si>
  <si>
    <t xml:space="preserve">Is the forecast more reliable than the budget on comparable populations, and is its error random or systematic?</t>
  </si>
  <si>
    <t xml:space="preserve">Two populations, never mixed. (A) Matched same-sign subset: lines where actual, budget and forecast are all non-zero with the same sign (24,372 revenue lines) - chosen by outcome, so it removes the largest errors. (B) Comparable all-lines population: every eligible line with actual, budget and forecast present, any sign (29,131 revenue lines). The all-lines forecast population used in INS-02 (30,879 revenue lines) is larger because it does not require a budget.</t>
  </si>
  <si>
    <t xml:space="preserve">(A) Matched subset, revenue WAPE: forecast 2.6% vs budget 3.7% on 24,372 lines; COGS 3.4% vs 6.0%; people 3.3% vs 6.1%; opex 3.5% vs 6.1%. (B) Comparable all-lines population (any sign), WAPE forecast vs budget: revenue 26.8% vs 29.3% (29,131 lines); COGS 27.0% vs 29.2%; people 29.9% vs 29.0%; opex 28.0% vs 30.2%. Both measures are large on all lines (26.8% to 30.2%) because opposite-sign and zero-involved lines dominate the error; the matched-subset figures (2.6% to 6.1% for the four sections, forecast and budget) are small only because those lines are excluded. The forecast-minus-budget WAPE gap is -2.5 points for revenue, -2.2 COGS, +0.8 people and -2.2 opex (negative = forecast closer), so the ordering is not the same in every section. Revenue forecast is above actual in 12 of 12 quarters (bias +1.6%); COGS, people and opex are below actual in 12, 12 and 12 of 12 quarters (bias -2.5%, -2.5%, -2.5%). Result proxy on lines where actual, budget and forecast are all non-zero with the same sign over 3 years: actual $23.34M, forecast $30.80M, budget $38.35M.</t>
  </si>
  <si>
    <t xml:space="preserve">WAPE and bias as defined in INS-02. Bias &gt; 0 = forecast above actual. Quarterly bias per section (12 quarters).</t>
  </si>
  <si>
    <t xml:space="preserve">Baseline = budget WAPE on the same matched lines</t>
  </si>
  <si>
    <t xml:space="preserve">Year | Revenue (base) | Actual result | Forecast result | Budget result
2023 | $50.56M | $4.88M | $7.19M | $9.49M
2024 | $59.34M | $10.73M | $13.27M | $15.89M
2025 | $58.65M | $7.73M | $10.33M | $12.97M
3 years | $168.55M | $23.34M | $30.80M | $38.35M</t>
  </si>
  <si>
    <t xml:space="preserve">Per-quarter bias persistence from out_c5, recomputed WAPE/bias in pandas (X30-X32); forecast and budget compared on the same lines (C6).</t>
  </si>
  <si>
    <t xml:space="preserve">OBSERVED: see field 4.
HYPOTHESIS / INTERPRETATION: On the matched same-sign subset the forecast sits about halfway between budget and actual, with revenue above and costs below actual in every quarter, so its result proxy is about 32% above actual over 3 years (arithmetic on that subset; no favourable/unfavourable label is attached). The sample shows a directional difference between forecast and actual, and it appears on a subset selected by outcome. Whether that is a stable forecasting bias, a late re-forecast, or an artefact of how the extract was built cannot be established here: the extract has no forecast version or as-of date, so true forecast performance and any appropriate correction can only be determined with dated forecast snapshots and a back-test.
ALTERNATIVE EXPLANATIONS: No forecast version or date exists in the extract: the 'forecast' may be a late re-forecast that already knew part of the actuals, which would flatter its accuracy. The triple same-sign filter removes a large share of lines and selects lines by outcome.</t>
  </si>
  <si>
    <t xml:space="preserve">Medium for the arithmetic of each population; Low for any statement that the forecast is better than the budget in general: the populations give different margins, and the lack of version/timing prevents any conclusion about forecasting skill.</t>
  </si>
  <si>
    <t xml:space="preserve">Obtain dated forecast snapshots (version and as-of date for each forecast). Only then back-test, on forecasts made before each period closed, whether the directional difference persists (observed in this sample: revenue +1.6%, COGS -2.5% of actual) and what adjustment, if any, would have improved WAPE. No correction is proposed from this extract.</t>
  </si>
  <si>
    <t xml:space="preserve">None can be claimed from this extract. The size of any accuracy gain is unknown until a dated back-test is run; the observed difference is not a saving.</t>
  </si>
  <si>
    <t xml:space="preserve">Dated forecast snapshots (version and as-of date per forecast) so accuracy can be back-tested on forecasts made before each period closed.</t>
  </si>
  <si>
    <t xml:space="preserve">FP&amp;A forecasting lead</t>
  </si>
  <si>
    <t xml:space="preserve">KPI : quarterly forecast bias by section (target not set here; baseline = values above).
Monitoring: Once dated forecast snapshots exist: each quarter, publish forecast difference and WAPE on the same same-sign basis; flag two consecutive quarters on the same side.</t>
  </si>
  <si>
    <t xml:space="preserve">#6  INS-06 - Salary lines carry a near-constant rate per FTE within each entity; without a budgeted FTE plan and the budget's rate method, the people-cost variance cannot be split into rate and volume</t>
  </si>
  <si>
    <t xml:space="preserve">INS-06 - Salary lines carry a near-constant rate per FTE within each entity; without a budgeted FTE plan and the budget's rate method, the people-cost variance cannot be split into rate and volume</t>
  </si>
  <si>
    <t xml:space="preserve">Can the people-cost variance be attributed to pay rate or to headcount volume?</t>
  </si>
  <si>
    <t xml:space="preserve">Eligible salary lines (GL 6100) with a positive FTE value: 993 lines.</t>
  </si>
  <si>
    <t xml:space="preserve">Observed: 98.4% of lines are within 0.5% of the entity's median rate (lowest entity-year share 90.6%); the rates are AE01 4,800, DE01 6,400, GB01 6,100, IN01 2,200, SG01 5,200, US01 7,800 USD per FTE-month. Conditional scenario (assumes the budget used the same rate and the FTE field is complete): the same-sign salary variance would equal AE01 33, DE01 46, GB01 27, IN01 170, SG01 48, US01 49 excess FTE-months over 36 months, i.e. IN01 about 4.7 FTEs per month above plan.</t>
  </si>
  <si>
    <t xml:space="preserve">Salary per FTE = |USD amount| / headcount_fte; share of lines within 0.5% of the entity median rate. Conditional scenario (explicit assumptions below): implied excess FTE-months = salary variance / entity rate.</t>
  </si>
  <si>
    <t xml:space="preserve">Baseline = entity median salary rate per FTE-month</t>
  </si>
  <si>
    <t xml:space="preserve">Entity | Rate per FTE-month (USD) | Actual | Budget | Variance | Conditional: implied excess FTE-months | Conditional: average excess FTEs
AE01 | 4,800 | $2.69M | $2.54M | $0.16M | 33 | 0.9
DE01 | 6,400 | $4.76M | $4.46M | $0.30M | 46 | 1.3
GB01 | 6,100 | $3.00M | $2.83M | $0.17M | 27 | 0.8
IN01 | 2,200 | $6.02M | $5.65M | $0.37M | 170 | 4.7
SG01 | 5,200 | $4.32M | $4.07M | $0.25M | 48 | 1.3
US01 | 7,800 | $6.33M | $5.94M | $0.38M | 49 | 1.4</t>
  </si>
  <si>
    <t xml:space="preserve">Median salary per FTE recomputed in pandas for IN01 2024 (X62); variance reconciles through entity x GL (B10). The FTE-month figures are arithmetic given the stated assumptions; they are not validated against any workforce plan.</t>
  </si>
  <si>
    <t xml:space="preserve">OBSERVED: see field 4.
HYPOTHESIS / INTERPRETATION: Observed fact: 98.4% of actual salary lines sit within 0.5% of the entity's median rate (lowest entity-year share 90.6%), which looks like an allocation or standard cost rather than observed payroll (hypothesis, not established). Neither a pay-rate effect nor a headcount effect is established or excluded by this extract. Hypothesis (not established): if the budget was built on the same rate, the variance would be a volume (headcount) effect. Rate versus volume cannot be separated without the budgeted FTE plan and the budget-rate method; a different budget rate would produce a rate variance. The same 6.4% overrun in each entity (INS-03) means this is not an IN01 problem: IN01 stands out in FTE terms only because its rate is the lowest.
ALTERNATIVE EXPLANATIONS: The budget may be built on a different rate or a different headcount; the FTE field is populated on 93% of the eligible salary lines; headcount_fte is an attribute of the journal line, not a payroll record.</t>
  </si>
  <si>
    <t xml:space="preserve">Medium for the rate pattern (data property); Low for the FTE-month figures (conditional on the stated assumptions).</t>
  </si>
  <si>
    <t xml:space="preserve">Request the budgeted FTE plan by entity and month and the budget rate method. If they exist, compare actual FTE-months with plan directly instead of using dollars. Until then do not report either a pay-rate variance or a headcount variance for salaries from this extract.</t>
  </si>
  <si>
    <t xml:space="preserve">Conditional scenario only: if the budget used the same rate, about 373 FTE-months were booked above plan in 3 years. The corresponding same-sign salary variance is $1.62M (observed, not a saving).</t>
  </si>
  <si>
    <t xml:space="preserve">A budgeted FTE plan by entity and period and the budget's rate method; HR headcount records to test the FTE field's completeness.</t>
  </si>
  <si>
    <t xml:space="preserve">HR business partner with FP&amp;A</t>
  </si>
  <si>
    <t xml:space="preserve">KPI : actual vs planned FTE-months by entity.
Monitoring: Monthly FTE-months vs plan; investigate if the standard rate in out_f6 moves by more than the observed spread.</t>
  </si>
  <si>
    <t xml:space="preserve">#7  INS-07 - Scale restoration moves the result proxy by $3.1M, and the larger (MEDIUM-confidence) tier cannot be verified against price</t>
  </si>
  <si>
    <t xml:space="preserve">INS-07 - Scale restoration moves the result proxy by $3.1M, and the larger (MEDIUM-confidence) tier cannot be verified against price</t>
  </si>
  <si>
    <t xml:space="preserve">How much of the headline depends on the 6,265 scale restorations, and how well does evidence inside the extract support them?</t>
  </si>
  <si>
    <t xml:space="preserve">Eligible P&amp;L lines: 2,374 are restorations (4.1%); 780 HIGH confidence (price identity), 1,594 MEDIUM (peer z-score).</t>
  </si>
  <si>
    <t xml:space="preserve">Revenue $202.65M adjusted vs $194.40M unadjusted (parsed) vs $200.88M restoring HIGH only. Result proxy $26.32M adjusted, $25.51M unadjusted (parsed), $29.44M HIGH only: restoring the MEDIUM tier lowers the result proxy by $3.12M because it adds more cost than revenue. Price test (all-status lines with a quantity and product family): HIGH 1/1000 restorations match the leave-one-entity-out reference price within 5% in 99% of 1,580 lines (93% within 0.5%); HIGH 1/100000: 92% within 5% of 234. Only 113 MEDIUM lines can be price-tested at all, and they match in 17% (1/1000) and 20% (1/100000) of cases.</t>
  </si>
  <si>
    <t xml:space="preserve">Restoration = amount x 1,000 or x 100,000 when the report-scale evidence says the value was divided. Scenarios use the same eligible lines. HIGH rows are tested against a leave-one-entity-out reference price (median unit value of UNDIVIDED HIGH lines of the same product family in the other five entities).</t>
  </si>
  <si>
    <t xml:space="preserve">Baseline = scale-adjusted (provisional) amounts vs unadjusted parsed amounts</t>
  </si>
  <si>
    <t xml:space="preserve">Scenario | Lines | Revenue | Cost | Result proxy
ADJUSTED_ALL (baseline) | 58,340 | $202.65M | $176.33M | $26.32M
RESTORE_HIGH_CONFIDENCE_ONLY | 58,340 | $200.88M | $171.44M | $29.44M
EXCLUDE_MEDIUM_CONFIDENCE_RESTORED | 56,746 | $200.88M | $171.43M | $29.44M
EXCLUDE_ALL_RESTORED_ROWS | 55,966 | $194.40M | $168.89M | $25.51M
AS_REPORTED_PARSED (no restoration) | 58,340 | $194.40M | $168.90M | $25.51M</t>
  </si>
  <si>
    <t xml:space="preserve">adjusted = parsed x factor on every decided row (L42); scenario totals recomputed in pandas (X8xx); leave-one-entity-out count of HIGH 1/1000 lines within 5% recomputed in pandas (X95: 1,569 lines).</t>
  </si>
  <si>
    <t xml:space="preserve">OBSERVED: see field 4.
HYPOTHESIS / INTERPRETATION: The HIGH tier is consistent with a leave-one-entity-out reference price built without any line of its own entity (the reference is derived from the same extract, so this is internal consistency, not independent proof). The MEDIUM tier (71% of restorations) has no equivalent support, and where a price test is possible it mostly disagrees. Until that tier is validated, the adjusted totals stay provisional.
ALTERNATIVE EXPLANATIONS: MEDIUM rows may be lines for which a price test was impossible or was already failed when the tier was assigned (selection effect), so low match rates may reflect how they were chosen. The reference price is inferred from the same extract, so the test shows internal consistency, not a true price list; passing it does not make the adjusted amounts validated financial truth.</t>
  </si>
  <si>
    <t xml:space="preserve">High for the HIGH tier consistency; Low for the MEDIUM tier. Limitation: 73 lines remain undetermined and carry no adjusted value; the 72 P&amp;L lines among them total $3,852 as reported, or $3.85M if all were 1/1000-scaled (a bound, not an estimate; out_i4).</t>
  </si>
  <si>
    <t xml:space="preserve">73 lines remain undetermined and carry no adjusted value; the 72 P&amp;L lines among them total $3,852 as reported, or $3.85M if all were 1/1000-scaled (a bound, not an estimate; out_i4).
Standing limits: synthetic extract with unverified provenance; Posted-only status rule (R6) and scale restoration (R7) are provisional; sign convention unresolved (R9); forecast has no version or as-of date.</t>
  </si>
  <si>
    <t xml:space="preserve">Ask the source owner for the report-scale setting per extract batch to confirm the MEDIUM restorations directly; until confirmed, present both the HIGH-only and the full-restoration results.</t>
  </si>
  <si>
    <t xml:space="preserve">Result proxy sensitivity $3.12M (12% of the baseline). Reporting exposure, not a saving.</t>
  </si>
  <si>
    <t xml:space="preserve">Source-system confirmation of the reporting scale for a sample of the restored lines, especially the MEDIUM-confidence tier.</t>
  </si>
  <si>
    <t xml:space="preserve">Data owner of the extract / cleaning lead</t>
  </si>
  <si>
    <t xml:space="preserve">KPI : share of restored lines with source-confirmed scale.
Monitoring: Track restorations per extract batch; alert on any new MEDIUM restorations in a batch.</t>
  </si>
  <si>
    <t xml:space="preserve">Check: figures recomputed from the database vs the register text</t>
  </si>
  <si>
    <t xml:space="preserve">Expected text is built from the Phase 4 tables in the register's own format; the Check column is an Excel formula that searches the insight's full text for it.</t>
  </si>
  <si>
    <t xml:space="preserve">Insight / figure</t>
  </si>
  <si>
    <t xml:space="preserve">Expected text (from database)</t>
  </si>
  <si>
    <t xml:space="preserve">Found in register text?</t>
  </si>
  <si>
    <t xml:space="preserve">INS-01: Baseline revenue (Posted only)</t>
  </si>
  <si>
    <t xml:space="preserve">$202.65M</t>
  </si>
  <si>
    <t xml:space="preserve">INS-01: Revenue, all statuses</t>
  </si>
  <si>
    <t xml:space="preserve">$471.58M</t>
  </si>
  <si>
    <t xml:space="preserve">INS-01: Status swing on revenue headline</t>
  </si>
  <si>
    <t xml:space="preserve">133%</t>
  </si>
  <si>
    <t xml:space="preserve">INS-02: Opposite-sign share of revenue absolute forecast error</t>
  </si>
  <si>
    <t xml:space="preserve">91.2%</t>
  </si>
  <si>
    <t xml:space="preserve">INS-02: Total absolute revenue forecast error</t>
  </si>
  <si>
    <t xml:space="preserve">$63.93M</t>
  </si>
  <si>
    <t xml:space="preserve">INS-03: Revenue variance, same-sign</t>
  </si>
  <si>
    <t xml:space="preserve">-$7.02M</t>
  </si>
  <si>
    <t xml:space="preserve">INS-03: Revenue variance %, same-sign</t>
  </si>
  <si>
    <t xml:space="preserve">-3.6%</t>
  </si>
  <si>
    <t xml:space="preserve">INS-04: Gross profit variance S1</t>
  </si>
  <si>
    <t xml:space="preserve">-$12.32M</t>
  </si>
  <si>
    <t xml:space="preserve">INS-05: Revenue WAPE, forecast (matched lines)</t>
  </si>
  <si>
    <t xml:space="preserve">2.6%</t>
  </si>
  <si>
    <t xml:space="preserve">INS-05: Revenue WAPE, budget (matched lines)</t>
  </si>
  <si>
    <t xml:space="preserve">3.7%</t>
  </si>
  <si>
    <t xml:space="preserve">INS-06: IN01 implied excess FTE-months (scenario)</t>
  </si>
  <si>
    <t xml:space="preserve">IN01 170</t>
  </si>
  <si>
    <t xml:space="preserve">INS-07: Result proxy effect of restoring the MEDIUM tier</t>
  </si>
  <si>
    <t xml:space="preserve">$3.12M</t>
  </si>
  <si>
    <t xml:space="preserve">Data quality, exclusions and exceptions</t>
  </si>
  <si>
    <t xml:space="preserve">Counts of lines unless stated; USD amounts are absolute as-reported or adjusted as labelled. Sources: out_i1-i10, out_a0, out_a5, out_a6, out_a7, out_a8, out_h1-h6.</t>
  </si>
  <si>
    <t xml:space="preserve">All figures are provisional (Posted-only, scale-adjusted). Flags are exposures, not corrections: flagged lines are retained in the populations (nothing is removed, flipped or repaired). The exposure tables show how many lines and how much absolute value each issue touches so the owner can prioritise. Balance-sheet lines are records of posted lines, NOT period-end balances, and no balance-sheet ratio is calculated.</t>
  </si>
  <si>
    <t xml:space="preserve">Q1. Where did all 152,682 source rows go? Primary exclusion reason (out_i9)</t>
  </si>
  <si>
    <t xml:space="preserve">Each source row has exactly one primary reason or is eligible (fixed precedence, rule R14). The total must equal the source row count.</t>
  </si>
  <si>
    <t xml:space="preserve">Primary reason</t>
  </si>
  <si>
    <t xml:space="preserve">Rows (count)</t>
  </si>
  <si>
    <t xml:space="preserve">Share of all rows</t>
  </si>
  <si>
    <t xml:space="preserve">Absolute as-reported USD</t>
  </si>
  <si>
    <t xml:space="preserve">1_NON_POSTING_ROW</t>
  </si>
  <si>
    <t xml:space="preserve">2_JUNK_ENTITY</t>
  </si>
  <si>
    <t xml:space="preserve">3_ENTITY_UNRESOLVABLE</t>
  </si>
  <si>
    <t xml:space="preserve">4_OUT_OF_SCOPE_STATEMENT</t>
  </si>
  <si>
    <t xml:space="preserve">5_STATUS_NOT_ELIGIBLE</t>
  </si>
  <si>
    <t xml:space="preserve">7_AMOUNT_MISSING</t>
  </si>
  <si>
    <t xml:space="preserve">8_SCALE_UNDECIDABLE</t>
  </si>
  <si>
    <t xml:space="preserve">ELIGIBLE</t>
  </si>
  <si>
    <t xml:space="preserve">Total source rows</t>
  </si>
  <si>
    <t xml:space="preserve">Q2. Exposure of the eligible P&amp;L population to each data-quality flag (out_i8)</t>
  </si>
  <si>
    <t xml:space="preserve">Flags overlap, so rows must not be added across lines. Shares are of eligible rows and eligible absolute activity.</t>
  </si>
  <si>
    <t xml:space="preserve">Flag</t>
  </si>
  <si>
    <t xml:space="preserve">Eligible rows flagged (count)</t>
  </si>
  <si>
    <t xml:space="preserve">Absolute actual flagged (USD)</t>
  </si>
  <si>
    <t xml:space="preserve">Share of eligible rows</t>
  </si>
  <si>
    <t xml:space="preserve">Share of eligible absolute activity</t>
  </si>
  <si>
    <t xml:space="preserve">fx_zero: FX rate = 0</t>
  </si>
  <si>
    <t xml:space="preserve">fx_missing: FX rate missing</t>
  </si>
  <si>
    <t xml:space="preserve">usd_row_local_neq_usd: USD-currency row where local differs from USD</t>
  </si>
  <si>
    <t xml:space="preserve">fx_usd_rate_not_one: USD-currency row with rate outside 1.000 +/- 0.001</t>
  </si>
  <si>
    <t xml:space="preserve">local_usd_sign_conflict</t>
  </si>
  <si>
    <t xml:space="preserve">sign_single_column_flip</t>
  </si>
  <si>
    <t xml:space="preserve">sign_all_negative</t>
  </si>
  <si>
    <t xml:space="preserve">scale_restored</t>
  </si>
  <si>
    <t xml:space="preserve">scale_label_contradicted</t>
  </si>
  <si>
    <t xml:space="preserve">magnitude_outlier</t>
  </si>
  <si>
    <t xml:space="preserve">dup_candidate_partial_agreement (flag_dup_candidate; tier CANDIDATE_COPY_PARTIAL_AGREEMENT)</t>
  </si>
  <si>
    <t xml:space="preserve">dup_tier_field_match (same-sign or sign-conflict candidate copies)</t>
  </si>
  <si>
    <t xml:space="preserve">cost_center_missing</t>
  </si>
  <si>
    <t xml:space="preserve">Q3. Reliability of descriptive fields (out_a5): fill rate by section</t>
  </si>
  <si>
    <t xml:space="preserve">Verdict is the Phase 4 assessment. Quantity, customer segment and channel are populated on too few revenue lines to support price-volume-mix analysis.</t>
  </si>
  <si>
    <t xml:space="preserve">Field</t>
  </si>
  <si>
    <t xml:space="preserve">Eligible rows (count)</t>
  </si>
  <si>
    <t xml:space="preserve">Populated (count)</t>
  </si>
  <si>
    <t xml:space="preserve">Fill rate</t>
  </si>
  <si>
    <t xml:space="preserve">Distinct values (count)</t>
  </si>
  <si>
    <t xml:space="preserve">Phase 4 verdict</t>
  </si>
  <si>
    <t xml:space="preserve">channel</t>
  </si>
  <si>
    <t xml:space="preserve">UNSUITABLE</t>
  </si>
  <si>
    <t xml:space="preserve">USABLE WITH BLANK BUCKET</t>
  </si>
  <si>
    <t xml:space="preserve">cost_center_code</t>
  </si>
  <si>
    <t xml:space="preserve">customer_segment</t>
  </si>
  <si>
    <t xml:space="preserve">NOT POPULATED</t>
  </si>
  <si>
    <t xml:space="preserve">RELIABLE</t>
  </si>
  <si>
    <t xml:space="preserve">product_family</t>
  </si>
  <si>
    <t xml:space="preserve">qty (numeric)</t>
  </si>
  <si>
    <t xml:space="preserve">region</t>
  </si>
  <si>
    <t xml:space="preserve">uom</t>
  </si>
  <si>
    <t xml:space="preserve">Legend: green = RELIABLE fill; red = UNSUITABLE. ("UNRELIABLE" and "PARTIAL" are unshaded.) Verdict text is copied from Phase 4.</t>
  </si>
  <si>
    <t xml:space="preserve">Q4. How much does each unresolved rule move the headline? (out_i1, out_i2)</t>
  </si>
  <si>
    <t xml:space="preserve">Each factor is varied alone, others at baseline. Result proxy = revenue - COGS - People - Opex. BASELINE rows are the workbook's numbers; the swing is a range of plausible policies, not an error estimate. Status-partition rows are diagnostics, not policies.</t>
  </si>
  <si>
    <t xml:space="preserve">Factor</t>
  </si>
  <si>
    <t xml:space="preserve">Scenario</t>
  </si>
  <si>
    <t xml:space="preserve">Class</t>
  </si>
  <si>
    <t xml:space="preserve">Cost: COGS+People+Opex (USD)</t>
  </si>
  <si>
    <t xml:space="preserve">Result proxy (USD)</t>
  </si>
  <si>
    <t xml:space="preserve">Revenue vs baseline (%)</t>
  </si>
  <si>
    <t xml:space="preserve">Result proxy vs baseline (%)</t>
  </si>
  <si>
    <t xml:space="preserve">duplicates</t>
  </si>
  <si>
    <t xml:space="preserve">CANDIDATES_RETAINED (baseline)</t>
  </si>
  <si>
    <t xml:space="preserve">BASELINE</t>
  </si>
  <si>
    <t xml:space="preserve">EXCLUDE_ALL_COPY_CANDIDATES</t>
  </si>
  <si>
    <t xml:space="preserve">POLICY_SCENARIO</t>
  </si>
  <si>
    <t xml:space="preserve">EXCLUDE_SAME_SIGN_CANDIDATES</t>
  </si>
  <si>
    <t xml:space="preserve">scale</t>
  </si>
  <si>
    <t xml:space="preserve">ADJUSTED_ALL (baseline)</t>
  </si>
  <si>
    <t xml:space="preserve">AS_REPORTED_PARSED (no restoration)</t>
  </si>
  <si>
    <t xml:space="preserve">EXCLUDE_ALL_RESTORED_ROWS</t>
  </si>
  <si>
    <t xml:space="preserve">EXCLUDE_MEDIUM_CONFIDENCE_RESTORED</t>
  </si>
  <si>
    <t xml:space="preserve">RESTORE_HIGH_CONFIDENCE_ONLY</t>
  </si>
  <si>
    <t xml:space="preserve">sign</t>
  </si>
  <si>
    <t xml:space="preserve">ALL_NON_NEGATIVE_ROWS_ONLY</t>
  </si>
  <si>
    <t xml:space="preserve">ALL_ROWS_SIGNS_AS_RECORDED (baseline)</t>
  </si>
  <si>
    <t xml:space="preserve">EXCLUDE_SINGLE_COLUMN_SIGN_FLIPS</t>
  </si>
  <si>
    <t xml:space="preserve">status</t>
  </si>
  <si>
    <t xml:space="preserve">ALL_EXCEPT_REJECTED</t>
  </si>
  <si>
    <t xml:space="preserve">ALL_STATUSES</t>
  </si>
  <si>
    <t xml:space="preserve">BLANK_ONLY</t>
  </si>
  <si>
    <t xml:space="preserve">STATUS_PARTITION_DIAGNOSTIC</t>
  </si>
  <si>
    <t xml:space="preserve">PARKED_ONLY</t>
  </si>
  <si>
    <t xml:space="preserve">PENDING_ONLY</t>
  </si>
  <si>
    <t xml:space="preserve">POSTED_ONLY (baseline)</t>
  </si>
  <si>
    <t xml:space="preserve">REJECTED_ONLY</t>
  </si>
  <si>
    <t xml:space="preserve">Factor (ranked by revenue swing)</t>
  </si>
  <si>
    <t xml:space="preserve">Scenarios (count)</t>
  </si>
  <si>
    <t xml:space="preserve">Min revenue (USD)</t>
  </si>
  <si>
    <t xml:space="preserve">Max revenue (USD)</t>
  </si>
  <si>
    <t xml:space="preserve">Revenue range % of baseline</t>
  </si>
  <si>
    <t xml:space="preserve">Min result proxy (USD)</t>
  </si>
  <si>
    <t xml:space="preserve">Max result proxy (USD)</t>
  </si>
  <si>
    <t xml:space="preserve">Result range % of baseline</t>
  </si>
  <si>
    <t xml:space="preserve">Q5. Scale restoration (rule R7): lines whose amounts were divided by 1,000 / 100,000 (out_i5, out_i4)</t>
  </si>
  <si>
    <t xml:space="preserve">Restoration is a provisional rule. HIGH/MEDIUM confidence tiers show how much of each section's absolute activity depends on it; 'undetermined' rows are left as reported.</t>
  </si>
  <si>
    <t xml:space="preserve">Confidence</t>
  </si>
  <si>
    <t xml:space="preserve">Decision</t>
  </si>
  <si>
    <t xml:space="preserve">Absolute adjusted (USD)</t>
  </si>
  <si>
    <t xml:space="preserve">Absolute as reported (USD)</t>
  </si>
  <si>
    <t xml:space="preserve">Share of section absolute activity</t>
  </si>
  <si>
    <t xml:space="preserve">HIGH</t>
  </si>
  <si>
    <t xml:space="preserve">DIVIDED_1E3</t>
  </si>
  <si>
    <t xml:space="preserve">DIVIDED_1E5</t>
  </si>
  <si>
    <t xml:space="preserve">MEDIUM</t>
  </si>
  <si>
    <t xml:space="preserve">Undetermined-scale rows by section</t>
  </si>
  <si>
    <t xml:space="preserve">Rows undetermined (count)</t>
  </si>
  <si>
    <t xml:space="preserve">Of which Posted (count)</t>
  </si>
  <si>
    <t xml:space="preserve">If x1,000 (USD)</t>
  </si>
  <si>
    <t xml:space="preserve">If x100,000 (USD)</t>
  </si>
  <si>
    <t xml:space="preserve">BALANCE_SHEET</t>
  </si>
  <si>
    <t xml:space="preserve">Q6. Duplicate-candidate exposure (out_i6, out_i7)</t>
  </si>
  <si>
    <t xml:space="preserve">document_no is not a unique key (R5). No two rows are identical in all source fields, so no line is removed. 'Field match' tiers are candidates only: they may be legitimate repeated postings.</t>
  </si>
  <si>
    <t xml:space="preserve">Duplicate tier</t>
  </si>
  <si>
    <t xml:space="preserve">Share of eligible absolute</t>
  </si>
  <si>
    <t xml:space="preserve">UNIQUE_DOCUMENT_NO</t>
  </si>
  <si>
    <t xml:space="preserve">GROUP_ANCHOR</t>
  </si>
  <si>
    <t xml:space="preserve">DUP_CANDIDATE_FIELD_MATCH_SAME_SIGN</t>
  </si>
  <si>
    <t xml:space="preserve">DUP_CANDIDATE_FIELD_MATCH_SIGN_CONFLICT</t>
  </si>
  <si>
    <t xml:space="preserve">Exact-match test</t>
  </si>
  <si>
    <t xml:space="preserve">Groups with matches (count)</t>
  </si>
  <si>
    <t xml:space="preserve">Rows in matches (count)</t>
  </si>
  <si>
    <t xml:space="preserve">identical in all 42 source fields (row_id ignored)</t>
  </si>
  <si>
    <t xml:space="preserve">identical in 41 fields (row_id and extract batch ignored)</t>
  </si>
  <si>
    <t xml:space="preserve">same document_no + entity + GL + the five amount texts (strict text equality, no tolerance)</t>
  </si>
  <si>
    <t xml:space="preserve">Q7. Grain evidence: are budget/forecast/prior-year per-line amounts? (out_a0)</t>
  </si>
  <si>
    <t xml:space="preserve">Lines in the same entity x period x GL cell carry different values in 98% of multi-line cells, so they are treated as per-line amounts and summed (R-grain assumption, provisional).</t>
  </si>
  <si>
    <t xml:space="preserve">Metric</t>
  </si>
  <si>
    <t xml:space="preserve">Note</t>
  </si>
  <si>
    <t xml:space="preserve">cells (entity x period x GL) with &gt;=1 eligible row</t>
  </si>
  <si>
    <t xml:space="preserve">cells with &gt;1 eligible row</t>
  </si>
  <si>
    <t xml:space="preserve">multi-row cells: budget - ALL_POPULATED_EQUAL</t>
  </si>
  <si>
    <t xml:space="preserve">identical values on every line would instead suggest a repeated cell-level figure</t>
  </si>
  <si>
    <t xml:space="preserve">multi-row cells: forecast - ALL_POPULATED_EQUAL</t>
  </si>
  <si>
    <t xml:space="preserve">multi-row cells: prior year - ALL_POPULATED_EQUAL</t>
  </si>
  <si>
    <t xml:space="preserve">multi-row cells: actual - ALL_POPULATED_EQUAL</t>
  </si>
  <si>
    <t xml:space="preserve">multi-row cells: budget - MULTIPLE_POPULATED_DIFFERENT</t>
  </si>
  <si>
    <t xml:space="preserve">lines in the same cell carry different values, so values are per-line amounts and are summed as separate amounts</t>
  </si>
  <si>
    <t xml:space="preserve">multi-row cells: forecast - MULTIPLE_POPULATED_DIFFERENT</t>
  </si>
  <si>
    <t xml:space="preserve">multi-row cells: prior year - MULTIPLE_POPULATED_DIFFERENT</t>
  </si>
  <si>
    <t xml:space="preserve">multi-row cells: actual - MULTIPLE_POPULATED_DIFFERENT</t>
  </si>
  <si>
    <t xml:space="preserve">multi-row cells: budget - ONE_VALUE_PLUS_MISSING</t>
  </si>
  <si>
    <t xml:space="preserve">multi-row cells: forecast - ONE_VALUE_PLUS_MISSING</t>
  </si>
  <si>
    <t xml:space="preserve">multi-row cells: prior year - ONE_VALUE_PLUS_MISSING</t>
  </si>
  <si>
    <t xml:space="preserve">multi-row cells: actual - ONE_VALUE_PLUS_MISSING</t>
  </si>
  <si>
    <t xml:space="preserve">multi-row cells: budget - ALL_MISSING</t>
  </si>
  <si>
    <t xml:space="preserve">multi-row cells: forecast - ALL_MISSING</t>
  </si>
  <si>
    <t xml:space="preserve">multi-row cells: prior year - ALL_MISSING</t>
  </si>
  <si>
    <t xml:space="preserve">multi-row cells: actual - ALL_MISSING</t>
  </si>
  <si>
    <t xml:space="preserve">eligible P&amp;L rows</t>
  </si>
  <si>
    <t xml:space="preserve">distinct document_no among eligible P&amp;L rows</t>
  </si>
  <si>
    <t xml:space="preserve">document_no is not a unique line key (R5)</t>
  </si>
  <si>
    <t xml:space="preserve">non-posting (TOTAL/Subtotal/CHECK) rows still in the canonical CSV</t>
  </si>
  <si>
    <t xml:space="preserve">kept for traceability, excluded from every population</t>
  </si>
  <si>
    <t xml:space="preserve">non-posting rows inside any analytical population</t>
  </si>
  <si>
    <t xml:space="preserve">must be 0</t>
  </si>
  <si>
    <t xml:space="preserve">Q8. Account mapping consistency (out_a8) and period coverage (out_a7)</t>
  </si>
  <si>
    <t xml:space="preserve">Every GL account must map to one name, group and statement. CONSISTENT = a single mapping.</t>
  </si>
  <si>
    <t xml:space="preserve">Posting rows (count)</t>
  </si>
  <si>
    <t xml:space="preserve">Names (count)</t>
  </si>
  <si>
    <t xml:space="preserve">Groups (count)</t>
  </si>
  <si>
    <t xml:space="preserve">FS lines (count)</t>
  </si>
  <si>
    <t xml:space="preserve">Statements (count)</t>
  </si>
  <si>
    <t xml:space="preserve">Mapping status</t>
  </si>
  <si>
    <t xml:space="preserve">CONSISTENT</t>
  </si>
  <si>
    <t xml:space="preserve">Not CONSISTENT (count):</t>
  </si>
  <si>
    <t xml:space="preserve">Period coverage (out_a7): 2023-01 to 2025-12, 36 distinct periods, 0 entity-month gaps; lines per entity-month range 232-325.</t>
  </si>
  <si>
    <t xml:space="preserve">Q9. Balance-sheet lines: records, not balances (out_h1, out_h6)</t>
  </si>
  <si>
    <t xml:space="preserve">Balance-sheet lines populate 86.3% of entity x month x account cells, and 63.8% of populated cells hold more than one line (up to 6), so lines are not additive period-end snapshots. The metrics below were deliberately NOT computed:</t>
  </si>
  <si>
    <t xml:space="preserve">Metric not computed</t>
  </si>
  <si>
    <t xml:space="preserve">Reason</t>
  </si>
  <si>
    <t xml:space="preserve">Working capital</t>
  </si>
  <si>
    <t xml:space="preserve">Needs reliable closing balances for receivables, inventory, payables and an asset/liability sign mapping. Lines per cell are not additive snapshots (H3) and sign convention is unresolved.</t>
  </si>
  <si>
    <t xml:space="preserve">DSO</t>
  </si>
  <si>
    <t xml:space="preserve">Needs closing trade receivables (1200) and credit sales for the same period plus an averaging convention. Credit sales are not separable from cash sales in the extract.</t>
  </si>
  <si>
    <t xml:space="preserve">DPO</t>
  </si>
  <si>
    <t xml:space="preserve">Needs closing trade payables (2100) and purchases/COGS on a stated basis. 2100 (and 1200) each show a negative period total and month-on-month swings far beyond a plausible balance (H5), so the balance is not reliable.</t>
  </si>
  <si>
    <t xml:space="preserve">Inventory turnover</t>
  </si>
  <si>
    <t xml:space="preserve">Needs average inventory (1300) from opening and closing balances. Opening/closing status of lines is unknown.</t>
  </si>
  <si>
    <t xml:space="preserve">Cash conversion cycle</t>
  </si>
  <si>
    <t xml:space="preserve">Depends on DSO, DPO and inventory days; none can be supported.</t>
  </si>
  <si>
    <t xml:space="preserve">Balance movement (change in receivables etc.)</t>
  </si>
  <si>
    <t xml:space="preserve">Needs a consistent opening/closing definition and one line per cell; most populated cells have several lines whose sizes differ widely (H1, H3).</t>
  </si>
  <si>
    <t xml:space="preserve">Intercompany balance reconciliation</t>
  </si>
  <si>
    <t xml:space="preserve">Counterparty entity is not in the extract; elimination status is mostly blank (R12 unresolved).</t>
  </si>
  <si>
    <t xml:space="preserve">Q10. Unavailable by design</t>
  </si>
  <si>
    <t xml:space="preserve">Not built because the data or definitions do not support them:</t>
  </si>
  <si>
    <t xml:space="preserve">- Close duration, on-time-close rate, close-calendar KPIs: no close-start / close-end timestamps exist in the extract (posting dates are not close events).</t>
  </si>
  <si>
    <t xml:space="preserve">- EBITDA: D&amp;A and below-EBITDA signs are unverified and 'Operating result proxy' is not EBITDA.</t>
  </si>
  <si>
    <t xml:space="preserve">- Cost-centre variance: Phase 4 does not publish it; cost-centre is missing on 4.6% of eligible lines.</t>
  </si>
  <si>
    <t xml:space="preserve">- Forecast skill / bias correction: the forecast has no version or as-of date.</t>
  </si>
  <si>
    <t xml:space="preserve">- Unit economics (price, volume, mix) and materials-vs-sales unit costs: quantity/UoM unreliable (33% fill; equal unit values across product families).</t>
  </si>
  <si>
    <t xml:space="preserve">- Consolidated group results: intercompany and eliminations (R12) unresolved.</t>
  </si>
  <si>
    <t xml:space="preserve">Reconciliation and QA - every check is a live formula</t>
  </si>
  <si>
    <t xml:space="preserve">Expected = recomputed independently from the Phase 4 analytical views (v_pl_actual, v_var_scn, v_fc_scn, v_gp_rows) or stated Phase 4 control totals. Workbook = the cell the sheet actually shows (green link). Difference and PASS/FAIL are Excel formulas.</t>
  </si>
  <si>
    <t xml:space="preserve">Tolerance: counts exact (0); USD amounts 0.5; percentages 0.000001. A check passes when |Difference| &lt;= tolerance. Tolerances are blue inputs. The Python test suite additionally recalculates this workbook in LibreOffice and compares every cached value; Excel itself was not used to generate or open this file.</t>
  </si>
  <si>
    <t xml:space="preserve">Overall status:</t>
  </si>
  <si>
    <t xml:space="preserve">Checks:</t>
  </si>
  <si>
    <t xml:space="preserve">Pass / Fail:</t>
  </si>
  <si>
    <t xml:space="preserve">ID</t>
  </si>
  <si>
    <t xml:space="preserve">Area</t>
  </si>
  <si>
    <t xml:space="preserve">Expected (independent source)</t>
  </si>
  <si>
    <t xml:space="preserve">Workbook value</t>
  </si>
  <si>
    <t xml:space="preserve">Difference</t>
  </si>
  <si>
    <t xml:space="preserve">Tolerance</t>
  </si>
  <si>
    <t xml:space="preserve">Result</t>
  </si>
  <si>
    <t xml:space="preserve">R-01</t>
  </si>
  <si>
    <t xml:space="preserve">Population</t>
  </si>
  <si>
    <t xml:space="preserve">Eligible P&amp;L lines: Monthly P&amp;L total vs v_pl_actual</t>
  </si>
  <si>
    <t xml:space="preserve">R-02</t>
  </si>
  <si>
    <t xml:space="preserve">All source rows: Data Quality waterfall total vs v_close</t>
  </si>
  <si>
    <t xml:space="preserve">R-03</t>
  </si>
  <si>
    <t xml:space="preserve">Eligible lines: GL activity total vs v_pl_actual</t>
  </si>
  <si>
    <t xml:space="preserve">R-03b</t>
  </si>
  <si>
    <t xml:space="preserve">Eligible lines: entity table total vs v_pl_actual</t>
  </si>
  <si>
    <t xml:space="preserve">R-04</t>
  </si>
  <si>
    <t xml:space="preserve">Revenue: 36-month total vs v_pl_actual</t>
  </si>
  <si>
    <t xml:space="preserve">R-05</t>
  </si>
  <si>
    <t xml:space="preserve">COGS: 36-month total vs v_pl_actual</t>
  </si>
  <si>
    <t xml:space="preserve">R-06</t>
  </si>
  <si>
    <t xml:space="preserve">People costs: 36-month total vs v_pl_actual</t>
  </si>
  <si>
    <t xml:space="preserve">R-07</t>
  </si>
  <si>
    <t xml:space="preserve">Operating expenses: 36-month total vs v_pl_actual</t>
  </si>
  <si>
    <t xml:space="preserve">R-08</t>
  </si>
  <si>
    <t xml:space="preserve">D&amp;A (depreciation, GL 6300): 36-month total vs v_pl_actual</t>
  </si>
  <si>
    <t xml:space="preserve">R-09</t>
  </si>
  <si>
    <t xml:space="preserve">Below-EBITDA items: 36-month total vs v_pl_actual</t>
  </si>
  <si>
    <t xml:space="preserve">R-10</t>
  </si>
  <si>
    <t xml:space="preserve">Tax: 36-month total vs v_pl_actual</t>
  </si>
  <si>
    <t xml:space="preserve">R-11</t>
  </si>
  <si>
    <t xml:space="preserve">Cross-sheet</t>
  </si>
  <si>
    <t xml:space="preserve">Revenue: entity table total = Monthly P&amp;L total</t>
  </si>
  <si>
    <t xml:space="preserve">R-12</t>
  </si>
  <si>
    <t xml:space="preserve">Revenue: division table total = Monthly P&amp;L total</t>
  </si>
  <si>
    <t xml:space="preserve">R-13-2023</t>
  </si>
  <si>
    <t xml:space="preserve">Revenue 2023: calendar-year row vs v_pl_actual</t>
  </si>
  <si>
    <t xml:space="preserve">R-13-2024</t>
  </si>
  <si>
    <t xml:space="preserve">Revenue 2024: calendar-year row vs v_pl_actual</t>
  </si>
  <si>
    <t xml:space="preserve">R-13-2025</t>
  </si>
  <si>
    <t xml:space="preserve">Revenue 2025: calendar-year row vs v_pl_actual</t>
  </si>
  <si>
    <t xml:space="preserve">R-14-AE01</t>
  </si>
  <si>
    <t xml:space="preserve">Revenue AE01: entity table vs v_pl_actual</t>
  </si>
  <si>
    <t xml:space="preserve">R-14-DE01</t>
  </si>
  <si>
    <t xml:space="preserve">Revenue DE01: entity table vs v_pl_actual</t>
  </si>
  <si>
    <t xml:space="preserve">R-14-GB01</t>
  </si>
  <si>
    <t xml:space="preserve">Revenue GB01: entity table vs v_pl_actual</t>
  </si>
  <si>
    <t xml:space="preserve">R-14-IN01</t>
  </si>
  <si>
    <t xml:space="preserve">Revenue IN01: entity table vs v_pl_actual</t>
  </si>
  <si>
    <t xml:space="preserve">R-14-SG01</t>
  </si>
  <si>
    <t xml:space="preserve">Revenue SG01: entity table vs v_pl_actual</t>
  </si>
  <si>
    <t xml:space="preserve">R-14-US01</t>
  </si>
  <si>
    <t xml:space="preserve">Revenue US01: entity table vs v_pl_actual</t>
  </si>
  <si>
    <t xml:space="preserve">R-15-ss-REVENUE-A</t>
  </si>
  <si>
    <t xml:space="preserve">Budget vs Actual</t>
  </si>
  <si>
    <t xml:space="preserve">Revenue actual (same-sign) vs v_var_scn</t>
  </si>
  <si>
    <t xml:space="preserve">R-15-ss-REVENUE-B</t>
  </si>
  <si>
    <t xml:space="preserve">Revenue budget (same-sign) vs v_var_scn</t>
  </si>
  <si>
    <t xml:space="preserve">R-15-ss-REVENUE-N</t>
  </si>
  <si>
    <t xml:space="preserve">Revenue lines (same-sign) vs v_var_scn</t>
  </si>
  <si>
    <t xml:space="preserve">R-15-al-REVENUE-A</t>
  </si>
  <si>
    <t xml:space="preserve">Revenue actual (all lines) vs v_var_scn</t>
  </si>
  <si>
    <t xml:space="preserve">R-15-al-REVENUE-B</t>
  </si>
  <si>
    <t xml:space="preserve">Revenue budget (all lines) vs v_var_scn</t>
  </si>
  <si>
    <t xml:space="preserve">R-15-al-REVENUE-N</t>
  </si>
  <si>
    <t xml:space="preserve">Revenue lines (all lines) vs v_var_scn</t>
  </si>
  <si>
    <t xml:space="preserve">R-15-ss-COGS-A</t>
  </si>
  <si>
    <t xml:space="preserve">COGS actual (same-sign) vs v_var_scn</t>
  </si>
  <si>
    <t xml:space="preserve">R-15-ss-COGS-B</t>
  </si>
  <si>
    <t xml:space="preserve">COGS budget (same-sign) vs v_var_scn</t>
  </si>
  <si>
    <t xml:space="preserve">R-15-ss-COGS-N</t>
  </si>
  <si>
    <t xml:space="preserve">COGS lines (same-sign) vs v_var_scn</t>
  </si>
  <si>
    <t xml:space="preserve">R-15-al-COGS-A</t>
  </si>
  <si>
    <t xml:space="preserve">COGS actual (all lines) vs v_var_scn</t>
  </si>
  <si>
    <t xml:space="preserve">R-15-al-COGS-B</t>
  </si>
  <si>
    <t xml:space="preserve">COGS budget (all lines) vs v_var_scn</t>
  </si>
  <si>
    <t xml:space="preserve">R-15-al-COGS-N</t>
  </si>
  <si>
    <t xml:space="preserve">COGS lines (all lines) vs v_var_scn</t>
  </si>
  <si>
    <t xml:space="preserve">R-15-ss-PEOPLE-A</t>
  </si>
  <si>
    <t xml:space="preserve">People costs actual (same-sign) vs v_var_scn</t>
  </si>
  <si>
    <t xml:space="preserve">R-15-ss-PEOPLE-B</t>
  </si>
  <si>
    <t xml:space="preserve">People costs budget (same-sign) vs v_var_scn</t>
  </si>
  <si>
    <t xml:space="preserve">R-15-ss-PEOPLE-N</t>
  </si>
  <si>
    <t xml:space="preserve">People costs lines (same-sign) vs v_var_scn</t>
  </si>
  <si>
    <t xml:space="preserve">R-15-al-PEOPLE-A</t>
  </si>
  <si>
    <t xml:space="preserve">People costs actual (all lines) vs v_var_scn</t>
  </si>
  <si>
    <t xml:space="preserve">R-15-al-PEOPLE-B</t>
  </si>
  <si>
    <t xml:space="preserve">People costs budget (all lines) vs v_var_scn</t>
  </si>
  <si>
    <t xml:space="preserve">R-15-al-PEOPLE-N</t>
  </si>
  <si>
    <t xml:space="preserve">People costs lines (all lines) vs v_var_scn</t>
  </si>
  <si>
    <t xml:space="preserve">R-15-ss-OPEX-A</t>
  </si>
  <si>
    <t xml:space="preserve">Operating expenses actual (same-sign) vs v_var_scn</t>
  </si>
  <si>
    <t xml:space="preserve">R-15-ss-OPEX-B</t>
  </si>
  <si>
    <t xml:space="preserve">Operating expenses budget (same-sign) vs v_var_scn</t>
  </si>
  <si>
    <t xml:space="preserve">R-15-ss-OPEX-N</t>
  </si>
  <si>
    <t xml:space="preserve">Operating expenses lines (same-sign) vs v_var_scn</t>
  </si>
  <si>
    <t xml:space="preserve">R-15-al-OPEX-A</t>
  </si>
  <si>
    <t xml:space="preserve">Operating expenses actual (all lines) vs v_var_scn</t>
  </si>
  <si>
    <t xml:space="preserve">R-15-al-OPEX-B</t>
  </si>
  <si>
    <t xml:space="preserve">Operating expenses budget (all lines) vs v_var_scn</t>
  </si>
  <si>
    <t xml:space="preserve">R-15-al-OPEX-N</t>
  </si>
  <si>
    <t xml:space="preserve">Operating expenses lines (all lines) vs v_var_scn</t>
  </si>
  <si>
    <t xml:space="preserve">R-15-ss-D&amp;A-A</t>
  </si>
  <si>
    <t xml:space="preserve">D&amp;A (depreciation, GL 6300) actual (same-sign) vs v_var_scn</t>
  </si>
  <si>
    <t xml:space="preserve">R-15-ss-D&amp;A-B</t>
  </si>
  <si>
    <t xml:space="preserve">D&amp;A (depreciation, GL 6300) budget (same-sign) vs v_var_scn</t>
  </si>
  <si>
    <t xml:space="preserve">R-15-ss-D&amp;A-N</t>
  </si>
  <si>
    <t xml:space="preserve">D&amp;A (depreciation, GL 6300) lines (same-sign) vs v_var_scn</t>
  </si>
  <si>
    <t xml:space="preserve">R-15-al-D&amp;A-A</t>
  </si>
  <si>
    <t xml:space="preserve">D&amp;A (depreciation, GL 6300) actual (all lines) vs v_var_scn</t>
  </si>
  <si>
    <t xml:space="preserve">R-15-al-D&amp;A-B</t>
  </si>
  <si>
    <t xml:space="preserve">D&amp;A (depreciation, GL 6300) budget (all lines) vs v_var_scn</t>
  </si>
  <si>
    <t xml:space="preserve">R-15-al-D&amp;A-N</t>
  </si>
  <si>
    <t xml:space="preserve">D&amp;A (depreciation, GL 6300) lines (all lines) vs v_var_scn</t>
  </si>
  <si>
    <t xml:space="preserve">R-15-ss-BELOW_EBITDA-A</t>
  </si>
  <si>
    <t xml:space="preserve">Below-EBITDA items actual (same-sign) vs v_var_scn</t>
  </si>
  <si>
    <t xml:space="preserve">R-15-ss-BELOW_EBITDA-B</t>
  </si>
  <si>
    <t xml:space="preserve">Below-EBITDA items budget (same-sign) vs v_var_scn</t>
  </si>
  <si>
    <t xml:space="preserve">R-15-ss-BELOW_EBITDA-N</t>
  </si>
  <si>
    <t xml:space="preserve">Below-EBITDA items lines (same-sign) vs v_var_scn</t>
  </si>
  <si>
    <t xml:space="preserve">R-15-al-BELOW_EBITDA-A</t>
  </si>
  <si>
    <t xml:space="preserve">Below-EBITDA items actual (all lines) vs v_var_scn</t>
  </si>
  <si>
    <t xml:space="preserve">R-15-al-BELOW_EBITDA-B</t>
  </si>
  <si>
    <t xml:space="preserve">Below-EBITDA items budget (all lines) vs v_var_scn</t>
  </si>
  <si>
    <t xml:space="preserve">R-15-al-BELOW_EBITDA-N</t>
  </si>
  <si>
    <t xml:space="preserve">Below-EBITDA items lines (all lines) vs v_var_scn</t>
  </si>
  <si>
    <t xml:space="preserve">R-15-ss-TAX-A</t>
  </si>
  <si>
    <t xml:space="preserve">Tax actual (same-sign) vs v_var_scn</t>
  </si>
  <si>
    <t xml:space="preserve">R-15-ss-TAX-B</t>
  </si>
  <si>
    <t xml:space="preserve">Tax budget (same-sign) vs v_var_scn</t>
  </si>
  <si>
    <t xml:space="preserve">R-15-ss-TAX-N</t>
  </si>
  <si>
    <t xml:space="preserve">Tax lines (same-sign) vs v_var_scn</t>
  </si>
  <si>
    <t xml:space="preserve">R-15-al-TAX-A</t>
  </si>
  <si>
    <t xml:space="preserve">Tax actual (all lines) vs v_var_scn</t>
  </si>
  <si>
    <t xml:space="preserve">R-15-al-TAX-B</t>
  </si>
  <si>
    <t xml:space="preserve">Tax budget (all lines) vs v_var_scn</t>
  </si>
  <si>
    <t xml:space="preserve">R-15-al-TAX-N</t>
  </si>
  <si>
    <t xml:space="preserve">Tax lines (all lines) vs v_var_scn</t>
  </si>
  <si>
    <t xml:space="preserve">R-16-REVENUE</t>
  </si>
  <si>
    <t xml:space="preserve">Revenue: all-lines = same-sign + opposite + zero-involved (bridge difference = 0)</t>
  </si>
  <si>
    <t xml:space="preserve">R-16-COGS</t>
  </si>
  <si>
    <t xml:space="preserve">COGS: all-lines = same-sign + opposite + zero-involved (bridge difference = 0)</t>
  </si>
  <si>
    <t xml:space="preserve">R-16-PEOPLE</t>
  </si>
  <si>
    <t xml:space="preserve">People costs: all-lines = same-sign + opposite + zero-involved (bridge difference = 0)</t>
  </si>
  <si>
    <t xml:space="preserve">R-16-OPEX</t>
  </si>
  <si>
    <t xml:space="preserve">Operating expenses: all-lines = same-sign + opposite + zero-involved (bridge difference = 0)</t>
  </si>
  <si>
    <t xml:space="preserve">R-17-ss-REVENUE-E</t>
  </si>
  <si>
    <t xml:space="preserve">Forecast</t>
  </si>
  <si>
    <t xml:space="preserve">Revenue net error (ss) vs v_fc_scn</t>
  </si>
  <si>
    <t xml:space="preserve">R-17-ss-REVENUE-W</t>
  </si>
  <si>
    <t xml:space="preserve">Revenue WAPE (ss) vs v_fc_scn</t>
  </si>
  <si>
    <t xml:space="preserve">R-17-ss-REVENUE-N</t>
  </si>
  <si>
    <t xml:space="preserve">Revenue lines (ss) vs v_fc_scn</t>
  </si>
  <si>
    <t xml:space="preserve">R-17-al-REVENUE-E</t>
  </si>
  <si>
    <t xml:space="preserve">Revenue net error (al) vs v_fc_scn</t>
  </si>
  <si>
    <t xml:space="preserve">R-17-al-REVENUE-W</t>
  </si>
  <si>
    <t xml:space="preserve">Revenue WAPE (al) vs v_fc_scn</t>
  </si>
  <si>
    <t xml:space="preserve">R-17-al-REVENUE-N</t>
  </si>
  <si>
    <t xml:space="preserve">Revenue lines (al) vs v_fc_scn</t>
  </si>
  <si>
    <t xml:space="preserve">R-17-ss-COGS-E</t>
  </si>
  <si>
    <t xml:space="preserve">COGS net error (ss) vs v_fc_scn</t>
  </si>
  <si>
    <t xml:space="preserve">R-17-ss-COGS-W</t>
  </si>
  <si>
    <t xml:space="preserve">COGS WAPE (ss) vs v_fc_scn</t>
  </si>
  <si>
    <t xml:space="preserve">R-17-ss-COGS-N</t>
  </si>
  <si>
    <t xml:space="preserve">COGS lines (ss) vs v_fc_scn</t>
  </si>
  <si>
    <t xml:space="preserve">R-17-al-COGS-E</t>
  </si>
  <si>
    <t xml:space="preserve">COGS net error (al) vs v_fc_scn</t>
  </si>
  <si>
    <t xml:space="preserve">R-17-al-COGS-W</t>
  </si>
  <si>
    <t xml:space="preserve">COGS WAPE (al) vs v_fc_scn</t>
  </si>
  <si>
    <t xml:space="preserve">R-17-al-COGS-N</t>
  </si>
  <si>
    <t xml:space="preserve">COGS lines (al) vs v_fc_scn</t>
  </si>
  <si>
    <t xml:space="preserve">R-17-ss-PEOPLE-E</t>
  </si>
  <si>
    <t xml:space="preserve">People costs net error (ss) vs v_fc_scn</t>
  </si>
  <si>
    <t xml:space="preserve">R-17-ss-PEOPLE-W</t>
  </si>
  <si>
    <t xml:space="preserve">People costs WAPE (ss) vs v_fc_scn</t>
  </si>
  <si>
    <t xml:space="preserve">R-17-ss-PEOPLE-N</t>
  </si>
  <si>
    <t xml:space="preserve">People costs lines (ss) vs v_fc_scn</t>
  </si>
  <si>
    <t xml:space="preserve">R-17-al-PEOPLE-E</t>
  </si>
  <si>
    <t xml:space="preserve">People costs net error (al) vs v_fc_scn</t>
  </si>
  <si>
    <t xml:space="preserve">R-17-al-PEOPLE-W</t>
  </si>
  <si>
    <t xml:space="preserve">People costs WAPE (al) vs v_fc_scn</t>
  </si>
  <si>
    <t xml:space="preserve">R-17-al-PEOPLE-N</t>
  </si>
  <si>
    <t xml:space="preserve">People costs lines (al) vs v_fc_scn</t>
  </si>
  <si>
    <t xml:space="preserve">R-17-ss-OPEX-E</t>
  </si>
  <si>
    <t xml:space="preserve">Operating expenses net error (ss) vs v_fc_scn</t>
  </si>
  <si>
    <t xml:space="preserve">R-17-ss-OPEX-W</t>
  </si>
  <si>
    <t xml:space="preserve">Operating expenses WAPE (ss) vs v_fc_scn</t>
  </si>
  <si>
    <t xml:space="preserve">R-17-ss-OPEX-N</t>
  </si>
  <si>
    <t xml:space="preserve">Operating expenses lines (ss) vs v_fc_scn</t>
  </si>
  <si>
    <t xml:space="preserve">R-17-al-OPEX-E</t>
  </si>
  <si>
    <t xml:space="preserve">Operating expenses net error (al) vs v_fc_scn</t>
  </si>
  <si>
    <t xml:space="preserve">R-17-al-OPEX-W</t>
  </si>
  <si>
    <t xml:space="preserve">Operating expenses WAPE (al) vs v_fc_scn</t>
  </si>
  <si>
    <t xml:space="preserve">R-17-al-OPEX-N</t>
  </si>
  <si>
    <t xml:space="preserve">Operating expenses lines (al) vs v_fc_scn</t>
  </si>
  <si>
    <t xml:space="preserve">R-17b-REVENUE-N</t>
  </si>
  <si>
    <t xml:space="preserve">Revenue matched-subset lines vs v_pl_budget (sign_cat_ab and sign_cat_af both same-sign)</t>
  </si>
  <si>
    <t xml:space="preserve">R-17b-REVENUE-WF</t>
  </si>
  <si>
    <t xml:space="preserve">Revenue matched-subset forecast WAPE vs v_pl_budget</t>
  </si>
  <si>
    <t xml:space="preserve">R-17b-REVENUE-WB</t>
  </si>
  <si>
    <t xml:space="preserve">Revenue matched-subset budget WAPE vs v_pl_budget</t>
  </si>
  <si>
    <t xml:space="preserve">R-17c-REVENUE-N</t>
  </si>
  <si>
    <t xml:space="preserve">Revenue comparable-lines count vs v_pl_budget</t>
  </si>
  <si>
    <t xml:space="preserve">R-17c-REVENUE-WF</t>
  </si>
  <si>
    <t xml:space="preserve">Revenue comparable-lines forecast WAPE vs v_pl_budget</t>
  </si>
  <si>
    <t xml:space="preserve">R-17c-REVENUE-WB</t>
  </si>
  <si>
    <t xml:space="preserve">Revenue comparable-lines budget WAPE vs v_pl_budget</t>
  </si>
  <si>
    <t xml:space="preserve">R-17b-COGS-N</t>
  </si>
  <si>
    <t xml:space="preserve">COGS matched-subset lines vs v_pl_budget (sign_cat_ab and sign_cat_af both same-sign)</t>
  </si>
  <si>
    <t xml:space="preserve">R-17b-COGS-WF</t>
  </si>
  <si>
    <t xml:space="preserve">COGS matched-subset forecast WAPE vs v_pl_budget</t>
  </si>
  <si>
    <t xml:space="preserve">R-17b-COGS-WB</t>
  </si>
  <si>
    <t xml:space="preserve">COGS matched-subset budget WAPE vs v_pl_budget</t>
  </si>
  <si>
    <t xml:space="preserve">R-17c-COGS-N</t>
  </si>
  <si>
    <t xml:space="preserve">COGS comparable-lines count vs v_pl_budget</t>
  </si>
  <si>
    <t xml:space="preserve">R-17c-COGS-WF</t>
  </si>
  <si>
    <t xml:space="preserve">COGS comparable-lines forecast WAPE vs v_pl_budget</t>
  </si>
  <si>
    <t xml:space="preserve">R-17c-COGS-WB</t>
  </si>
  <si>
    <t xml:space="preserve">COGS comparable-lines budget WAPE vs v_pl_budget</t>
  </si>
  <si>
    <t xml:space="preserve">R-17b-PEOPLE-N</t>
  </si>
  <si>
    <t xml:space="preserve">People costs matched-subset lines vs v_pl_budget (sign_cat_ab and sign_cat_af both same-sign)</t>
  </si>
  <si>
    <t xml:space="preserve">R-17b-PEOPLE-WF</t>
  </si>
  <si>
    <t xml:space="preserve">People costs matched-subset forecast WAPE vs v_pl_budget</t>
  </si>
  <si>
    <t xml:space="preserve">R-17b-PEOPLE-WB</t>
  </si>
  <si>
    <t xml:space="preserve">People costs matched-subset budget WAPE vs v_pl_budget</t>
  </si>
  <si>
    <t xml:space="preserve">R-17c-PEOPLE-N</t>
  </si>
  <si>
    <t xml:space="preserve">People costs comparable-lines count vs v_pl_budget</t>
  </si>
  <si>
    <t xml:space="preserve">R-17c-PEOPLE-WF</t>
  </si>
  <si>
    <t xml:space="preserve">People costs comparable-lines forecast WAPE vs v_pl_budget</t>
  </si>
  <si>
    <t xml:space="preserve">R-17c-PEOPLE-WB</t>
  </si>
  <si>
    <t xml:space="preserve">People costs comparable-lines budget WAPE vs v_pl_budget</t>
  </si>
  <si>
    <t xml:space="preserve">R-17b-OPEX-N</t>
  </si>
  <si>
    <t xml:space="preserve">Operating expenses matched-subset lines vs v_pl_budget (sign_cat_ab and sign_cat_af both same-sign)</t>
  </si>
  <si>
    <t xml:space="preserve">R-17b-OPEX-WF</t>
  </si>
  <si>
    <t xml:space="preserve">Operating expenses matched-subset forecast WAPE vs v_pl_budget</t>
  </si>
  <si>
    <t xml:space="preserve">R-17b-OPEX-WB</t>
  </si>
  <si>
    <t xml:space="preserve">Operating expenses matched-subset budget WAPE vs v_pl_budget</t>
  </si>
  <si>
    <t xml:space="preserve">R-17c-OPEX-N</t>
  </si>
  <si>
    <t xml:space="preserve">Operating expenses comparable-lines count vs v_pl_budget</t>
  </si>
  <si>
    <t xml:space="preserve">R-17c-OPEX-WF</t>
  </si>
  <si>
    <t xml:space="preserve">Operating expenses comparable-lines forecast WAPE vs v_pl_budget</t>
  </si>
  <si>
    <t xml:space="preserve">R-17c-OPEX-WB</t>
  </si>
  <si>
    <t xml:space="preserve">Operating expenses comparable-lines budget WAPE vs v_pl_budget</t>
  </si>
  <si>
    <t xml:space="preserve">R-21-ALL-S1-G</t>
  </si>
  <si>
    <t xml:space="preserve">Gross Profit</t>
  </si>
  <si>
    <t xml:space="preserve">All eligible lines S1: gross profit vs v_gp_rows</t>
  </si>
  <si>
    <t xml:space="preserve">R-21-ALL-S1-M</t>
  </si>
  <si>
    <t xml:space="preserve">All eligible lines S1: margin vs v_gp_rows</t>
  </si>
  <si>
    <t xml:space="preserve">R-21-ALL-S2-G</t>
  </si>
  <si>
    <t xml:space="preserve">All eligible lines S2: gross profit vs v_gp_rows</t>
  </si>
  <si>
    <t xml:space="preserve">R-21-ALL-S2-M</t>
  </si>
  <si>
    <t xml:space="preserve">All eligible lines S2: margin vs v_gp_rows</t>
  </si>
  <si>
    <t xml:space="preserve">R-21-ALL-S3-G</t>
  </si>
  <si>
    <t xml:space="preserve">All eligible lines S3: gross profit vs v_gp_rows</t>
  </si>
  <si>
    <t xml:space="preserve">R-21-ALL-S3-M</t>
  </si>
  <si>
    <t xml:space="preserve">All eligible lines S3: margin vs v_gp_rows</t>
  </si>
  <si>
    <t xml:space="preserve">R-21-ALL_NON_NEGATIVE-S1-G</t>
  </si>
  <si>
    <t xml:space="preserve">Lines with no negative a S1: gross profit vs v_gp_rows</t>
  </si>
  <si>
    <t xml:space="preserve">R-21-ALL_NON_NEGATIVE-S1-M</t>
  </si>
  <si>
    <t xml:space="preserve">Lines with no negative a S1: margin vs v_gp_rows</t>
  </si>
  <si>
    <t xml:space="preserve">R-21-ALL_NON_NEGATIVE-S2-G</t>
  </si>
  <si>
    <t xml:space="preserve">Lines with no negative a S2: gross profit vs v_gp_rows</t>
  </si>
  <si>
    <t xml:space="preserve">R-21-ALL_NON_NEGATIVE-S2-M</t>
  </si>
  <si>
    <t xml:space="preserve">Lines with no negative a S2: margin vs v_gp_rows</t>
  </si>
  <si>
    <t xml:space="preserve">R-21-ALL_NON_NEGATIVE-S3-G</t>
  </si>
  <si>
    <t xml:space="preserve">Lines with no negative a S3: gross profit vs v_gp_rows</t>
  </si>
  <si>
    <t xml:space="preserve">R-21-ALL_NON_NEGATIVE-S3-M</t>
  </si>
  <si>
    <t xml:space="preserve">Lines with no negative a S3: margin vs v_gp_rows</t>
  </si>
  <si>
    <t xml:space="preserve">R-22</t>
  </si>
  <si>
    <t xml:space="preserve">Gross profit S1 (all rows) equals Monthly P&amp;L gross profit (revenue - COGS)</t>
  </si>
  <si>
    <t xml:space="preserve">R-23-S1</t>
  </si>
  <si>
    <t xml:space="preserve">S1: GP variance bridge difference = 0 (GP var = revenue var - COGS var)</t>
  </si>
  <si>
    <t xml:space="preserve">R-23-S2</t>
  </si>
  <si>
    <t xml:space="preserve">S2: GP variance bridge difference = 0 (GP var = revenue var - COGS var)</t>
  </si>
  <si>
    <t xml:space="preserve">R-23-S3</t>
  </si>
  <si>
    <t xml:space="preserve">S3: GP variance bridge difference = 0 (GP var = revenue var - COGS var)</t>
  </si>
  <si>
    <t xml:space="preserve">R-24</t>
  </si>
  <si>
    <t xml:space="preserve">Monthly table: months where recomputed % differs from Phase 4 guarded % (count of DIFF)</t>
  </si>
  <si>
    <t xml:space="preserve">R-25</t>
  </si>
  <si>
    <t xml:space="preserve">Insights</t>
  </si>
  <si>
    <t xml:space="preserve">Register figures recomputed from the database found in the register text (count NOT FOUND)</t>
  </si>
  <si>
    <t xml:space="preserve">R-26</t>
  </si>
  <si>
    <t xml:space="preserve">Data Quality</t>
  </si>
  <si>
    <t xml:space="preserve">GL accounts with an inconsistent name/group/statement mapping (count)</t>
  </si>
  <si>
    <t xml:space="preserve">R-28</t>
  </si>
  <si>
    <t xml:space="preserve">Definitions</t>
  </si>
  <si>
    <t xml:space="preserve">Rules register rows parsed from FINANCIAL_METRICS (R1-R14)</t>
  </si>
  <si>
    <t xml:space="preserve">R-29</t>
  </si>
  <si>
    <t xml:space="preserve">Budgeted eligible lines (Budget vs Actual universe) vs v_pl_actual</t>
  </si>
  <si>
    <t xml:space="preserve">Source identity (recorded at generation)</t>
  </si>
  <si>
    <t xml:space="preserve">The workbook was built only after the Phase 4 hand-off passed its gates (manifest hashes, row counts, every out_val_* row PASS).</t>
  </si>
  <si>
    <t xml:space="preserve">Phase 4 manifest SHA-256</t>
  </si>
  <si>
    <t xml:space="preserve">41f572e0cca248f9c78e356b53776066ddaf1cf5cd064b0d56dc47aa1d302bdb</t>
  </si>
  <si>
    <t xml:space="preserve">Phase 4 output tables verified (count)</t>
  </si>
  <si>
    <t xml:space="preserve">72</t>
  </si>
  <si>
    <t xml:space="preserve">Approved canonical cleaned CSV SHA-256</t>
  </si>
  <si>
    <t xml:space="preserve">Cleaned CSV present when generated / matches approved hash</t>
  </si>
  <si>
    <t xml:space="preserve">True / True</t>
  </si>
  <si>
    <t xml:space="preserve">Generator script SHA-256 (src/phase5_excel.py)</t>
  </si>
  <si>
    <t xml:space="preserve">Workbook version</t>
  </si>
  <si>
    <t xml:space="preserve">out_val_load: rows / PASS</t>
  </si>
  <si>
    <t xml:space="preserve">55 / 55</t>
  </si>
  <si>
    <t xml:space="preserve">out_val_exclusion_counts: rows / PASS</t>
  </si>
  <si>
    <t xml:space="preserve">24 / 24</t>
  </si>
  <si>
    <t xml:space="preserve">out_val_analytical: rows / PASS</t>
  </si>
  <si>
    <t xml:space="preserve">86 / 86</t>
  </si>
  <si>
    <t xml:space="preserve">out_val_crosscheck: rows / PASS</t>
  </si>
  <si>
    <t xml:space="preserve">124 / 124</t>
  </si>
  <si>
    <t xml:space="preserve">Definitions, assumptions and lineage</t>
  </si>
  <si>
    <t xml:space="preserve">Every definition below is the Phase 4 definition. The rules register is parsed from docs/FINANCIAL_METRICS.md; nothing here upgrades a Proposed or Unresolved rule to Confirmed.</t>
  </si>
  <si>
    <t xml:space="preserve">PROVISIONAL: Posted-only eligibility (R6), scale restoration (R7), FX direction (R8), the variance-% convention (R10), the grain of budget/forecast/prior-year (summed per line) and the exclusion of junk entities (R4) are working conventions. Unresolved: the account sign convention (R9), the duplicate rule (R11) and consolidation/elimination (R12).</t>
  </si>
  <si>
    <t xml:space="preserve">D1. Rules register (R1-R14)</t>
  </si>
  <si>
    <t xml:space="preserve">Status labels: Confirmed = owner-stated or plain fact; Proposed-Needs Validation = candidate rule; Unresolved = the data does not settle it.</t>
  </si>
  <si>
    <t xml:space="preserve">Rule</t>
  </si>
  <si>
    <t xml:space="preserve">Rule text</t>
  </si>
  <si>
    <t xml:space="preserve">Status</t>
  </si>
  <si>
    <t xml:space="preserve">R1</t>
  </si>
  <si>
    <t xml:space="preserve">Amounts are text. Do not sum raw values.</t>
  </si>
  <si>
    <t xml:space="preserve">Confirmed</t>
  </si>
  <si>
    <t xml:space="preserve">Owner-stated; all 43 columns are text.</t>
  </si>
  <si>
    <t xml:space="preserve">R2</t>
  </si>
  <si>
    <t xml:space="preserve">P&amp;L flows and balance-sheet balances are never added together.</t>
  </si>
  <si>
    <t xml:space="preserve">Owner-stated.</t>
  </si>
  <si>
    <t xml:space="preserve">R3</t>
  </si>
  <si>
    <t xml:space="preserve">TOTAL, Subtotal, CHECK rows (identified by notes = subtotal row, 350 rows) are not postings and are excluded from all calculations.</t>
  </si>
  <si>
    <t xml:space="preserve">Confirmed (identification)</t>
  </si>
  <si>
    <t xml:space="preserve">All 350 rows carry non-posting labels in account_name or fs_line; every row with such a label is in the 350. The exclusion principle is owner-stated.</t>
  </si>
  <si>
    <t xml:space="preserve">R4</t>
  </si>
  <si>
    <t xml:space="preserve">Rows for the junk entities TEST ENTITY, Do not use, xxx (173 rows) are excluded.</t>
  </si>
  <si>
    <t xml:space="preserve">Confirmed (owner-stated for TEST ENTITY); Proposed—Needs Validation for the other two names</t>
  </si>
  <si>
    <t xml:space="preserve">Not independently confirmed that Do not use and xxx are non-reporting.</t>
  </si>
  <si>
    <t xml:space="preserve">R5</t>
  </si>
  <si>
    <t xml:space="preserve">document_no is not a unique posting key and repeated numbers are not automatically duplicates.</t>
  </si>
  <si>
    <t xml:space="preserve">4,260 numbers repeat over 8,540 rows; no two rows are identical apart from row_id.</t>
  </si>
  <si>
    <t xml:space="preserve">R6</t>
  </si>
  <si>
    <t xml:space="preserve">Only approval_status values with an explicit treatment enter reported totals (section 5).</t>
  </si>
  <si>
    <t xml:space="preserve">Proposed—Needs Validation</t>
  </si>
  <si>
    <t xml:space="preserve">See section 5.</t>
  </si>
  <si>
    <t xml:space="preserve">R7</t>
  </si>
  <si>
    <t xml:space="preserve">report_scale labels are not trusted; scale is decided per row by a written rule.</t>
  </si>
  <si>
    <t xml:space="preserve">Confirmed (labels unreliable, owner-stated); rule itself Unresolved</t>
  </si>
  <si>
    <t xml:space="preserve">Section 8.</t>
  </si>
  <si>
    <t xml:space="preserve">R8</t>
  </si>
  <si>
    <t xml:space="preserve">FX direction is USD = local ÷ rate (local currency per 1 USD).</t>
  </si>
  <si>
    <t xml:space="preserve">Section 9. Not final.</t>
  </si>
  <si>
    <t xml:space="preserve">R9</t>
  </si>
  <si>
    <t xml:space="preserve">Account sign convention.</t>
  </si>
  <si>
    <t xml:space="preserve">Unresolved</t>
  </si>
  <si>
    <t xml:space="preserve">Section 6.</t>
  </si>
  <si>
    <t xml:space="preserve">R10</t>
  </si>
  <si>
    <t xml:space="preserve">Variance = Actual − Budget; variance percent uses |Budget| as denominator. This is a proposed project convention, not an accounting standard.</t>
  </si>
  <si>
    <t xml:space="preserve">Section 2.</t>
  </si>
  <si>
    <t xml:space="preserve">R11</t>
  </si>
  <si>
    <t xml:space="preserve">Duplicate rule for journal lines.</t>
  </si>
  <si>
    <t xml:space="preserve">Section 11.</t>
  </si>
  <si>
    <t xml:space="preserve">R12</t>
  </si>
  <si>
    <t xml:space="preserve">Consolidation and intercompany elimination.</t>
  </si>
  <si>
    <t xml:space="preserve">Section 12.</t>
  </si>
  <si>
    <t xml:space="preserve">R13</t>
  </si>
  <si>
    <t xml:space="preserve">Python, SQL and Excel reconcile on a fixed scope; differences are investigated, not forced.</t>
  </si>
  <si>
    <t xml:space="preserve">Confirmed (principle)</t>
  </si>
  <si>
    <t xml:space="preserve">Owner-stated; method in TEST_PLAN section 9.</t>
  </si>
  <si>
    <t xml:space="preserve">R14</t>
  </si>
  <si>
    <t xml:space="preserve">Every raw row gets exactly one primary exclusion reason or is eligible, using a fixed precedence. Secondary issues are separate flags.</t>
  </si>
  <si>
    <t xml:space="preserve">Section 4.</t>
  </si>
  <si>
    <t xml:space="preserve">Rules parsed (count):</t>
  </si>
  <si>
    <t xml:space="preserve">Legend: red = Unresolved; amber = Proposed - needs validation; green = Confirmed.</t>
  </si>
  <si>
    <t xml:space="preserve">D2. Metric definitions</t>
  </si>
  <si>
    <t xml:space="preserve">Definition</t>
  </si>
  <si>
    <t xml:space="preserve">Source</t>
  </si>
  <si>
    <t xml:space="preserve">Limit / status</t>
  </si>
  <si>
    <t xml:space="preserve">Actual / Budget / Forecast / Prior-year</t>
  </si>
  <si>
    <t xml:space="preserve">actual_usd_adj etc.: reported USD amounts after the per-row scale rule; signs as recorded; costs are positive magnitudes.</t>
  </si>
  <si>
    <t xml:space="preserve">Phase 4 views v_pl_*</t>
  </si>
  <si>
    <t xml:space="preserve">Provisional (R6, R7).</t>
  </si>
  <si>
    <t xml:space="preserve">Variance</t>
  </si>
  <si>
    <t xml:space="preserve">Actual - Budget (arithmetic difference). Never labelled favourable/adverse.</t>
  </si>
  <si>
    <t xml:space="preserve">FINANCIAL_METRICS s2</t>
  </si>
  <si>
    <t xml:space="preserve">R10 convention; R9 sign convention unresolved.</t>
  </si>
  <si>
    <t xml:space="preserve">Variance / |net budget|, shown only when |net budget| &gt;= 50% of the gross (absolute) budget; otherwise 'n/a (guard)'.</t>
  </si>
  <si>
    <t xml:space="preserve">Phase 4 safe_pct macro</t>
  </si>
  <si>
    <t xml:space="preserve">Project convention, not a standard.</t>
  </si>
  <si>
    <t xml:space="preserve">Same-sign basis</t>
  </si>
  <si>
    <t xml:space="preserve">Lines where actual and budget (or forecast) are both non-zero with the same sign. Primary basis for variance and forecast tables.</t>
  </si>
  <si>
    <t xml:space="preserve">Phase 4 sign_cat</t>
  </si>
  <si>
    <t xml:space="preserve">Excludes opposite-sign and zero-involved lines; those are shown in bridges.</t>
  </si>
  <si>
    <t xml:space="preserve">Forecast error</t>
  </si>
  <si>
    <t xml:space="preserve">Forecast - Actual. Positive = forecast above actual.</t>
  </si>
  <si>
    <t xml:space="preserve">FINANCIAL_METRICS s3</t>
  </si>
  <si>
    <t xml:space="preserve">Observation only; no snapshot dates =&gt; no skill claim.</t>
  </si>
  <si>
    <t xml:space="preserve">Sum |Forecast - Actual| / Sum |Actual|.</t>
  </si>
  <si>
    <t xml:space="preserve">Weights large lines more.</t>
  </si>
  <si>
    <t xml:space="preserve">Sum (Forecast - Actual) / Sum |Actual|.</t>
  </si>
  <si>
    <t xml:space="preserve">Directional, not a correction.</t>
  </si>
  <si>
    <t xml:space="preserve">Gross profit</t>
  </si>
  <si>
    <t xml:space="preserve">Revenue (GL 4100-4190) - COGS (GL 5100-5300). Three treatments of discounts: S1 signed as recorded, S2 discount at absolute value, S3 excluding discounts.</t>
  </si>
  <si>
    <t xml:space="preserve">Phase 4 v_gp_rows</t>
  </si>
  <si>
    <t xml:space="preserve">Sign convention unresolved; no treatment is authoritative.</t>
  </si>
  <si>
    <t xml:space="preserve">Gross profit / Revenue, only when revenue &gt; 0.</t>
  </si>
  <si>
    <t xml:space="preserve">Phase 4</t>
  </si>
  <si>
    <t xml:space="preserve">Operating result proxy</t>
  </si>
  <si>
    <t xml:space="preserve">Revenue - COGS - People - Opex. NOT EBITDA / operating profit. D&amp;A, below-EBITDA and tax shown as memo lines only.</t>
  </si>
  <si>
    <t xml:space="preserve">Sign treatment of D&amp;A, FX gain/loss unverified.</t>
  </si>
  <si>
    <t xml:space="preserve">Eligible P&amp;L line</t>
  </si>
  <si>
    <t xml:space="preserve">A P&amp;L posting line that passes the exclusion waterfall (non-posting rows, junk entities, non-Posted status, unparseable values excluded).</t>
  </si>
  <si>
    <t xml:space="preserve">FINANCIAL_METRICS s4-5</t>
  </si>
  <si>
    <t xml:space="preserve">R3, R4, R6, R14.</t>
  </si>
  <si>
    <t xml:space="preserve">Absolute activity</t>
  </si>
  <si>
    <t xml:space="preserve">Sum of |amount|; used for shares and concentration so offsetting signs do not net out.</t>
  </si>
  <si>
    <t xml:space="preserve">Share of gross cell variance</t>
  </si>
  <si>
    <t xml:space="preserve">|cell variance| / sum of |cell variance| within the section.</t>
  </si>
  <si>
    <t xml:space="preserve">Phase 4 out_b2</t>
  </si>
  <si>
    <t xml:space="preserve">Gross variance exposes offsets hidden in the net.</t>
  </si>
  <si>
    <t xml:space="preserve">D3. Remaining decisions for the owner (FINANCIAL_METRICS section 15)</t>
  </si>
  <si>
    <t xml:space="preserve">Each changes a headline number or its meaning. Until decided, the safe default is shown and affected lines are counted, not silently changed.</t>
  </si>
  <si>
    <t xml:space="preserve">Meaning of blank approval_status, and whether about 43% eligible rows is intended.</t>
  </si>
  <si>
    <t xml:space="preserve">Whether - in an amount means zero.</t>
  </si>
  <si>
    <t xml:space="preserve">Sign treatment of discounts (4190) and FX gain or loss (7200).</t>
  </si>
  <si>
    <t xml:space="preserve">The scale rule, after checking all amount columns.</t>
  </si>
  <si>
    <t xml:space="preserve">FX direction and the 2,517 zero-rate rows.</t>
  </si>
  <si>
    <t xml:space="preserve">Whether budget, forecast and prior year are summable per line.</t>
  </si>
  <si>
    <t xml:space="preserve">The duplicate key.</t>
  </si>
  <si>
    <t xml:space="preserve">Whether results are by entity or consolidated.</t>
  </si>
  <si>
    <t xml:space="preserve">D4. Assumptions made in this workbook</t>
  </si>
  <si>
    <t xml:space="preserve">1. All amounts are USD after Phase 4's scale rule and are provisional; the extract is synthetic (NovaBridge Industries) and provenance/licence are unverified.</t>
  </si>
  <si>
    <t xml:space="preserve">2. Budget, forecast and prior-year values are per-line amounts and are summed (supported by out_a0: 98% of multi-line cells hold different values); if they are repeated header values, every variance would change.</t>
  </si>
  <si>
    <t xml:space="preserve">3. Posted-only is the reporting population. Pending, Parked, Rejected and blank statuses are excluded (INS-01 shows how much this matters).</t>
  </si>
  <si>
    <t xml:space="preserve">4. Percent thresholds on this workbook (MoM highlight 10%, variance highlight 5%, guard 50%) are blue inputs: changing them changes the highlighting/guard only, not any total.</t>
  </si>
  <si>
    <t xml:space="preserve">5. Tolerance on reconciliation checks: 0.5 USD for amounts, exact for counts. Floating-point differences below that are not material.</t>
  </si>
  <si>
    <t xml:space="preserve">6. Calendar year = year of the posting period; the extract's fiscal year label is not used for totals.</t>
  </si>
  <si>
    <t xml:space="preserve">7. No intercompany elimination, no FX re-translation, no duplicate removal, no sign flipping, no missing-as-zero.</t>
  </si>
  <si>
    <t xml:space="preserve">D5. Lineage: sheet -&gt; Phase 4 source -&gt; check</t>
  </si>
  <si>
    <t xml:space="preserve">Every number on a sheet traces to one of these Phase 4 tables; the Reconciliation &amp; QA sheet tests the link.</t>
  </si>
  <si>
    <t xml:space="preserve">Phase 4 source tables</t>
  </si>
  <si>
    <t xml:space="preserve">Reconciliation checks</t>
  </si>
  <si>
    <t xml:space="preserve">out_a1_pl_period_section</t>
  </si>
  <si>
    <t xml:space="preserve">R-01, R-02, R-04..R-10, R-13-2023..2025 (totals and population vs independent recompute from v_pl_actual / v_close)</t>
  </si>
  <si>
    <t xml:space="preserve">out_b1, out_b2, out_b3, out_b4, out_b7-b11</t>
  </si>
  <si>
    <t xml:space="preserve">R-15-* and R-16-* (independent recompute from v_var_scn; bridge), R-24 (recomputed % = Phase 4 %), R-29 (budgeted lines)</t>
  </si>
  <si>
    <t xml:space="preserve">Forecast &amp; Prior Year</t>
  </si>
  <si>
    <t xml:space="preserve">out_c1-c8, out_d1-d5; F3b from v_pl_budget</t>
  </si>
  <si>
    <t xml:space="preserve">R-17-* (v_fc_scn), R-17b-* (matched subset) and R-17c-* (comparable lines) recomputed from v_close; prior-year tables are not independently recomputed</t>
  </si>
  <si>
    <t xml:space="preserve">Entity &amp; Division</t>
  </si>
  <si>
    <t xml:space="preserve">out_a2, out_a3, out_b2, out_b3, out_g5</t>
  </si>
  <si>
    <t xml:space="preserve">R-03b (entity lines), R-11 (entity revenue), R-12 (division revenue), R-14-* (revenue per entity)</t>
  </si>
  <si>
    <t xml:space="preserve">GL &amp; Cost Drivers</t>
  </si>
  <si>
    <t xml:space="preserve">out_a4, out_f1-f7, out_b2</t>
  </si>
  <si>
    <t xml:space="preserve">R-03 (GL activity lines = eligible lines); GL cost Pareto and driver tables are not independently recomputed</t>
  </si>
  <si>
    <t xml:space="preserve">out_e1-e4</t>
  </si>
  <si>
    <t xml:space="preserve">R-21-* (independent recompute from v_gp_rows), R-22 (S1 = Monthly P&amp;L), R-23-* (bridge)</t>
  </si>
  <si>
    <t xml:space="preserve">Insights &amp; Actions</t>
  </si>
  <si>
    <t xml:space="preserve">docs/PHASE4_INSIGHT_REGISTER.md + database figures</t>
  </si>
  <si>
    <t xml:space="preserve">R-25 (register figures found by formula; the register text itself is copied, not recomputed)</t>
  </si>
  <si>
    <t xml:space="preserve">out_i1-i10, out_a0, out_a5-a8, out_h1-h6</t>
  </si>
  <si>
    <t xml:space="preserve">R-02, R-26 (waterfall = all source rows; mapping consistent); other Data Quality tables are copied from Phase 4</t>
  </si>
  <si>
    <t xml:space="preserve">Executive Summary</t>
  </si>
  <si>
    <t xml:space="preserve">links to the sheets above</t>
  </si>
  <si>
    <t xml:space="preserve">no separate row: every headline is a link, and the Python tests compare each with its source cell</t>
  </si>
  <si>
    <t xml:space="preserve">Reconciliation &amp; QA</t>
  </si>
  <si>
    <t xml:space="preserve">database views v_pl_*, v_var_scn, v_fc_scn, v_gp_rows</t>
  </si>
  <si>
    <t xml:space="preserve">self-checking</t>
  </si>
</sst>
</file>

<file path=xl/styles.xml><?xml version="1.0" encoding="utf-8"?>
<styleSheet xmlns="http://schemas.openxmlformats.org/spreadsheetml/2006/main">
  <numFmts count="16">
    <numFmt numFmtId="164" formatCode="General"/>
    <numFmt numFmtId="165" formatCode="General"/>
    <numFmt numFmtId="166" formatCode="#,##0;[RED]\(#,##0\);\-"/>
    <numFmt numFmtId="167" formatCode="0.0%;[RED]\(0.0%\);\-"/>
    <numFmt numFmtId="168" formatCode="0.00%;[RED]\(0.00%\);\-"/>
    <numFmt numFmtId="169" formatCode="0"/>
    <numFmt numFmtId="170" formatCode="#,##0,,\m"/>
    <numFmt numFmtId="171" formatCode="mmm\ yyyy"/>
    <numFmt numFmtId="172" formatCode="#,##0.00;[RED]\(#,##0.00\);\-"/>
    <numFmt numFmtId="173" formatCode="0.0%"/>
    <numFmt numFmtId="174" formatCode="0.000"/>
    <numFmt numFmtId="175" formatCode="#,##0.0"/>
    <numFmt numFmtId="176" formatCode="0%"/>
    <numFmt numFmtId="177" formatCode="0.0;[RED]\(0.0\);\-"/>
    <numFmt numFmtId="178" formatCode="0.0"/>
    <numFmt numFmtId="179" formatCode="0.000000"/>
  </numFmts>
  <fonts count="31">
    <font>
      <sz val="11"/>
      <color theme="1"/>
      <name val="Calibri"/>
      <family val="2"/>
      <charset val="1"/>
    </font>
    <font>
      <sz val="10"/>
      <name val="Arial"/>
      <family val="0"/>
    </font>
    <font>
      <sz val="10"/>
      <name val="Arial"/>
      <family val="0"/>
    </font>
    <font>
      <sz val="10"/>
      <name val="Arial"/>
      <family val="0"/>
    </font>
    <font>
      <b val="true"/>
      <sz val="18"/>
      <color rgb="FF1F3864"/>
      <name val="Calibri"/>
      <family val="2"/>
      <charset val="1"/>
    </font>
    <font>
      <i val="true"/>
      <sz val="10"/>
      <color rgb="FF595959"/>
      <name val="Calibri"/>
      <family val="2"/>
      <charset val="1"/>
    </font>
    <font>
      <sz val="10"/>
      <color theme="1"/>
      <name val="Calibri"/>
      <family val="2"/>
      <charset val="1"/>
    </font>
    <font>
      <b val="true"/>
      <sz val="10"/>
      <color rgb="FFFFFFFF"/>
      <name val="Calibri"/>
      <family val="2"/>
      <charset val="1"/>
    </font>
    <font>
      <u val="single"/>
      <sz val="10"/>
      <color rgb="FF0563C1"/>
      <name val="Calibri"/>
      <family val="2"/>
      <charset val="1"/>
    </font>
    <font>
      <b val="true"/>
      <sz val="12"/>
      <color rgb="FF1F3864"/>
      <name val="Calibri"/>
      <family val="2"/>
      <charset val="1"/>
    </font>
    <font>
      <b val="true"/>
      <sz val="10"/>
      <color rgb="FF0000FF"/>
      <name val="Calibri"/>
      <family val="2"/>
      <charset val="1"/>
    </font>
    <font>
      <b val="true"/>
      <sz val="10"/>
      <color rgb="FF000000"/>
      <name val="Calibri"/>
      <family val="2"/>
      <charset val="1"/>
    </font>
    <font>
      <b val="true"/>
      <sz val="10"/>
      <color rgb="FF00703C"/>
      <name val="Calibri"/>
      <family val="2"/>
      <charset val="1"/>
    </font>
    <font>
      <b val="true"/>
      <sz val="10"/>
      <color rgb="FFC00000"/>
      <name val="Calibri"/>
      <family val="2"/>
      <charset val="1"/>
    </font>
    <font>
      <b val="true"/>
      <sz val="10"/>
      <color rgb="FFFF0000"/>
      <name val="Calibri"/>
      <family val="2"/>
      <charset val="1"/>
    </font>
    <font>
      <b val="true"/>
      <sz val="10"/>
      <color theme="1"/>
      <name val="Calibri"/>
      <family val="2"/>
      <charset val="1"/>
    </font>
    <font>
      <sz val="9"/>
      <color theme="1"/>
      <name val="Consolas"/>
      <family val="2"/>
      <charset val="1"/>
    </font>
    <font>
      <b val="true"/>
      <sz val="16"/>
      <color rgb="FF1F3864"/>
      <name val="Calibri"/>
      <family val="2"/>
      <charset val="1"/>
    </font>
    <font>
      <i val="true"/>
      <sz val="10"/>
      <color rgb="FF404040"/>
      <name val="Calibri"/>
      <family val="2"/>
      <charset val="1"/>
    </font>
    <font>
      <i val="true"/>
      <sz val="10"/>
      <color theme="1"/>
      <name val="Calibri"/>
      <family val="2"/>
      <charset val="1"/>
    </font>
    <font>
      <sz val="10"/>
      <color rgb="FF0000FF"/>
      <name val="Calibri"/>
      <family val="2"/>
      <charset val="1"/>
    </font>
    <font>
      <sz val="10"/>
      <color rgb="FF00703C"/>
      <name val="Calibri"/>
      <family val="2"/>
      <charset val="1"/>
    </font>
    <font>
      <b val="true"/>
      <sz val="10"/>
      <color rgb="FF000000"/>
      <name val="Calibri"/>
      <family val="2"/>
    </font>
    <font>
      <sz val="10"/>
      <color rgb="FF000000"/>
      <name val="Calibri"/>
      <family val="2"/>
    </font>
    <font>
      <sz val="10"/>
      <color rgb="FF000000"/>
      <name val="Calibri"/>
      <family val="2"/>
      <charset val="1"/>
    </font>
    <font>
      <b val="true"/>
      <sz val="11"/>
      <color rgb="FF000000"/>
      <name val="Calibri"/>
      <family val="2"/>
    </font>
    <font>
      <sz val="8"/>
      <color rgb="FF000000"/>
      <name val="Calibri"/>
      <family val="2"/>
    </font>
    <font>
      <b val="true"/>
      <u val="single"/>
      <sz val="10"/>
      <color rgb="FF0563C1"/>
      <name val="Calibri"/>
      <family val="2"/>
      <charset val="1"/>
    </font>
    <font>
      <b val="true"/>
      <sz val="12"/>
      <color theme="1"/>
      <name val="Calibri"/>
      <family val="2"/>
      <charset val="1"/>
    </font>
    <font>
      <b val="true"/>
      <sz val="12"/>
      <color rgb="FF000000"/>
      <name val="Calibri"/>
      <family val="2"/>
      <charset val="1"/>
    </font>
    <font>
      <sz val="10"/>
      <color theme="1"/>
      <name val="Consolas"/>
      <family val="2"/>
      <charset val="1"/>
    </font>
  </fonts>
  <fills count="6">
    <fill>
      <patternFill patternType="none"/>
    </fill>
    <fill>
      <patternFill patternType="gray125"/>
    </fill>
    <fill>
      <patternFill patternType="solid">
        <fgColor rgb="FFFFF2CC"/>
        <bgColor rgb="FFF2F2F2"/>
      </patternFill>
    </fill>
    <fill>
      <patternFill patternType="solid">
        <fgColor rgb="FF1F3864"/>
        <bgColor rgb="FF333399"/>
      </patternFill>
    </fill>
    <fill>
      <patternFill patternType="solid">
        <fgColor rgb="FFFFFFFF"/>
        <bgColor rgb="FFF2F2F2"/>
      </patternFill>
    </fill>
    <fill>
      <patternFill patternType="solid">
        <fgColor rgb="FFF2F2F2"/>
        <bgColor rgb="FFE2EFDA"/>
      </patternFill>
    </fill>
  </fills>
  <borders count="7">
    <border diagonalUp="false" diagonalDown="false">
      <left/>
      <right/>
      <top/>
      <bottom/>
      <diagonal/>
    </border>
    <border diagonalUp="false" diagonalDown="false">
      <left style="thin">
        <color rgb="FFBF9000"/>
      </left>
      <right style="thin">
        <color rgb="FFBF9000"/>
      </right>
      <top style="thin">
        <color rgb="FFBF9000"/>
      </top>
      <bottom style="thin">
        <color rgb="FFBF9000"/>
      </bottom>
      <diagonal/>
    </border>
    <border diagonalUp="false" diagonalDown="false">
      <left/>
      <right/>
      <top/>
      <bottom style="medium">
        <color rgb="FF1F3864"/>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right style="thin"/>
      <top style="thin"/>
      <bottom style="thin"/>
      <diagonal/>
    </border>
    <border diagonalUp="false" diagonalDown="false">
      <left/>
      <right/>
      <top style="thin"/>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10" fillId="4"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general" vertical="center"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13" fillId="4" borderId="0" xfId="0" applyFont="true" applyBorder="false" applyAlignment="true" applyProtection="false">
      <alignment horizontal="general" vertical="center" textRotation="0" wrapText="false" indent="0" shrinkToFit="false"/>
      <protection locked="true" hidden="false"/>
    </xf>
    <xf numFmtId="164" fontId="14" fillId="4" borderId="0" xfId="0" applyFont="true" applyBorder="false" applyAlignment="true" applyProtection="false">
      <alignment horizontal="general" vertical="center" textRotation="0" wrapText="false" indent="0" shrinkToFit="false"/>
      <protection locked="true" hidden="false"/>
    </xf>
    <xf numFmtId="164" fontId="11" fillId="2"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5" fontId="12"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9" fillId="0" borderId="2" xfId="0" applyFont="true" applyBorder="true" applyAlignment="true" applyProtection="false">
      <alignment horizontal="general" vertical="center" textRotation="0" wrapText="false" indent="0" shrinkToFit="false"/>
      <protection locked="true" hidden="false"/>
    </xf>
    <xf numFmtId="164" fontId="6" fillId="0" borderId="2" xfId="0" applyFont="true" applyBorder="true" applyAlignment="true" applyProtection="false">
      <alignment horizontal="general" vertical="center" textRotation="0" wrapText="false" indent="0" shrinkToFit="false"/>
      <protection locked="true" hidden="false"/>
    </xf>
    <xf numFmtId="164" fontId="7" fillId="3" borderId="3"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6" fontId="12" fillId="0" borderId="0" xfId="0" applyFont="true" applyBorder="false" applyAlignment="true" applyProtection="false">
      <alignment horizontal="general" vertical="center" textRotation="0" wrapText="false" indent="0" shrinkToFit="false"/>
      <protection locked="true" hidden="false"/>
    </xf>
    <xf numFmtId="167" fontId="12" fillId="0" borderId="0" xfId="0" applyFont="true" applyBorder="false" applyAlignment="true" applyProtection="false">
      <alignment horizontal="general" vertical="center" textRotation="0" wrapText="fals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8" fontId="12"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5" fontId="12"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false">
      <alignment horizontal="left" vertical="center" textRotation="0" wrapText="false" indent="0" shrinkToFit="false"/>
      <protection locked="true" hidden="false"/>
    </xf>
    <xf numFmtId="166" fontId="21" fillId="0" borderId="0" xfId="0" applyFont="true" applyBorder="false" applyAlignment="true" applyProtection="false">
      <alignment horizontal="general" vertical="center" textRotation="0" wrapText="false" indent="0" shrinkToFit="false"/>
      <protection locked="true" hidden="false"/>
    </xf>
    <xf numFmtId="169" fontId="20" fillId="0" borderId="0" xfId="0" applyFont="true" applyBorder="false" applyAlignment="true" applyProtection="false">
      <alignment horizontal="general" vertical="center" textRotation="0" wrapText="false" indent="0" shrinkToFit="false"/>
      <protection locked="true" hidden="false"/>
    </xf>
    <xf numFmtId="167" fontId="20" fillId="2" borderId="4" xfId="0" applyFont="true" applyBorder="true" applyAlignment="true" applyProtection="false">
      <alignment horizontal="general" vertical="center" textRotation="0" wrapText="false" indent="0" shrinkToFit="false"/>
      <protection locked="true" hidden="false"/>
    </xf>
    <xf numFmtId="171" fontId="6" fillId="0" borderId="0" xfId="0" applyFont="true" applyBorder="false" applyAlignment="true" applyProtection="false">
      <alignment horizontal="left" vertical="center" textRotation="0" wrapText="false" indent="0" shrinkToFit="false"/>
      <protection locked="true" hidden="false"/>
    </xf>
    <xf numFmtId="166" fontId="20" fillId="0" borderId="0" xfId="0" applyFont="true" applyBorder="false" applyAlignment="true" applyProtection="false">
      <alignment horizontal="general" vertical="center" textRotation="0" wrapText="false" indent="0" shrinkToFit="false"/>
      <protection locked="true" hidden="false"/>
    </xf>
    <xf numFmtId="166" fontId="24" fillId="0" borderId="0" xfId="0" applyFont="true" applyBorder="false" applyAlignment="true" applyProtection="false">
      <alignment horizontal="general" vertical="center" textRotation="0" wrapText="false" indent="0" shrinkToFit="false"/>
      <protection locked="true" hidden="false"/>
    </xf>
    <xf numFmtId="167" fontId="24" fillId="0" borderId="0" xfId="0" applyFont="true" applyBorder="false" applyAlignment="true" applyProtection="false">
      <alignment horizontal="general" vertical="center" textRotation="0" wrapText="false" indent="0" shrinkToFit="false"/>
      <protection locked="true" hidden="false"/>
    </xf>
    <xf numFmtId="164" fontId="24" fillId="0" borderId="0" xfId="0" applyFont="true" applyBorder="false" applyAlignment="true" applyProtection="false">
      <alignment horizontal="right" vertical="center" textRotation="0" wrapText="false" indent="0" shrinkToFit="false"/>
      <protection locked="true" hidden="false"/>
    </xf>
    <xf numFmtId="164" fontId="15" fillId="0" borderId="5" xfId="0" applyFont="true" applyBorder="true" applyAlignment="true" applyProtection="false">
      <alignment horizontal="general" vertical="center" textRotation="0" wrapText="false" indent="0" shrinkToFit="false"/>
      <protection locked="true" hidden="false"/>
    </xf>
    <xf numFmtId="166" fontId="11" fillId="0" borderId="5" xfId="0" applyFont="true" applyBorder="true" applyAlignment="true" applyProtection="false">
      <alignment horizontal="general" vertical="center" textRotation="0" wrapText="false" indent="0" shrinkToFit="false"/>
      <protection locked="true" hidden="false"/>
    </xf>
    <xf numFmtId="167" fontId="11" fillId="0" borderId="5" xfId="0" applyFont="true" applyBorder="true" applyAlignment="true" applyProtection="false">
      <alignment horizontal="general" vertical="center" textRotation="0" wrapText="false" indent="0" shrinkToFit="false"/>
      <protection locked="true" hidden="false"/>
    </xf>
    <xf numFmtId="169" fontId="10" fillId="0" borderId="0" xfId="0" applyFont="true" applyBorder="false" applyAlignment="true" applyProtection="false">
      <alignment horizontal="left" vertical="center" textRotation="0" wrapText="false" indent="0" shrinkToFit="false"/>
      <protection locked="true" hidden="false"/>
    </xf>
    <xf numFmtId="167" fontId="20" fillId="0" borderId="0" xfId="0" applyFont="true" applyBorder="false" applyAlignment="true" applyProtection="false">
      <alignment horizontal="general" vertical="center" textRotation="0" wrapText="false" indent="0" shrinkToFit="false"/>
      <protection locked="true" hidden="false"/>
    </xf>
    <xf numFmtId="165" fontId="24" fillId="0" borderId="0" xfId="0" applyFont="true" applyBorder="false" applyAlignment="true" applyProtection="false">
      <alignment horizontal="general" vertical="center" textRotation="0" wrapText="false" indent="0" shrinkToFit="false"/>
      <protection locked="true" hidden="false"/>
    </xf>
    <xf numFmtId="172" fontId="24" fillId="0" borderId="0" xfId="0" applyFont="true" applyBorder="false" applyAlignment="true" applyProtection="false">
      <alignment horizontal="general" vertical="center" textRotation="0" wrapText="false" indent="0" shrinkToFit="false"/>
      <protection locked="true" hidden="false"/>
    </xf>
    <xf numFmtId="168" fontId="20" fillId="0" borderId="0" xfId="0" applyFont="true" applyBorder="false" applyAlignment="true" applyProtection="false">
      <alignment horizontal="general" vertical="center" textRotation="0" wrapText="false" indent="0" shrinkToFit="false"/>
      <protection locked="true" hidden="false"/>
    </xf>
    <xf numFmtId="164" fontId="19" fillId="0" borderId="0"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false" applyAlignment="true" applyProtection="false">
      <alignment horizontal="right" vertical="center" textRotation="0" wrapText="false" indent="0" shrinkToFit="false"/>
      <protection locked="true" hidden="false"/>
    </xf>
    <xf numFmtId="166" fontId="11" fillId="0" borderId="0" xfId="0" applyFont="true" applyBorder="false" applyAlignment="true" applyProtection="false">
      <alignment horizontal="general" vertical="center" textRotation="0" wrapText="false" indent="0" shrinkToFit="false"/>
      <protection locked="true" hidden="false"/>
    </xf>
    <xf numFmtId="168" fontId="24" fillId="0" borderId="0" xfId="0" applyFont="true" applyBorder="false" applyAlignment="true" applyProtection="false">
      <alignment horizontal="general" vertical="center" textRotation="0" wrapText="false" indent="0" shrinkToFit="false"/>
      <protection locked="true" hidden="false"/>
    </xf>
    <xf numFmtId="169" fontId="24" fillId="0" borderId="0" xfId="0" applyFont="true" applyBorder="false" applyAlignment="true" applyProtection="false">
      <alignment horizontal="general" vertical="center" textRotation="0" wrapText="false" indent="0" shrinkToFit="false"/>
      <protection locked="true" hidden="false"/>
    </xf>
    <xf numFmtId="174" fontId="20" fillId="0" borderId="0" xfId="0" applyFont="true" applyBorder="false" applyAlignment="true" applyProtection="false">
      <alignment horizontal="general" vertical="center" textRotation="0" wrapText="false" indent="0" shrinkToFit="false"/>
      <protection locked="true" hidden="false"/>
    </xf>
    <xf numFmtId="175" fontId="24" fillId="0" borderId="0" xfId="0" applyFont="true" applyBorder="false" applyAlignment="true" applyProtection="false">
      <alignment horizontal="general" vertical="center" textRotation="0" wrapText="false" indent="0" shrinkToFit="false"/>
      <protection locked="true" hidden="false"/>
    </xf>
    <xf numFmtId="167" fontId="21" fillId="0" borderId="0" xfId="0" applyFont="true" applyBorder="false" applyAlignment="true" applyProtection="false">
      <alignment horizontal="general" vertical="center" textRotation="0" wrapText="false" indent="0" shrinkToFit="false"/>
      <protection locked="true" hidden="false"/>
    </xf>
    <xf numFmtId="177" fontId="24" fillId="0" borderId="0" xfId="0" applyFont="true" applyBorder="false" applyAlignment="true" applyProtection="false">
      <alignment horizontal="general" vertical="center" textRotation="0" wrapText="false" indent="0" shrinkToFit="false"/>
      <protection locked="true" hidden="false"/>
    </xf>
    <xf numFmtId="164" fontId="27" fillId="0" borderId="0" xfId="0" applyFont="true" applyBorder="false" applyAlignment="true" applyProtection="false">
      <alignment horizontal="general" vertical="center" textRotation="0" wrapText="false" indent="0" shrinkToFit="false"/>
      <protection locked="true" hidden="false"/>
    </xf>
    <xf numFmtId="164" fontId="7" fillId="3" borderId="0" xfId="0" applyFont="true" applyBorder="true" applyAlignment="true" applyProtection="false">
      <alignment horizontal="general" vertical="center" textRotation="0" wrapText="true" indent="0" shrinkToFit="false"/>
      <protection locked="true" hidden="false"/>
    </xf>
    <xf numFmtId="164" fontId="15" fillId="5" borderId="6" xfId="0" applyFont="true" applyBorder="true" applyAlignment="true" applyProtection="false">
      <alignment horizontal="general" vertical="top" textRotation="0" wrapText="true" indent="0" shrinkToFit="false"/>
      <protection locked="true" hidden="false"/>
    </xf>
    <xf numFmtId="164" fontId="6" fillId="0" borderId="6" xfId="0" applyFont="true" applyBorder="tru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7" fillId="3" borderId="0" xfId="0" applyFont="true" applyBorder="tru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65" fontId="29" fillId="0" borderId="0" xfId="0" applyFont="true" applyBorder="false" applyAlignment="true" applyProtection="false">
      <alignment horizontal="general" vertical="center" textRotation="0" wrapText="false" indent="0" shrinkToFit="false"/>
      <protection locked="true" hidden="false"/>
    </xf>
    <xf numFmtId="178" fontId="20" fillId="0" borderId="0" xfId="0" applyFont="true" applyBorder="false" applyAlignment="true" applyProtection="false">
      <alignment horizontal="general" vertical="center" textRotation="0" wrapText="false" indent="0" shrinkToFit="false"/>
      <protection locked="true" hidden="false"/>
    </xf>
    <xf numFmtId="165" fontId="11" fillId="0" borderId="0" xfId="0" applyFont="true" applyBorder="false" applyAlignment="true" applyProtection="false">
      <alignment horizontal="center" vertical="center" textRotation="0" wrapText="false" indent="0" shrinkToFit="false"/>
      <protection locked="true" hidden="false"/>
    </xf>
    <xf numFmtId="168" fontId="21" fillId="0" borderId="0" xfId="0" applyFont="true" applyBorder="false" applyAlignment="true" applyProtection="false">
      <alignment horizontal="general" vertical="center" textRotation="0" wrapText="false" indent="0" shrinkToFit="false"/>
      <protection locked="true" hidden="false"/>
    </xf>
    <xf numFmtId="179" fontId="20"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true" applyAlignment="true" applyProtection="false">
      <alignment horizontal="general" vertical="center" textRotation="0" wrapText="false" indent="0" shrinkToFit="false"/>
      <protection locked="true" hidden="false"/>
    </xf>
    <xf numFmtId="164" fontId="30" fillId="0" borderId="0" xfId="0" applyFont="true" applyBorder="true" applyAlignment="true" applyProtection="false">
      <alignment horizontal="left" vertical="center" textRotation="0" wrapText="false" indent="0" shrinkToFit="false"/>
      <protection locked="true" hidden="false"/>
    </xf>
    <xf numFmtId="166" fontId="11" fillId="0" borderId="0" xfId="0" applyFont="tru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1">
    <dxf>
      <font>
        <color rgb="FF9C0006"/>
      </font>
      <fill>
        <patternFill>
          <bgColor rgb="FFFFC7CE"/>
        </patternFill>
      </fill>
    </dxf>
    <dxf>
      <font>
        <color rgb="FF006100"/>
      </font>
      <fill>
        <patternFill>
          <bgColor rgb="FFC6EFCE"/>
        </patternFill>
      </fill>
    </dxf>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FF0000"/>
          <bgColor rgb="FF000000"/>
        </patternFill>
      </fill>
    </dxf>
    <dxf>
      <fill>
        <patternFill patternType="solid">
          <fgColor rgb="FFFFF2CC"/>
          <bgColor rgb="FF000000"/>
        </patternFill>
      </fill>
    </dxf>
    <dxf>
      <fill>
        <patternFill>
          <bgColor rgb="FFFFF2CC"/>
        </patternFill>
      </fill>
    </dxf>
    <dxf>
      <font>
        <b val="1"/>
      </font>
      <fill>
        <patternFill>
          <bgColor rgb="FFF8CBAD"/>
        </patternFill>
      </fill>
    </dxf>
    <dxf>
      <font>
        <b val="1"/>
      </font>
      <fill>
        <patternFill>
          <bgColor rgb="FFFFF2CC"/>
        </patternFill>
      </fill>
    </dxf>
    <dxf>
      <fill>
        <patternFill patternType="solid">
          <fgColor rgb="FFE2EFDA"/>
          <bgColor rgb="FF000000"/>
        </patternFill>
      </fill>
    </dxf>
    <dxf>
      <fill>
        <patternFill patternType="solid">
          <fgColor rgb="FFF8CBAD"/>
          <bgColor rgb="FF000000"/>
        </patternFill>
      </fill>
    </dxf>
    <dxf>
      <fill>
        <patternFill>
          <bgColor rgb="FFF8CBAD"/>
        </patternFill>
      </fill>
    </dxf>
    <dxf>
      <fill>
        <patternFill>
          <bgColor rgb="FFE2EFDA"/>
        </patternFill>
      </fill>
    </dxf>
    <dxf>
      <fill>
        <patternFill patternType="solid">
          <fgColor rgb="FF00703C"/>
          <bgColor rgb="FF000000"/>
        </patternFill>
      </fill>
    </dxf>
    <dxf>
      <fill>
        <patternFill patternType="solid">
          <fgColor rgb="FFC6EFCE"/>
          <bgColor rgb="FF000000"/>
        </patternFill>
      </fill>
    </dxf>
    <dxf>
      <fill>
        <patternFill patternType="solid">
          <fgColor rgb="FF006100"/>
          <bgColor rgb="FF000000"/>
        </patternFill>
      </fill>
    </dxf>
    <dxf>
      <font>
        <b val="1"/>
        <color rgb="FF006100"/>
      </font>
      <fill>
        <patternFill>
          <bgColor rgb="FFC6EFCE"/>
        </patternFill>
      </fill>
    </dxf>
    <dxf>
      <font>
        <b val="1"/>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703C"/>
      <rgbColor rgb="FF000080"/>
      <rgbColor rgb="FF7F6000"/>
      <rgbColor rgb="FF800080"/>
      <rgbColor rgb="FF008080"/>
      <rgbColor rgb="FFBFBFBF"/>
      <rgbColor rgb="FF7F7F7F"/>
      <rgbColor rgb="FF9999FF"/>
      <rgbColor rgb="FF993366"/>
      <rgbColor rgb="FFFFF2CC"/>
      <rgbColor rgb="FFE2EFDA"/>
      <rgbColor rgb="FF660066"/>
      <rgbColor rgb="FFFF8080"/>
      <rgbColor rgb="FF0563C1"/>
      <rgbColor rgb="FFD9D9D9"/>
      <rgbColor rgb="FF000080"/>
      <rgbColor rgb="FFFF00FF"/>
      <rgbColor rgb="FFFFFF00"/>
      <rgbColor rgb="FF00FFFF"/>
      <rgbColor rgb="FF800080"/>
      <rgbColor rgb="FFC00000"/>
      <rgbColor rgb="FF008080"/>
      <rgbColor rgb="FF0000FF"/>
      <rgbColor rgb="FF00CCFF"/>
      <rgbColor rgb="FFF2F2F2"/>
      <rgbColor rgb="FFC6EFCE"/>
      <rgbColor rgb="FFFFFF99"/>
      <rgbColor rgb="FF9DC3E6"/>
      <rgbColor rgb="FFFFC7CE"/>
      <rgbColor rgb="FFCC99FF"/>
      <rgbColor rgb="FFF8CBAD"/>
      <rgbColor rgb="FF3366FF"/>
      <rgbColor rgb="FF33CCCC"/>
      <rgbColor rgb="FF99CC00"/>
      <rgbColor rgb="FFFFCC00"/>
      <rgbColor rgb="FFBF9000"/>
      <rgbColor rgb="FFC55A11"/>
      <rgbColor rgb="FF595959"/>
      <rgbColor rgb="FF878787"/>
      <rgbColor rgb="FF1F3864"/>
      <rgbColor rgb="FF548235"/>
      <rgbColor rgb="FF0061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Revenue, gross profit and operating result proxy by calendar year (USD)</a:t>
            </a:r>
          </a:p>
        </c:rich>
      </c:tx>
      <c:overlay val="0"/>
      <c:spPr>
        <a:noFill/>
        <a:ln w="0">
          <a:noFill/>
        </a:ln>
      </c:spPr>
    </c:title>
    <c:autoTitleDeleted val="0"/>
    <c:plotArea>
      <c:barChart>
        <c:barDir val="col"/>
        <c:grouping val="clustered"/>
        <c:varyColors val="0"/>
        <c:ser>
          <c:idx val="0"/>
          <c:order val="0"/>
          <c:tx>
            <c:strRef>
              <c:f>"Revenue"</c:f>
              <c:strCache>
                <c:ptCount val="1"/>
                <c:pt idx="0">
                  <c:v>Revenue</c:v>
                </c:pt>
              </c:strCache>
            </c:strRef>
          </c:tx>
          <c:spPr>
            <a:solidFill>
              <a:srgbClr val="1f386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'Executive Summary'!$A$39:$A$41</c:f>
              <c:strCache>
                <c:ptCount val="3"/>
                <c:pt idx="0">
                  <c:v>2023</c:v>
                </c:pt>
                <c:pt idx="1">
                  <c:v>2024</c:v>
                </c:pt>
                <c:pt idx="2">
                  <c:v>2025</c:v>
                </c:pt>
              </c:strCache>
            </c:strRef>
          </c:cat>
          <c:val>
            <c:numRef>
              <c:f>'Executive Summary'!$B$39:$B$41</c:f>
              <c:numCache>
                <c:formatCode>#,##0;[RED]\(#,##0\);\-</c:formatCode>
                <c:ptCount val="3"/>
                <c:pt idx="0">
                  <c:v>61295630.9945</c:v>
                </c:pt>
                <c:pt idx="1">
                  <c:v>70362583.5629</c:v>
                </c:pt>
                <c:pt idx="2">
                  <c:v>70990787.5948</c:v>
                </c:pt>
              </c:numCache>
            </c:numRef>
          </c:val>
        </c:ser>
        <c:ser>
          <c:idx val="1"/>
          <c:order val="1"/>
          <c:tx>
            <c:strRef>
              <c:f>"Gross profit (S1)"</c:f>
              <c:strCache>
                <c:ptCount val="1"/>
                <c:pt idx="0">
                  <c:v>Gross profit (S1)</c:v>
                </c:pt>
              </c:strCache>
            </c:strRef>
          </c:tx>
          <c:spPr>
            <a:solidFill>
              <a:srgbClr val="54823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'Executive Summary'!$A$39:$A$41</c:f>
              <c:strCache>
                <c:ptCount val="3"/>
                <c:pt idx="0">
                  <c:v>2023</c:v>
                </c:pt>
                <c:pt idx="1">
                  <c:v>2024</c:v>
                </c:pt>
                <c:pt idx="2">
                  <c:v>2025</c:v>
                </c:pt>
              </c:strCache>
            </c:strRef>
          </c:cat>
          <c:val>
            <c:numRef>
              <c:f>'Executive Summary'!$C$39:$C$41</c:f>
              <c:numCache>
                <c:formatCode>#,##0;[RED]\(#,##0\);\-</c:formatCode>
                <c:ptCount val="3"/>
                <c:pt idx="0">
                  <c:v>32475369.3472</c:v>
                </c:pt>
                <c:pt idx="1">
                  <c:v>40119070.3551</c:v>
                </c:pt>
                <c:pt idx="2">
                  <c:v>37246544.5477</c:v>
                </c:pt>
              </c:numCache>
            </c:numRef>
          </c:val>
        </c:ser>
        <c:ser>
          <c:idx val="2"/>
          <c:order val="2"/>
          <c:tx>
            <c:strRef>
              <c:f>"Operating result proxy"</c:f>
              <c:strCache>
                <c:ptCount val="1"/>
                <c:pt idx="0">
                  <c:v>Operating result proxy</c:v>
                </c:pt>
              </c:strCache>
            </c:strRef>
          </c:tx>
          <c:spPr>
            <a:solidFill>
              <a:srgbClr val="c55a1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'Executive Summary'!$A$39:$A$41</c:f>
              <c:strCache>
                <c:ptCount val="3"/>
                <c:pt idx="0">
                  <c:v>2023</c:v>
                </c:pt>
                <c:pt idx="1">
                  <c:v>2024</c:v>
                </c:pt>
                <c:pt idx="2">
                  <c:v>2025</c:v>
                </c:pt>
              </c:strCache>
            </c:strRef>
          </c:cat>
          <c:val>
            <c:numRef>
              <c:f>'Executive Summary'!$D$39:$D$41</c:f>
              <c:numCache>
                <c:formatCode>#,##0;[RED]\(#,##0\);\-</c:formatCode>
                <c:ptCount val="3"/>
                <c:pt idx="0">
                  <c:v>5637402.08220002</c:v>
                </c:pt>
                <c:pt idx="1">
                  <c:v>11898678.6134</c:v>
                </c:pt>
                <c:pt idx="2">
                  <c:v>8783165.46890001</c:v>
                </c:pt>
              </c:numCache>
            </c:numRef>
          </c:val>
        </c:ser>
        <c:gapWidth val="80"/>
        <c:overlap val="0"/>
        <c:axId val="67054662"/>
        <c:axId val="65937614"/>
      </c:barChart>
      <c:catAx>
        <c:axId val="67054662"/>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937614"/>
        <c:crosses val="autoZero"/>
        <c:auto val="1"/>
        <c:lblAlgn val="ctr"/>
        <c:lblOffset val="100"/>
        <c:noMultiLvlLbl val="0"/>
      </c:catAx>
      <c:valAx>
        <c:axId val="65937614"/>
        <c:scaling>
          <c:orientation val="minMax"/>
        </c:scaling>
        <c:delete val="0"/>
        <c:axPos val="l"/>
        <c:majorGridlines>
          <c:spPr>
            <a:ln w="9360">
              <a:solidFill>
                <a:srgbClr val="d9d9d9"/>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USD millions</a:t>
                </a:r>
              </a:p>
            </c:rich>
          </c:tx>
          <c:overlay val="0"/>
          <c:spPr>
            <a:noFill/>
            <a:ln w="0">
              <a:noFill/>
            </a:ln>
          </c:spPr>
        </c:title>
        <c:numFmt formatCode="#,##0,,\m"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05466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100" spc="-1" strike="noStrike">
                <a:solidFill>
                  <a:srgbClr val="000000"/>
                </a:solidFill>
                <a:latin typeface="Calibri"/>
              </a:defRPr>
            </a:pPr>
            <a:r>
              <a:rPr b="1" lang="en-US" sz="1100" spc="-1" strike="noStrike">
                <a:solidFill>
                  <a:srgbClr val="000000"/>
                </a:solidFill>
                <a:latin typeface="Calibri"/>
              </a:rPr>
              <a:t>Monthly revenue, COGS and operating result proxy (USD)</a:t>
            </a:r>
          </a:p>
        </c:rich>
      </c:tx>
      <c:overlay val="0"/>
      <c:spPr>
        <a:noFill/>
        <a:ln w="0">
          <a:noFill/>
        </a:ln>
      </c:spPr>
    </c:title>
    <c:autoTitleDeleted val="0"/>
    <c:plotArea>
      <c:lineChart>
        <c:grouping val="standard"/>
        <c:varyColors val="0"/>
        <c:ser>
          <c:idx val="0"/>
          <c:order val="0"/>
          <c:tx>
            <c:strRef>
              <c:f>"Revenue"</c:f>
              <c:strCache>
                <c:ptCount val="1"/>
                <c:pt idx="0">
                  <c:v>Revenue</c:v>
                </c:pt>
              </c:strCache>
            </c:strRef>
          </c:tx>
          <c:spPr>
            <a:solidFill>
              <a:srgbClr val="1f3864"/>
            </a:solidFill>
            <a:ln w="25560">
              <a:solidFill>
                <a:srgbClr val="1f386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'Monthly P&amp;L'!$A$8:$A$43</c:f>
              <c:numCache>
                <c:formatCode>mmm\ yy</c:formatCode>
                <c:ptCount val="36"/>
                <c:pt idx="0">
                  <c:v>Jan 2023</c:v>
                </c:pt>
                <c:pt idx="1">
                  <c:v>Feb 2023</c:v>
                </c:pt>
                <c:pt idx="2">
                  <c:v>Mar 2023</c:v>
                </c:pt>
                <c:pt idx="3">
                  <c:v>Apr 2023</c:v>
                </c:pt>
                <c:pt idx="4">
                  <c:v>May 2023</c:v>
                </c:pt>
                <c:pt idx="5">
                  <c:v>Jun 2023</c:v>
                </c:pt>
                <c:pt idx="6">
                  <c:v>Jul 2023</c:v>
                </c:pt>
                <c:pt idx="7">
                  <c:v>Aug 2023</c:v>
                </c:pt>
                <c:pt idx="8">
                  <c:v>Sep 2023</c:v>
                </c:pt>
                <c:pt idx="9">
                  <c:v>Oct 2023</c:v>
                </c:pt>
                <c:pt idx="10">
                  <c:v>Nov 2023</c:v>
                </c:pt>
                <c:pt idx="11">
                  <c:v>Dec 2023</c:v>
                </c:pt>
                <c:pt idx="12">
                  <c:v>Jan 2024</c:v>
                </c:pt>
                <c:pt idx="13">
                  <c:v>Feb 2024</c:v>
                </c:pt>
                <c:pt idx="14">
                  <c:v>Mar 2024</c:v>
                </c:pt>
                <c:pt idx="15">
                  <c:v>Apr 2024</c:v>
                </c:pt>
                <c:pt idx="16">
                  <c:v>May 2024</c:v>
                </c:pt>
                <c:pt idx="17">
                  <c:v>Jun 2024</c:v>
                </c:pt>
                <c:pt idx="18">
                  <c:v>Jul 2024</c:v>
                </c:pt>
                <c:pt idx="19">
                  <c:v>Aug 2024</c:v>
                </c:pt>
                <c:pt idx="20">
                  <c:v>Sep 2024</c:v>
                </c:pt>
                <c:pt idx="21">
                  <c:v>Oct 2024</c:v>
                </c:pt>
                <c:pt idx="22">
                  <c:v>Nov 2024</c:v>
                </c:pt>
                <c:pt idx="23">
                  <c:v>Dec 2024</c:v>
                </c:pt>
                <c:pt idx="24">
                  <c:v>Jan 2025</c:v>
                </c:pt>
                <c:pt idx="25">
                  <c:v>Feb 2025</c:v>
                </c:pt>
                <c:pt idx="26">
                  <c:v>Mar 2025</c:v>
                </c:pt>
                <c:pt idx="27">
                  <c:v>Apr 2025</c:v>
                </c:pt>
                <c:pt idx="28">
                  <c:v>May 2025</c:v>
                </c:pt>
                <c:pt idx="29">
                  <c:v>Jun 2025</c:v>
                </c:pt>
                <c:pt idx="30">
                  <c:v>Jul 2025</c:v>
                </c:pt>
                <c:pt idx="31">
                  <c:v>Aug 2025</c:v>
                </c:pt>
                <c:pt idx="32">
                  <c:v>Sep 2025</c:v>
                </c:pt>
                <c:pt idx="33">
                  <c:v>Oct 2025</c:v>
                </c:pt>
                <c:pt idx="34">
                  <c:v>Nov 2025</c:v>
                </c:pt>
                <c:pt idx="35">
                  <c:v>Dec 2025</c:v>
                </c:pt>
              </c:numCache>
            </c:numRef>
          </c:cat>
          <c:val>
            <c:numRef>
              <c:f>'Monthly P&amp;L'!$C$8:$C$43</c:f>
              <c:numCache>
                <c:formatCode>#,##0;[RED]\(#,##0\);\-</c:formatCode>
                <c:ptCount val="36"/>
                <c:pt idx="0">
                  <c:v>4261970.3057</c:v>
                </c:pt>
                <c:pt idx="1">
                  <c:v>4952634.8402</c:v>
                </c:pt>
                <c:pt idx="2">
                  <c:v>4520527.2834</c:v>
                </c:pt>
                <c:pt idx="3">
                  <c:v>5762118.2686</c:v>
                </c:pt>
                <c:pt idx="4">
                  <c:v>5278866.61959999</c:v>
                </c:pt>
                <c:pt idx="5">
                  <c:v>5344108.4734</c:v>
                </c:pt>
                <c:pt idx="6">
                  <c:v>6347254.9649</c:v>
                </c:pt>
                <c:pt idx="7">
                  <c:v>4916757.7852</c:v>
                </c:pt>
                <c:pt idx="8">
                  <c:v>5542771.82680001</c:v>
                </c:pt>
                <c:pt idx="9">
                  <c:v>4803300.8607</c:v>
                </c:pt>
                <c:pt idx="10">
                  <c:v>4905385.92490001</c:v>
                </c:pt>
                <c:pt idx="11">
                  <c:v>4659933.84110001</c:v>
                </c:pt>
                <c:pt idx="12">
                  <c:v>4879215.4784</c:v>
                </c:pt>
                <c:pt idx="13">
                  <c:v>6243377.0235</c:v>
                </c:pt>
                <c:pt idx="14">
                  <c:v>5228808.5297</c:v>
                </c:pt>
                <c:pt idx="15">
                  <c:v>5851094.3959</c:v>
                </c:pt>
                <c:pt idx="16">
                  <c:v>6144226.68950001</c:v>
                </c:pt>
                <c:pt idx="17">
                  <c:v>6311684.07730001</c:v>
                </c:pt>
                <c:pt idx="18">
                  <c:v>6449521.1711</c:v>
                </c:pt>
                <c:pt idx="19">
                  <c:v>5731631.3474</c:v>
                </c:pt>
                <c:pt idx="20">
                  <c:v>6111503.1878</c:v>
                </c:pt>
                <c:pt idx="21">
                  <c:v>5903974.98</c:v>
                </c:pt>
                <c:pt idx="22">
                  <c:v>5999297.09789999</c:v>
                </c:pt>
                <c:pt idx="23">
                  <c:v>5508249.58439999</c:v>
                </c:pt>
                <c:pt idx="24">
                  <c:v>5326406.6081</c:v>
                </c:pt>
                <c:pt idx="25">
                  <c:v>5667143.6792</c:v>
                </c:pt>
                <c:pt idx="26">
                  <c:v>6002810.1325</c:v>
                </c:pt>
                <c:pt idx="27">
                  <c:v>6512756.12990001</c:v>
                </c:pt>
                <c:pt idx="28">
                  <c:v>6411807.05130001</c:v>
                </c:pt>
                <c:pt idx="29">
                  <c:v>7143087.6984</c:v>
                </c:pt>
                <c:pt idx="30">
                  <c:v>6969943.85390001</c:v>
                </c:pt>
                <c:pt idx="31">
                  <c:v>5855510.5621</c:v>
                </c:pt>
                <c:pt idx="32">
                  <c:v>5319797.5597</c:v>
                </c:pt>
                <c:pt idx="33">
                  <c:v>5510713.1242</c:v>
                </c:pt>
                <c:pt idx="34">
                  <c:v>5113880.0586</c:v>
                </c:pt>
                <c:pt idx="35">
                  <c:v>5156931.1369</c:v>
                </c:pt>
              </c:numCache>
            </c:numRef>
          </c:val>
          <c:smooth val="0"/>
        </c:ser>
        <c:ser>
          <c:idx val="1"/>
          <c:order val="1"/>
          <c:tx>
            <c:strRef>
              <c:f>"COGS"</c:f>
              <c:strCache>
                <c:ptCount val="1"/>
                <c:pt idx="0">
                  <c:v>COGS</c:v>
                </c:pt>
              </c:strCache>
            </c:strRef>
          </c:tx>
          <c:spPr>
            <a:solidFill>
              <a:srgbClr val="c55a11"/>
            </a:solidFill>
            <a:ln w="25560">
              <a:solidFill>
                <a:srgbClr val="c55a1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'Monthly P&amp;L'!$A$8:$A$43</c:f>
              <c:numCache>
                <c:formatCode>mmm\ yy</c:formatCode>
                <c:ptCount val="36"/>
                <c:pt idx="0">
                  <c:v>Jan 2023</c:v>
                </c:pt>
                <c:pt idx="1">
                  <c:v>Feb 2023</c:v>
                </c:pt>
                <c:pt idx="2">
                  <c:v>Mar 2023</c:v>
                </c:pt>
                <c:pt idx="3">
                  <c:v>Apr 2023</c:v>
                </c:pt>
                <c:pt idx="4">
                  <c:v>May 2023</c:v>
                </c:pt>
                <c:pt idx="5">
                  <c:v>Jun 2023</c:v>
                </c:pt>
                <c:pt idx="6">
                  <c:v>Jul 2023</c:v>
                </c:pt>
                <c:pt idx="7">
                  <c:v>Aug 2023</c:v>
                </c:pt>
                <c:pt idx="8">
                  <c:v>Sep 2023</c:v>
                </c:pt>
                <c:pt idx="9">
                  <c:v>Oct 2023</c:v>
                </c:pt>
                <c:pt idx="10">
                  <c:v>Nov 2023</c:v>
                </c:pt>
                <c:pt idx="11">
                  <c:v>Dec 2023</c:v>
                </c:pt>
                <c:pt idx="12">
                  <c:v>Jan 2024</c:v>
                </c:pt>
                <c:pt idx="13">
                  <c:v>Feb 2024</c:v>
                </c:pt>
                <c:pt idx="14">
                  <c:v>Mar 2024</c:v>
                </c:pt>
                <c:pt idx="15">
                  <c:v>Apr 2024</c:v>
                </c:pt>
                <c:pt idx="16">
                  <c:v>May 2024</c:v>
                </c:pt>
                <c:pt idx="17">
                  <c:v>Jun 2024</c:v>
                </c:pt>
                <c:pt idx="18">
                  <c:v>Jul 2024</c:v>
                </c:pt>
                <c:pt idx="19">
                  <c:v>Aug 2024</c:v>
                </c:pt>
                <c:pt idx="20">
                  <c:v>Sep 2024</c:v>
                </c:pt>
                <c:pt idx="21">
                  <c:v>Oct 2024</c:v>
                </c:pt>
                <c:pt idx="22">
                  <c:v>Nov 2024</c:v>
                </c:pt>
                <c:pt idx="23">
                  <c:v>Dec 2024</c:v>
                </c:pt>
                <c:pt idx="24">
                  <c:v>Jan 2025</c:v>
                </c:pt>
                <c:pt idx="25">
                  <c:v>Feb 2025</c:v>
                </c:pt>
                <c:pt idx="26">
                  <c:v>Mar 2025</c:v>
                </c:pt>
                <c:pt idx="27">
                  <c:v>Apr 2025</c:v>
                </c:pt>
                <c:pt idx="28">
                  <c:v>May 2025</c:v>
                </c:pt>
                <c:pt idx="29">
                  <c:v>Jun 2025</c:v>
                </c:pt>
                <c:pt idx="30">
                  <c:v>Jul 2025</c:v>
                </c:pt>
                <c:pt idx="31">
                  <c:v>Aug 2025</c:v>
                </c:pt>
                <c:pt idx="32">
                  <c:v>Sep 2025</c:v>
                </c:pt>
                <c:pt idx="33">
                  <c:v>Oct 2025</c:v>
                </c:pt>
                <c:pt idx="34">
                  <c:v>Nov 2025</c:v>
                </c:pt>
                <c:pt idx="35">
                  <c:v>Dec 2025</c:v>
                </c:pt>
              </c:numCache>
            </c:numRef>
          </c:cat>
          <c:val>
            <c:numRef>
              <c:f>'Monthly P&amp;L'!$D$8:$D$43</c:f>
              <c:numCache>
                <c:formatCode>#,##0;[RED]\(#,##0\);\-</c:formatCode>
                <c:ptCount val="36"/>
                <c:pt idx="0">
                  <c:v>2086530.5565</c:v>
                </c:pt>
                <c:pt idx="1">
                  <c:v>2254534.9895</c:v>
                </c:pt>
                <c:pt idx="2">
                  <c:v>2246171.7922</c:v>
                </c:pt>
                <c:pt idx="3">
                  <c:v>2506781.0404</c:v>
                </c:pt>
                <c:pt idx="4">
                  <c:v>2759483.959</c:v>
                </c:pt>
                <c:pt idx="5">
                  <c:v>2509076.2111</c:v>
                </c:pt>
                <c:pt idx="6">
                  <c:v>2487990.5444</c:v>
                </c:pt>
                <c:pt idx="7">
                  <c:v>2729906.7424</c:v>
                </c:pt>
                <c:pt idx="8">
                  <c:v>2149206.5231</c:v>
                </c:pt>
                <c:pt idx="9">
                  <c:v>2128271.6451</c:v>
                </c:pt>
                <c:pt idx="10">
                  <c:v>2495875.9664</c:v>
                </c:pt>
                <c:pt idx="11">
                  <c:v>2466431.6772</c:v>
                </c:pt>
                <c:pt idx="12">
                  <c:v>1782755.4433</c:v>
                </c:pt>
                <c:pt idx="13">
                  <c:v>2397469.0246</c:v>
                </c:pt>
                <c:pt idx="14">
                  <c:v>2393901.0604</c:v>
                </c:pt>
                <c:pt idx="15">
                  <c:v>2985560.3922</c:v>
                </c:pt>
                <c:pt idx="16">
                  <c:v>3146448.0443</c:v>
                </c:pt>
                <c:pt idx="17">
                  <c:v>2990465.8476</c:v>
                </c:pt>
                <c:pt idx="18">
                  <c:v>2329091.5688</c:v>
                </c:pt>
                <c:pt idx="19">
                  <c:v>2457267.4877</c:v>
                </c:pt>
                <c:pt idx="20">
                  <c:v>2702416.2711</c:v>
                </c:pt>
                <c:pt idx="21">
                  <c:v>2446987.3101</c:v>
                </c:pt>
                <c:pt idx="22">
                  <c:v>2578510.8711</c:v>
                </c:pt>
                <c:pt idx="23">
                  <c:v>2032639.8866</c:v>
                </c:pt>
                <c:pt idx="24">
                  <c:v>2706518.2798</c:v>
                </c:pt>
                <c:pt idx="25">
                  <c:v>2364514.0168</c:v>
                </c:pt>
                <c:pt idx="26">
                  <c:v>2640020.3466</c:v>
                </c:pt>
                <c:pt idx="27">
                  <c:v>2444803.5726</c:v>
                </c:pt>
                <c:pt idx="28">
                  <c:v>3190783.2674</c:v>
                </c:pt>
                <c:pt idx="29">
                  <c:v>2997524.5525</c:v>
                </c:pt>
                <c:pt idx="30">
                  <c:v>2789719.536</c:v>
                </c:pt>
                <c:pt idx="31">
                  <c:v>3341551.1549</c:v>
                </c:pt>
                <c:pt idx="32">
                  <c:v>3009431.4151</c:v>
                </c:pt>
                <c:pt idx="33">
                  <c:v>3266059.9314</c:v>
                </c:pt>
                <c:pt idx="34">
                  <c:v>2630301.9226</c:v>
                </c:pt>
                <c:pt idx="35">
                  <c:v>2363015.0514</c:v>
                </c:pt>
              </c:numCache>
            </c:numRef>
          </c:val>
          <c:smooth val="0"/>
        </c:ser>
        <c:ser>
          <c:idx val="2"/>
          <c:order val="2"/>
          <c:tx>
            <c:strRef>
              <c:f>"Operating result proxy"</c:f>
              <c:strCache>
                <c:ptCount val="1"/>
                <c:pt idx="0">
                  <c:v>Operating result proxy</c:v>
                </c:pt>
              </c:strCache>
            </c:strRef>
          </c:tx>
          <c:spPr>
            <a:solidFill>
              <a:srgbClr val="548235"/>
            </a:solidFill>
            <a:ln w="25560">
              <a:solidFill>
                <a:srgbClr val="54823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'Monthly P&amp;L'!$A$8:$A$43</c:f>
              <c:numCache>
                <c:formatCode>mmm\ yy</c:formatCode>
                <c:ptCount val="36"/>
                <c:pt idx="0">
                  <c:v>Jan 2023</c:v>
                </c:pt>
                <c:pt idx="1">
                  <c:v>Feb 2023</c:v>
                </c:pt>
                <c:pt idx="2">
                  <c:v>Mar 2023</c:v>
                </c:pt>
                <c:pt idx="3">
                  <c:v>Apr 2023</c:v>
                </c:pt>
                <c:pt idx="4">
                  <c:v>May 2023</c:v>
                </c:pt>
                <c:pt idx="5">
                  <c:v>Jun 2023</c:v>
                </c:pt>
                <c:pt idx="6">
                  <c:v>Jul 2023</c:v>
                </c:pt>
                <c:pt idx="7">
                  <c:v>Aug 2023</c:v>
                </c:pt>
                <c:pt idx="8">
                  <c:v>Sep 2023</c:v>
                </c:pt>
                <c:pt idx="9">
                  <c:v>Oct 2023</c:v>
                </c:pt>
                <c:pt idx="10">
                  <c:v>Nov 2023</c:v>
                </c:pt>
                <c:pt idx="11">
                  <c:v>Dec 2023</c:v>
                </c:pt>
                <c:pt idx="12">
                  <c:v>Jan 2024</c:v>
                </c:pt>
                <c:pt idx="13">
                  <c:v>Feb 2024</c:v>
                </c:pt>
                <c:pt idx="14">
                  <c:v>Mar 2024</c:v>
                </c:pt>
                <c:pt idx="15">
                  <c:v>Apr 2024</c:v>
                </c:pt>
                <c:pt idx="16">
                  <c:v>May 2024</c:v>
                </c:pt>
                <c:pt idx="17">
                  <c:v>Jun 2024</c:v>
                </c:pt>
                <c:pt idx="18">
                  <c:v>Jul 2024</c:v>
                </c:pt>
                <c:pt idx="19">
                  <c:v>Aug 2024</c:v>
                </c:pt>
                <c:pt idx="20">
                  <c:v>Sep 2024</c:v>
                </c:pt>
                <c:pt idx="21">
                  <c:v>Oct 2024</c:v>
                </c:pt>
                <c:pt idx="22">
                  <c:v>Nov 2024</c:v>
                </c:pt>
                <c:pt idx="23">
                  <c:v>Dec 2024</c:v>
                </c:pt>
                <c:pt idx="24">
                  <c:v>Jan 2025</c:v>
                </c:pt>
                <c:pt idx="25">
                  <c:v>Feb 2025</c:v>
                </c:pt>
                <c:pt idx="26">
                  <c:v>Mar 2025</c:v>
                </c:pt>
                <c:pt idx="27">
                  <c:v>Apr 2025</c:v>
                </c:pt>
                <c:pt idx="28">
                  <c:v>May 2025</c:v>
                </c:pt>
                <c:pt idx="29">
                  <c:v>Jun 2025</c:v>
                </c:pt>
                <c:pt idx="30">
                  <c:v>Jul 2025</c:v>
                </c:pt>
                <c:pt idx="31">
                  <c:v>Aug 2025</c:v>
                </c:pt>
                <c:pt idx="32">
                  <c:v>Sep 2025</c:v>
                </c:pt>
                <c:pt idx="33">
                  <c:v>Oct 2025</c:v>
                </c:pt>
                <c:pt idx="34">
                  <c:v>Nov 2025</c:v>
                </c:pt>
                <c:pt idx="35">
                  <c:v>Dec 2025</c:v>
                </c:pt>
              </c:numCache>
            </c:numRef>
          </c:cat>
          <c:val>
            <c:numRef>
              <c:f>'Monthly P&amp;L'!$I$8:$I$43</c:f>
              <c:numCache>
                <c:formatCode>#,##0;[RED]\(#,##0\);\-</c:formatCode>
                <c:ptCount val="36"/>
                <c:pt idx="0">
                  <c:v>-32357.5798000012</c:v>
                </c:pt>
                <c:pt idx="1">
                  <c:v>430317.644299999</c:v>
                </c:pt>
                <c:pt idx="2">
                  <c:v>-358027.253399998</c:v>
                </c:pt>
                <c:pt idx="3">
                  <c:v>1408664.94130001</c:v>
                </c:pt>
                <c:pt idx="4">
                  <c:v>628910.944799991</c:v>
                </c:pt>
                <c:pt idx="5">
                  <c:v>972892.613600002</c:v>
                </c:pt>
                <c:pt idx="6">
                  <c:v>1106545.6482</c:v>
                </c:pt>
                <c:pt idx="7">
                  <c:v>-544188.751499997</c:v>
                </c:pt>
                <c:pt idx="8">
                  <c:v>1444791.7666</c:v>
                </c:pt>
                <c:pt idx="9">
                  <c:v>111964.892000002</c:v>
                </c:pt>
                <c:pt idx="10">
                  <c:v>436094.479200007</c:v>
                </c:pt>
                <c:pt idx="11">
                  <c:v>31792.7369000039</c:v>
                </c:pt>
                <c:pt idx="12">
                  <c:v>940083.1574</c:v>
                </c:pt>
                <c:pt idx="13">
                  <c:v>1616675.3294</c:v>
                </c:pt>
                <c:pt idx="14">
                  <c:v>186665.773200003</c:v>
                </c:pt>
                <c:pt idx="15">
                  <c:v>517764.3441</c:v>
                </c:pt>
                <c:pt idx="16">
                  <c:v>475873.160600009</c:v>
                </c:pt>
                <c:pt idx="17">
                  <c:v>508487.288300004</c:v>
                </c:pt>
                <c:pt idx="18">
                  <c:v>1730721.7888</c:v>
                </c:pt>
                <c:pt idx="19">
                  <c:v>680569.9858</c:v>
                </c:pt>
                <c:pt idx="20">
                  <c:v>1131920.4967</c:v>
                </c:pt>
                <c:pt idx="21">
                  <c:v>1115618.0866</c:v>
                </c:pt>
                <c:pt idx="22">
                  <c:v>987149.996199992</c:v>
                </c:pt>
                <c:pt idx="23">
                  <c:v>2007149.20629999</c:v>
                </c:pt>
                <c:pt idx="24">
                  <c:v>177970.708100002</c:v>
                </c:pt>
                <c:pt idx="25">
                  <c:v>1577812.9958</c:v>
                </c:pt>
                <c:pt idx="26">
                  <c:v>1291259.9815</c:v>
                </c:pt>
                <c:pt idx="27">
                  <c:v>1767866.65540001</c:v>
                </c:pt>
                <c:pt idx="28">
                  <c:v>258057.451600006</c:v>
                </c:pt>
                <c:pt idx="29">
                  <c:v>1605697.226</c:v>
                </c:pt>
                <c:pt idx="30">
                  <c:v>1720712.79920001</c:v>
                </c:pt>
                <c:pt idx="31">
                  <c:v>-159324.921100001</c:v>
                </c:pt>
                <c:pt idx="32">
                  <c:v>-196633.787800001</c:v>
                </c:pt>
                <c:pt idx="33">
                  <c:v>212131.5387</c:v>
                </c:pt>
                <c:pt idx="34">
                  <c:v>-135585.651000004</c:v>
                </c:pt>
                <c:pt idx="35">
                  <c:v>663200.472500004</c:v>
                </c:pt>
              </c:numCache>
            </c:numRef>
          </c:val>
          <c:smooth val="0"/>
        </c:ser>
        <c:hiLowLines>
          <c:spPr>
            <a:ln w="0">
              <a:noFill/>
            </a:ln>
          </c:spPr>
        </c:hiLowLines>
        <c:marker val="0"/>
        <c:axId val="46263992"/>
        <c:axId val="38193694"/>
      </c:lineChart>
      <c:dateAx>
        <c:axId val="46263992"/>
        <c:scaling>
          <c:orientation val="minMax"/>
        </c:scaling>
        <c:delete val="0"/>
        <c:axPos val="b"/>
        <c:numFmt formatCode="mmm\ yy" sourceLinked="0"/>
        <c:majorTickMark val="out"/>
        <c:minorTickMark val="none"/>
        <c:tickLblPos val="nextTo"/>
        <c:spPr>
          <a:ln w="9360">
            <a:solidFill>
              <a:srgbClr val="878787"/>
            </a:solidFill>
            <a:round/>
          </a:ln>
        </c:spPr>
        <c:txPr>
          <a:bodyPr/>
          <a:lstStyle/>
          <a:p>
            <a:pPr>
              <a:defRPr b="0" sz="800" spc="-1" strike="noStrike">
                <a:solidFill>
                  <a:srgbClr val="000000"/>
                </a:solidFill>
                <a:latin typeface="Calibri"/>
              </a:defRPr>
            </a:pPr>
          </a:p>
        </c:txPr>
        <c:crossAx val="38193694"/>
        <c:crosses val="autoZero"/>
        <c:auto val="1"/>
        <c:lblOffset val="100"/>
        <c:majorUnit val="3"/>
        <c:majorTimeUnit val="months"/>
        <c:noMultiLvlLbl val="0"/>
      </c:dateAx>
      <c:valAx>
        <c:axId val="38193694"/>
        <c:scaling>
          <c:orientation val="minMax"/>
        </c:scaling>
        <c:delete val="0"/>
        <c:axPos val="l"/>
        <c:majorGridlines>
          <c:spPr>
            <a:ln w="9360">
              <a:solidFill>
                <a:srgbClr val="d9d9d9"/>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USD millions</a:t>
                </a:r>
              </a:p>
            </c:rich>
          </c:tx>
          <c:overlay val="0"/>
          <c:spPr>
            <a:noFill/>
            <a:ln w="0">
              <a:noFill/>
            </a:ln>
          </c:spPr>
        </c:title>
        <c:numFmt formatCode="#,##0,,\m"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26399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Monthly variance % of budget, same-sign lines (see the table for the months and the sides)</a:t>
            </a:r>
          </a:p>
        </c:rich>
      </c:tx>
      <c:overlay val="0"/>
      <c:spPr>
        <a:noFill/>
        <a:ln w="0">
          <a:noFill/>
        </a:ln>
      </c:spPr>
    </c:title>
    <c:autoTitleDeleted val="0"/>
    <c:plotArea>
      <c:lineChart>
        <c:grouping val="standard"/>
        <c:varyColors val="0"/>
        <c:ser>
          <c:idx val="0"/>
          <c:order val="0"/>
          <c:tx>
            <c:strRef>
              <c:f>"Revenue"</c:f>
              <c:strCache>
                <c:ptCount val="1"/>
                <c:pt idx="0">
                  <c:v>Revenue</c:v>
                </c:pt>
              </c:strCache>
            </c:strRef>
          </c:tx>
          <c:spPr>
            <a:solidFill>
              <a:srgbClr val="1f3864"/>
            </a:solidFill>
            <a:ln w="25560">
              <a:solidFill>
                <a:srgbClr val="1f386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'Budget vs Actual'!$C$88:$C$123</c:f>
              <c:numCache>
                <c:formatCode>mmm\ yy</c:formatCode>
                <c:ptCount val="36"/>
                <c:pt idx="0">
                  <c:v>Jan 2023</c:v>
                </c:pt>
                <c:pt idx="1">
                  <c:v>Feb 2023</c:v>
                </c:pt>
                <c:pt idx="2">
                  <c:v>Mar 2023</c:v>
                </c:pt>
                <c:pt idx="3">
                  <c:v>Apr 2023</c:v>
                </c:pt>
                <c:pt idx="4">
                  <c:v>May 2023</c:v>
                </c:pt>
                <c:pt idx="5">
                  <c:v>Jun 2023</c:v>
                </c:pt>
                <c:pt idx="6">
                  <c:v>Jul 2023</c:v>
                </c:pt>
                <c:pt idx="7">
                  <c:v>Aug 2023</c:v>
                </c:pt>
                <c:pt idx="8">
                  <c:v>Sep 2023</c:v>
                </c:pt>
                <c:pt idx="9">
                  <c:v>Oct 2023</c:v>
                </c:pt>
                <c:pt idx="10">
                  <c:v>Nov 2023</c:v>
                </c:pt>
                <c:pt idx="11">
                  <c:v>Dec 2023</c:v>
                </c:pt>
                <c:pt idx="12">
                  <c:v>Jan 2024</c:v>
                </c:pt>
                <c:pt idx="13">
                  <c:v>Feb 2024</c:v>
                </c:pt>
                <c:pt idx="14">
                  <c:v>Mar 2024</c:v>
                </c:pt>
                <c:pt idx="15">
                  <c:v>Apr 2024</c:v>
                </c:pt>
                <c:pt idx="16">
                  <c:v>May 2024</c:v>
                </c:pt>
                <c:pt idx="17">
                  <c:v>Jun 2024</c:v>
                </c:pt>
                <c:pt idx="18">
                  <c:v>Jul 2024</c:v>
                </c:pt>
                <c:pt idx="19">
                  <c:v>Aug 2024</c:v>
                </c:pt>
                <c:pt idx="20">
                  <c:v>Sep 2024</c:v>
                </c:pt>
                <c:pt idx="21">
                  <c:v>Oct 2024</c:v>
                </c:pt>
                <c:pt idx="22">
                  <c:v>Nov 2024</c:v>
                </c:pt>
                <c:pt idx="23">
                  <c:v>Dec 2024</c:v>
                </c:pt>
                <c:pt idx="24">
                  <c:v>Jan 2025</c:v>
                </c:pt>
                <c:pt idx="25">
                  <c:v>Feb 2025</c:v>
                </c:pt>
                <c:pt idx="26">
                  <c:v>Mar 2025</c:v>
                </c:pt>
                <c:pt idx="27">
                  <c:v>Apr 2025</c:v>
                </c:pt>
                <c:pt idx="28">
                  <c:v>May 2025</c:v>
                </c:pt>
                <c:pt idx="29">
                  <c:v>Jun 2025</c:v>
                </c:pt>
                <c:pt idx="30">
                  <c:v>Jul 2025</c:v>
                </c:pt>
                <c:pt idx="31">
                  <c:v>Aug 2025</c:v>
                </c:pt>
                <c:pt idx="32">
                  <c:v>Sep 2025</c:v>
                </c:pt>
                <c:pt idx="33">
                  <c:v>Oct 2025</c:v>
                </c:pt>
                <c:pt idx="34">
                  <c:v>Nov 2025</c:v>
                </c:pt>
                <c:pt idx="35">
                  <c:v>Dec 2025</c:v>
                </c:pt>
              </c:numCache>
            </c:numRef>
          </c:cat>
          <c:val>
            <c:numRef>
              <c:f>'Budget vs Actual'!$I$88:$I$123</c:f>
              <c:numCache>
                <c:formatCode>0.0%;[RED]\(0.0%\);\-</c:formatCode>
                <c:ptCount val="36"/>
                <c:pt idx="0">
                  <c:v>-0.033514942088172</c:v>
                </c:pt>
                <c:pt idx="1">
                  <c:v>-0.0368947201678977</c:v>
                </c:pt>
                <c:pt idx="2">
                  <c:v>-0.0376174493979697</c:v>
                </c:pt>
                <c:pt idx="3">
                  <c:v>-0.0348084899174012</c:v>
                </c:pt>
                <c:pt idx="4">
                  <c:v>-0.0368782502153007</c:v>
                </c:pt>
                <c:pt idx="5">
                  <c:v>-0.0354643114611942</c:v>
                </c:pt>
                <c:pt idx="6">
                  <c:v>-0.0377367241289489</c:v>
                </c:pt>
                <c:pt idx="7">
                  <c:v>-0.0338194719133867</c:v>
                </c:pt>
                <c:pt idx="8">
                  <c:v>-0.0365686309807161</c:v>
                </c:pt>
                <c:pt idx="9">
                  <c:v>-0.0352031132799457</c:v>
                </c:pt>
                <c:pt idx="10">
                  <c:v>-0.0343336364825306</c:v>
                </c:pt>
                <c:pt idx="11">
                  <c:v>-0.0364108159177091</c:v>
                </c:pt>
                <c:pt idx="12">
                  <c:v>-0.0367277593415587</c:v>
                </c:pt>
                <c:pt idx="13">
                  <c:v>-0.0356506192999834</c:v>
                </c:pt>
                <c:pt idx="14">
                  <c:v>-0.0358842570900038</c:v>
                </c:pt>
                <c:pt idx="15">
                  <c:v>-0.0346802503833569</c:v>
                </c:pt>
                <c:pt idx="16">
                  <c:v>-0.0380213796982358</c:v>
                </c:pt>
                <c:pt idx="17">
                  <c:v>-0.0378840093584447</c:v>
                </c:pt>
                <c:pt idx="18">
                  <c:v>-0.0385254923585399</c:v>
                </c:pt>
                <c:pt idx="19">
                  <c:v>-0.036397704708176</c:v>
                </c:pt>
                <c:pt idx="20">
                  <c:v>-0.0372051685568713</c:v>
                </c:pt>
                <c:pt idx="21">
                  <c:v>-0.0333730277353185</c:v>
                </c:pt>
                <c:pt idx="22">
                  <c:v>-0.0336651846269003</c:v>
                </c:pt>
                <c:pt idx="23">
                  <c:v>-0.0342079079600893</c:v>
                </c:pt>
                <c:pt idx="24">
                  <c:v>-0.0354687530199035</c:v>
                </c:pt>
                <c:pt idx="25">
                  <c:v>-0.0337894950886987</c:v>
                </c:pt>
                <c:pt idx="26">
                  <c:v>-0.0341661247580016</c:v>
                </c:pt>
                <c:pt idx="27">
                  <c:v>-0.0327117808457911</c:v>
                </c:pt>
                <c:pt idx="28">
                  <c:v>-0.0349551321980989</c:v>
                </c:pt>
                <c:pt idx="29">
                  <c:v>-0.034599452178605</c:v>
                </c:pt>
                <c:pt idx="30">
                  <c:v>-0.0327845267754247</c:v>
                </c:pt>
                <c:pt idx="31">
                  <c:v>-0.0379334655932869</c:v>
                </c:pt>
                <c:pt idx="32">
                  <c:v>-0.0360019787282629</c:v>
                </c:pt>
                <c:pt idx="33">
                  <c:v>-0.0370122668387107</c:v>
                </c:pt>
                <c:pt idx="34">
                  <c:v>-0.0359892235767255</c:v>
                </c:pt>
                <c:pt idx="35">
                  <c:v>-0.0338475460263619</c:v>
                </c:pt>
              </c:numCache>
            </c:numRef>
          </c:val>
          <c:smooth val="0"/>
        </c:ser>
        <c:ser>
          <c:idx val="1"/>
          <c:order val="1"/>
          <c:tx>
            <c:strRef>
              <c:f>"COGS"</c:f>
              <c:strCache>
                <c:ptCount val="1"/>
                <c:pt idx="0">
                  <c:v>COGS</c:v>
                </c:pt>
              </c:strCache>
            </c:strRef>
          </c:tx>
          <c:spPr>
            <a:solidFill>
              <a:srgbClr val="c55a11"/>
            </a:solidFill>
            <a:ln w="25560">
              <a:solidFill>
                <a:srgbClr val="c55a1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'Budget vs Actual'!$C$88:$C$123</c:f>
              <c:numCache>
                <c:formatCode>mmm\ yy</c:formatCode>
                <c:ptCount val="36"/>
                <c:pt idx="0">
                  <c:v>Jan 2023</c:v>
                </c:pt>
                <c:pt idx="1">
                  <c:v>Feb 2023</c:v>
                </c:pt>
                <c:pt idx="2">
                  <c:v>Mar 2023</c:v>
                </c:pt>
                <c:pt idx="3">
                  <c:v>Apr 2023</c:v>
                </c:pt>
                <c:pt idx="4">
                  <c:v>May 2023</c:v>
                </c:pt>
                <c:pt idx="5">
                  <c:v>Jun 2023</c:v>
                </c:pt>
                <c:pt idx="6">
                  <c:v>Jul 2023</c:v>
                </c:pt>
                <c:pt idx="7">
                  <c:v>Aug 2023</c:v>
                </c:pt>
                <c:pt idx="8">
                  <c:v>Sep 2023</c:v>
                </c:pt>
                <c:pt idx="9">
                  <c:v>Oct 2023</c:v>
                </c:pt>
                <c:pt idx="10">
                  <c:v>Nov 2023</c:v>
                </c:pt>
                <c:pt idx="11">
                  <c:v>Dec 2023</c:v>
                </c:pt>
                <c:pt idx="12">
                  <c:v>Jan 2024</c:v>
                </c:pt>
                <c:pt idx="13">
                  <c:v>Feb 2024</c:v>
                </c:pt>
                <c:pt idx="14">
                  <c:v>Mar 2024</c:v>
                </c:pt>
                <c:pt idx="15">
                  <c:v>Apr 2024</c:v>
                </c:pt>
                <c:pt idx="16">
                  <c:v>May 2024</c:v>
                </c:pt>
                <c:pt idx="17">
                  <c:v>Jun 2024</c:v>
                </c:pt>
                <c:pt idx="18">
                  <c:v>Jul 2024</c:v>
                </c:pt>
                <c:pt idx="19">
                  <c:v>Aug 2024</c:v>
                </c:pt>
                <c:pt idx="20">
                  <c:v>Sep 2024</c:v>
                </c:pt>
                <c:pt idx="21">
                  <c:v>Oct 2024</c:v>
                </c:pt>
                <c:pt idx="22">
                  <c:v>Nov 2024</c:v>
                </c:pt>
                <c:pt idx="23">
                  <c:v>Dec 2024</c:v>
                </c:pt>
                <c:pt idx="24">
                  <c:v>Jan 2025</c:v>
                </c:pt>
                <c:pt idx="25">
                  <c:v>Feb 2025</c:v>
                </c:pt>
                <c:pt idx="26">
                  <c:v>Mar 2025</c:v>
                </c:pt>
                <c:pt idx="27">
                  <c:v>Apr 2025</c:v>
                </c:pt>
                <c:pt idx="28">
                  <c:v>May 2025</c:v>
                </c:pt>
                <c:pt idx="29">
                  <c:v>Jun 2025</c:v>
                </c:pt>
                <c:pt idx="30">
                  <c:v>Jul 2025</c:v>
                </c:pt>
                <c:pt idx="31">
                  <c:v>Aug 2025</c:v>
                </c:pt>
                <c:pt idx="32">
                  <c:v>Sep 2025</c:v>
                </c:pt>
                <c:pt idx="33">
                  <c:v>Oct 2025</c:v>
                </c:pt>
                <c:pt idx="34">
                  <c:v>Nov 2025</c:v>
                </c:pt>
                <c:pt idx="35">
                  <c:v>Dec 2025</c:v>
                </c:pt>
              </c:numCache>
            </c:numRef>
          </c:cat>
          <c:val>
            <c:numRef>
              <c:f>'Budget vs Actual'!$I$124:$I$159</c:f>
              <c:numCache>
                <c:formatCode>0.0%;[RED]\(0.0%\);\-</c:formatCode>
                <c:ptCount val="36"/>
                <c:pt idx="0">
                  <c:v>0.0602942989084187</c:v>
                </c:pt>
                <c:pt idx="1">
                  <c:v>0.062434785682725</c:v>
                </c:pt>
                <c:pt idx="2">
                  <c:v>0.0619596396316822</c:v>
                </c:pt>
                <c:pt idx="3">
                  <c:v>0.056415645958803</c:v>
                </c:pt>
                <c:pt idx="4">
                  <c:v>0.0660165808147623</c:v>
                </c:pt>
                <c:pt idx="5">
                  <c:v>0.0616840586730018</c:v>
                </c:pt>
                <c:pt idx="6">
                  <c:v>0.0690530494061467</c:v>
                </c:pt>
                <c:pt idx="7">
                  <c:v>0.0698246648773462</c:v>
                </c:pt>
                <c:pt idx="8">
                  <c:v>0.0620729150905951</c:v>
                </c:pt>
                <c:pt idx="9">
                  <c:v>0.0612889775571088</c:v>
                </c:pt>
                <c:pt idx="10">
                  <c:v>0.0633731045594211</c:v>
                </c:pt>
                <c:pt idx="11">
                  <c:v>0.0668068626292679</c:v>
                </c:pt>
                <c:pt idx="12">
                  <c:v>0.0696043919968683</c:v>
                </c:pt>
                <c:pt idx="13">
                  <c:v>0.058267913371614</c:v>
                </c:pt>
                <c:pt idx="14">
                  <c:v>0.0595189739222846</c:v>
                </c:pt>
                <c:pt idx="15">
                  <c:v>0.0644773792631457</c:v>
                </c:pt>
                <c:pt idx="16">
                  <c:v>0.0646387959838865</c:v>
                </c:pt>
                <c:pt idx="17">
                  <c:v>0.0702871137250483</c:v>
                </c:pt>
                <c:pt idx="18">
                  <c:v>0.0579527671087764</c:v>
                </c:pt>
                <c:pt idx="19">
                  <c:v>0.0670292902593284</c:v>
                </c:pt>
                <c:pt idx="20">
                  <c:v>0.0627314645496138</c:v>
                </c:pt>
                <c:pt idx="21">
                  <c:v>0.0654301878690382</c:v>
                </c:pt>
                <c:pt idx="22">
                  <c:v>0.0623494330324913</c:v>
                </c:pt>
                <c:pt idx="23">
                  <c:v>0.0648772626633084</c:v>
                </c:pt>
                <c:pt idx="24">
                  <c:v>0.0686843248327891</c:v>
                </c:pt>
                <c:pt idx="25">
                  <c:v>0.0681949174386773</c:v>
                </c:pt>
                <c:pt idx="26">
                  <c:v>0.0623859321117259</c:v>
                </c:pt>
                <c:pt idx="27">
                  <c:v>0.0609990390475411</c:v>
                </c:pt>
                <c:pt idx="28">
                  <c:v>0.0662405727838142</c:v>
                </c:pt>
                <c:pt idx="29">
                  <c:v>0.0667459968042098</c:v>
                </c:pt>
                <c:pt idx="30">
                  <c:v>0.0619968808953614</c:v>
                </c:pt>
                <c:pt idx="31">
                  <c:v>0.0697702051879912</c:v>
                </c:pt>
                <c:pt idx="32">
                  <c:v>0.0647909750942689</c:v>
                </c:pt>
                <c:pt idx="33">
                  <c:v>0.0643796795130174</c:v>
                </c:pt>
                <c:pt idx="34">
                  <c:v>0.0589696007928666</c:v>
                </c:pt>
                <c:pt idx="35">
                  <c:v>0.0661677855676359</c:v>
                </c:pt>
              </c:numCache>
            </c:numRef>
          </c:val>
          <c:smooth val="0"/>
        </c:ser>
        <c:ser>
          <c:idx val="2"/>
          <c:order val="2"/>
          <c:tx>
            <c:strRef>
              <c:f>"People costs"</c:f>
              <c:strCache>
                <c:ptCount val="1"/>
                <c:pt idx="0">
                  <c:v>People costs</c:v>
                </c:pt>
              </c:strCache>
            </c:strRef>
          </c:tx>
          <c:spPr>
            <a:solidFill>
              <a:srgbClr val="548235"/>
            </a:solidFill>
            <a:ln w="25560">
              <a:solidFill>
                <a:srgbClr val="54823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'Budget vs Actual'!$C$88:$C$123</c:f>
              <c:numCache>
                <c:formatCode>mmm\ yy</c:formatCode>
                <c:ptCount val="36"/>
                <c:pt idx="0">
                  <c:v>Jan 2023</c:v>
                </c:pt>
                <c:pt idx="1">
                  <c:v>Feb 2023</c:v>
                </c:pt>
                <c:pt idx="2">
                  <c:v>Mar 2023</c:v>
                </c:pt>
                <c:pt idx="3">
                  <c:v>Apr 2023</c:v>
                </c:pt>
                <c:pt idx="4">
                  <c:v>May 2023</c:v>
                </c:pt>
                <c:pt idx="5">
                  <c:v>Jun 2023</c:v>
                </c:pt>
                <c:pt idx="6">
                  <c:v>Jul 2023</c:v>
                </c:pt>
                <c:pt idx="7">
                  <c:v>Aug 2023</c:v>
                </c:pt>
                <c:pt idx="8">
                  <c:v>Sep 2023</c:v>
                </c:pt>
                <c:pt idx="9">
                  <c:v>Oct 2023</c:v>
                </c:pt>
                <c:pt idx="10">
                  <c:v>Nov 2023</c:v>
                </c:pt>
                <c:pt idx="11">
                  <c:v>Dec 2023</c:v>
                </c:pt>
                <c:pt idx="12">
                  <c:v>Jan 2024</c:v>
                </c:pt>
                <c:pt idx="13">
                  <c:v>Feb 2024</c:v>
                </c:pt>
                <c:pt idx="14">
                  <c:v>Mar 2024</c:v>
                </c:pt>
                <c:pt idx="15">
                  <c:v>Apr 2024</c:v>
                </c:pt>
                <c:pt idx="16">
                  <c:v>May 2024</c:v>
                </c:pt>
                <c:pt idx="17">
                  <c:v>Jun 2024</c:v>
                </c:pt>
                <c:pt idx="18">
                  <c:v>Jul 2024</c:v>
                </c:pt>
                <c:pt idx="19">
                  <c:v>Aug 2024</c:v>
                </c:pt>
                <c:pt idx="20">
                  <c:v>Sep 2024</c:v>
                </c:pt>
                <c:pt idx="21">
                  <c:v>Oct 2024</c:v>
                </c:pt>
                <c:pt idx="22">
                  <c:v>Nov 2024</c:v>
                </c:pt>
                <c:pt idx="23">
                  <c:v>Dec 2024</c:v>
                </c:pt>
                <c:pt idx="24">
                  <c:v>Jan 2025</c:v>
                </c:pt>
                <c:pt idx="25">
                  <c:v>Feb 2025</c:v>
                </c:pt>
                <c:pt idx="26">
                  <c:v>Mar 2025</c:v>
                </c:pt>
                <c:pt idx="27">
                  <c:v>Apr 2025</c:v>
                </c:pt>
                <c:pt idx="28">
                  <c:v>May 2025</c:v>
                </c:pt>
                <c:pt idx="29">
                  <c:v>Jun 2025</c:v>
                </c:pt>
                <c:pt idx="30">
                  <c:v>Jul 2025</c:v>
                </c:pt>
                <c:pt idx="31">
                  <c:v>Aug 2025</c:v>
                </c:pt>
                <c:pt idx="32">
                  <c:v>Sep 2025</c:v>
                </c:pt>
                <c:pt idx="33">
                  <c:v>Oct 2025</c:v>
                </c:pt>
                <c:pt idx="34">
                  <c:v>Nov 2025</c:v>
                </c:pt>
                <c:pt idx="35">
                  <c:v>Dec 2025</c:v>
                </c:pt>
              </c:numCache>
            </c:numRef>
          </c:cat>
          <c:val>
            <c:numRef>
              <c:f>'Budget vs Actual'!$I$160:$I$195</c:f>
              <c:numCache>
                <c:formatCode>0.0%;[RED]\(0.0%\);\-</c:formatCode>
                <c:ptCount val="36"/>
                <c:pt idx="0">
                  <c:v>0.0660820410077566</c:v>
                </c:pt>
                <c:pt idx="1">
                  <c:v>0.0594610706730392</c:v>
                </c:pt>
                <c:pt idx="2">
                  <c:v>0.0601229851177576</c:v>
                </c:pt>
                <c:pt idx="3">
                  <c:v>0.0692296834401243</c:v>
                </c:pt>
                <c:pt idx="4">
                  <c:v>0.0660800700318893</c:v>
                </c:pt>
                <c:pt idx="5">
                  <c:v>0.0660484686614117</c:v>
                </c:pt>
                <c:pt idx="6">
                  <c:v>0.0587780566081582</c:v>
                </c:pt>
                <c:pt idx="7">
                  <c:v>0.0598030754362065</c:v>
                </c:pt>
                <c:pt idx="8">
                  <c:v>0.0617239608048216</c:v>
                </c:pt>
                <c:pt idx="9">
                  <c:v>0.0590203205390076</c:v>
                </c:pt>
                <c:pt idx="10">
                  <c:v>0.062007569845988</c:v>
                </c:pt>
                <c:pt idx="11">
                  <c:v>0.0552665588070168</c:v>
                </c:pt>
                <c:pt idx="12">
                  <c:v>0.0660502195694966</c:v>
                </c:pt>
                <c:pt idx="13">
                  <c:v>0.0613446984854015</c:v>
                </c:pt>
                <c:pt idx="14">
                  <c:v>0.0706220394509911</c:v>
                </c:pt>
                <c:pt idx="15">
                  <c:v>0.0695404995511757</c:v>
                </c:pt>
                <c:pt idx="16">
                  <c:v>0.0763396260472048</c:v>
                </c:pt>
                <c:pt idx="17">
                  <c:v>0.0735151742246382</c:v>
                </c:pt>
                <c:pt idx="18">
                  <c:v>0.0597993345330846</c:v>
                </c:pt>
                <c:pt idx="19">
                  <c:v>0.0591957359031883</c:v>
                </c:pt>
                <c:pt idx="20">
                  <c:v>0.0515177471805984</c:v>
                </c:pt>
                <c:pt idx="21">
                  <c:v>0.0627077839342841</c:v>
                </c:pt>
                <c:pt idx="22">
                  <c:v>0.0644251378941681</c:v>
                </c:pt>
                <c:pt idx="23">
                  <c:v>0.0671930584129079</c:v>
                </c:pt>
                <c:pt idx="24">
                  <c:v>0.0689958479545242</c:v>
                </c:pt>
                <c:pt idx="25">
                  <c:v>0.0600429934391112</c:v>
                </c:pt>
                <c:pt idx="26">
                  <c:v>0.0594179824570381</c:v>
                </c:pt>
                <c:pt idx="27">
                  <c:v>0.060789394966378</c:v>
                </c:pt>
                <c:pt idx="28">
                  <c:v>0.0650233975649356</c:v>
                </c:pt>
                <c:pt idx="29">
                  <c:v>0.0657740879415518</c:v>
                </c:pt>
                <c:pt idx="30">
                  <c:v>0.0650969682972651</c:v>
                </c:pt>
                <c:pt idx="31">
                  <c:v>0.0704949629339183</c:v>
                </c:pt>
                <c:pt idx="32">
                  <c:v>0.060649370865278</c:v>
                </c:pt>
                <c:pt idx="33">
                  <c:v>0.0578826102358156</c:v>
                </c:pt>
                <c:pt idx="34">
                  <c:v>0.0620833485318564</c:v>
                </c:pt>
                <c:pt idx="35">
                  <c:v>0.0712718792425081</c:v>
                </c:pt>
              </c:numCache>
            </c:numRef>
          </c:val>
          <c:smooth val="0"/>
        </c:ser>
        <c:ser>
          <c:idx val="3"/>
          <c:order val="3"/>
          <c:tx>
            <c:strRef>
              <c:f>"Operating expenses"</c:f>
              <c:strCache>
                <c:ptCount val="1"/>
                <c:pt idx="0">
                  <c:v>Operating expenses</c:v>
                </c:pt>
              </c:strCache>
            </c:strRef>
          </c:tx>
          <c:spPr>
            <a:solidFill>
              <a:srgbClr val="7f6000"/>
            </a:solidFill>
            <a:ln w="25560">
              <a:solidFill>
                <a:srgbClr val="7f60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'Budget vs Actual'!$C$88:$C$123</c:f>
              <c:numCache>
                <c:formatCode>mmm\ yy</c:formatCode>
                <c:ptCount val="36"/>
                <c:pt idx="0">
                  <c:v>Jan 2023</c:v>
                </c:pt>
                <c:pt idx="1">
                  <c:v>Feb 2023</c:v>
                </c:pt>
                <c:pt idx="2">
                  <c:v>Mar 2023</c:v>
                </c:pt>
                <c:pt idx="3">
                  <c:v>Apr 2023</c:v>
                </c:pt>
                <c:pt idx="4">
                  <c:v>May 2023</c:v>
                </c:pt>
                <c:pt idx="5">
                  <c:v>Jun 2023</c:v>
                </c:pt>
                <c:pt idx="6">
                  <c:v>Jul 2023</c:v>
                </c:pt>
                <c:pt idx="7">
                  <c:v>Aug 2023</c:v>
                </c:pt>
                <c:pt idx="8">
                  <c:v>Sep 2023</c:v>
                </c:pt>
                <c:pt idx="9">
                  <c:v>Oct 2023</c:v>
                </c:pt>
                <c:pt idx="10">
                  <c:v>Nov 2023</c:v>
                </c:pt>
                <c:pt idx="11">
                  <c:v>Dec 2023</c:v>
                </c:pt>
                <c:pt idx="12">
                  <c:v>Jan 2024</c:v>
                </c:pt>
                <c:pt idx="13">
                  <c:v>Feb 2024</c:v>
                </c:pt>
                <c:pt idx="14">
                  <c:v>Mar 2024</c:v>
                </c:pt>
                <c:pt idx="15">
                  <c:v>Apr 2024</c:v>
                </c:pt>
                <c:pt idx="16">
                  <c:v>May 2024</c:v>
                </c:pt>
                <c:pt idx="17">
                  <c:v>Jun 2024</c:v>
                </c:pt>
                <c:pt idx="18">
                  <c:v>Jul 2024</c:v>
                </c:pt>
                <c:pt idx="19">
                  <c:v>Aug 2024</c:v>
                </c:pt>
                <c:pt idx="20">
                  <c:v>Sep 2024</c:v>
                </c:pt>
                <c:pt idx="21">
                  <c:v>Oct 2024</c:v>
                </c:pt>
                <c:pt idx="22">
                  <c:v>Nov 2024</c:v>
                </c:pt>
                <c:pt idx="23">
                  <c:v>Dec 2024</c:v>
                </c:pt>
                <c:pt idx="24">
                  <c:v>Jan 2025</c:v>
                </c:pt>
                <c:pt idx="25">
                  <c:v>Feb 2025</c:v>
                </c:pt>
                <c:pt idx="26">
                  <c:v>Mar 2025</c:v>
                </c:pt>
                <c:pt idx="27">
                  <c:v>Apr 2025</c:v>
                </c:pt>
                <c:pt idx="28">
                  <c:v>May 2025</c:v>
                </c:pt>
                <c:pt idx="29">
                  <c:v>Jun 2025</c:v>
                </c:pt>
                <c:pt idx="30">
                  <c:v>Jul 2025</c:v>
                </c:pt>
                <c:pt idx="31">
                  <c:v>Aug 2025</c:v>
                </c:pt>
                <c:pt idx="32">
                  <c:v>Sep 2025</c:v>
                </c:pt>
                <c:pt idx="33">
                  <c:v>Oct 2025</c:v>
                </c:pt>
                <c:pt idx="34">
                  <c:v>Nov 2025</c:v>
                </c:pt>
                <c:pt idx="35">
                  <c:v>Dec 2025</c:v>
                </c:pt>
              </c:numCache>
            </c:numRef>
          </c:cat>
          <c:val>
            <c:numRef>
              <c:f>'Budget vs Actual'!$I$196:$I$231</c:f>
              <c:numCache>
                <c:formatCode>0.0%;[RED]\(0.0%\);\-</c:formatCode>
                <c:ptCount val="36"/>
                <c:pt idx="0">
                  <c:v>0.0676107262987413</c:v>
                </c:pt>
                <c:pt idx="1">
                  <c:v>0.0643284722644362</c:v>
                </c:pt>
                <c:pt idx="2">
                  <c:v>0.0617161717972562</c:v>
                </c:pt>
                <c:pt idx="3">
                  <c:v>0.0647277455227586</c:v>
                </c:pt>
                <c:pt idx="4">
                  <c:v>0.071557758455047</c:v>
                </c:pt>
                <c:pt idx="5">
                  <c:v>0.0589278460811226</c:v>
                </c:pt>
                <c:pt idx="6">
                  <c:v>0.0610876442102026</c:v>
                </c:pt>
                <c:pt idx="7">
                  <c:v>0.0652785007571126</c:v>
                </c:pt>
                <c:pt idx="8">
                  <c:v>0.0650101210300251</c:v>
                </c:pt>
                <c:pt idx="9">
                  <c:v>0.0606568691284853</c:v>
                </c:pt>
                <c:pt idx="10">
                  <c:v>0.0612511670923145</c:v>
                </c:pt>
                <c:pt idx="11">
                  <c:v>0.0581021618401352</c:v>
                </c:pt>
                <c:pt idx="12">
                  <c:v>0.0656578187072902</c:v>
                </c:pt>
                <c:pt idx="13">
                  <c:v>0.0688572954156588</c:v>
                </c:pt>
                <c:pt idx="14">
                  <c:v>0.0624432121674379</c:v>
                </c:pt>
                <c:pt idx="15">
                  <c:v>0.0667430727466429</c:v>
                </c:pt>
                <c:pt idx="16">
                  <c:v>0.0618215930618501</c:v>
                </c:pt>
                <c:pt idx="17">
                  <c:v>0.0634651707496785</c:v>
                </c:pt>
                <c:pt idx="18">
                  <c:v>0.062438406226043</c:v>
                </c:pt>
                <c:pt idx="19">
                  <c:v>0.0598669501882734</c:v>
                </c:pt>
                <c:pt idx="20">
                  <c:v>0.0662896341972006</c:v>
                </c:pt>
                <c:pt idx="21">
                  <c:v>0.0687843081354391</c:v>
                </c:pt>
                <c:pt idx="22">
                  <c:v>0.0684123115729881</c:v>
                </c:pt>
                <c:pt idx="23">
                  <c:v>0.061453930361664</c:v>
                </c:pt>
                <c:pt idx="24">
                  <c:v>0.0614681446101538</c:v>
                </c:pt>
                <c:pt idx="25">
                  <c:v>0.0685001386717515</c:v>
                </c:pt>
                <c:pt idx="26">
                  <c:v>0.0627390294586995</c:v>
                </c:pt>
                <c:pt idx="27">
                  <c:v>0.0617389644554098</c:v>
                </c:pt>
                <c:pt idx="28">
                  <c:v>0.0660126293803481</c:v>
                </c:pt>
                <c:pt idx="29">
                  <c:v>0.0699350468770432</c:v>
                </c:pt>
                <c:pt idx="30">
                  <c:v>0.0643289198536626</c:v>
                </c:pt>
                <c:pt idx="31">
                  <c:v>0.064315981253004</c:v>
                </c:pt>
                <c:pt idx="32">
                  <c:v>0.0644163000612018</c:v>
                </c:pt>
                <c:pt idx="33">
                  <c:v>0.0607312148500688</c:v>
                </c:pt>
                <c:pt idx="34">
                  <c:v>0.0676576505053783</c:v>
                </c:pt>
                <c:pt idx="35">
                  <c:v>0.062044423765748</c:v>
                </c:pt>
              </c:numCache>
            </c:numRef>
          </c:val>
          <c:smooth val="0"/>
        </c:ser>
        <c:hiLowLines>
          <c:spPr>
            <a:ln w="0">
              <a:noFill/>
            </a:ln>
          </c:spPr>
        </c:hiLowLines>
        <c:marker val="0"/>
        <c:axId val="50174708"/>
        <c:axId val="40956547"/>
      </c:lineChart>
      <c:dateAx>
        <c:axId val="50174708"/>
        <c:scaling>
          <c:orientation val="minMax"/>
        </c:scaling>
        <c:delete val="0"/>
        <c:axPos val="b"/>
        <c:numFmt formatCode="mmm\ yy" sourceLinked="0"/>
        <c:majorTickMark val="out"/>
        <c:minorTickMark val="none"/>
        <c:tickLblPos val="nextTo"/>
        <c:spPr>
          <a:ln w="9360">
            <a:solidFill>
              <a:srgbClr val="878787"/>
            </a:solidFill>
            <a:round/>
          </a:ln>
        </c:spPr>
        <c:txPr>
          <a:bodyPr/>
          <a:lstStyle/>
          <a:p>
            <a:pPr>
              <a:defRPr b="0" sz="800" spc="-1" strike="noStrike">
                <a:solidFill>
                  <a:srgbClr val="000000"/>
                </a:solidFill>
                <a:latin typeface="Calibri"/>
              </a:defRPr>
            </a:pPr>
          </a:p>
        </c:txPr>
        <c:crossAx val="40956547"/>
        <c:crosses val="autoZero"/>
        <c:auto val="1"/>
        <c:lblOffset val="100"/>
        <c:majorUnit val="3"/>
        <c:majorTimeUnit val="months"/>
        <c:noMultiLvlLbl val="0"/>
      </c:dateAx>
      <c:valAx>
        <c:axId val="40956547"/>
        <c:scaling>
          <c:orientation val="minMax"/>
        </c:scaling>
        <c:delete val="0"/>
        <c:axPos val="l"/>
        <c:majorGridlines>
          <c:spPr>
            <a:ln w="9360">
              <a:solidFill>
                <a:srgbClr val="d9d9d9"/>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Variance % of |budget|</a:t>
                </a:r>
              </a:p>
            </c:rich>
          </c:tx>
          <c:overlay val="0"/>
          <c:spPr>
            <a:noFill/>
            <a:ln w="0">
              <a:noFill/>
            </a:ln>
          </c:spPr>
        </c:title>
        <c:numFmt formatCode="0.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17470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WAPE vs actual: forecast vs budget (matched same-sign lines)</a:t>
            </a:r>
          </a:p>
        </c:rich>
      </c:tx>
      <c:overlay val="0"/>
      <c:spPr>
        <a:noFill/>
        <a:ln w="0">
          <a:noFill/>
        </a:ln>
      </c:spPr>
    </c:title>
    <c:autoTitleDeleted val="0"/>
    <c:plotArea>
      <c:barChart>
        <c:barDir val="col"/>
        <c:grouping val="clustered"/>
        <c:varyColors val="0"/>
        <c:ser>
          <c:idx val="0"/>
          <c:order val="0"/>
          <c:tx>
            <c:strRef>
              <c:f>"Forecast WAPE"</c:f>
              <c:strCache>
                <c:ptCount val="1"/>
                <c:pt idx="0">
                  <c:v>Forecast WAPE</c:v>
                </c:pt>
              </c:strCache>
            </c:strRef>
          </c:tx>
          <c:spPr>
            <a:solidFill>
              <a:srgbClr val="1f386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 &amp; Prior Year'!$A$32:$A$38</c:f>
              <c:strCache>
                <c:ptCount val="7"/>
                <c:pt idx="0">
                  <c:v>Revenue</c:v>
                </c:pt>
                <c:pt idx="1">
                  <c:v>COGS</c:v>
                </c:pt>
                <c:pt idx="2">
                  <c:v>People costs</c:v>
                </c:pt>
                <c:pt idx="3">
                  <c:v>Operating expenses</c:v>
                </c:pt>
                <c:pt idx="4">
                  <c:v>D&amp;A (depreciation, GL 6300)</c:v>
                </c:pt>
                <c:pt idx="5">
                  <c:v>Below-EBITDA items</c:v>
                </c:pt>
                <c:pt idx="6">
                  <c:v>Tax</c:v>
                </c:pt>
              </c:strCache>
            </c:strRef>
          </c:cat>
          <c:val>
            <c:numRef>
              <c:f>'Forecast &amp; Prior Year'!$C$32:$C$38</c:f>
              <c:numCache>
                <c:formatCode>0.00%;[RED]\(0.00%\);\-</c:formatCode>
                <c:ptCount val="7"/>
                <c:pt idx="0">
                  <c:v>0.0258799295421703</c:v>
                </c:pt>
                <c:pt idx="1">
                  <c:v>0.0343848016555231</c:v>
                </c:pt>
                <c:pt idx="2">
                  <c:v>0.0334869759821912</c:v>
                </c:pt>
                <c:pt idx="3">
                  <c:v>0.0345078930798946</c:v>
                </c:pt>
                <c:pt idx="4">
                  <c:v>0.0346985035253965</c:v>
                </c:pt>
                <c:pt idx="5">
                  <c:v>0.0350940378125112</c:v>
                </c:pt>
                <c:pt idx="6">
                  <c:v>0.0334678711746037</c:v>
                </c:pt>
              </c:numCache>
            </c:numRef>
          </c:val>
        </c:ser>
        <c:ser>
          <c:idx val="1"/>
          <c:order val="1"/>
          <c:tx>
            <c:strRef>
              <c:f>"Budget WAPE"</c:f>
              <c:strCache>
                <c:ptCount val="1"/>
                <c:pt idx="0">
                  <c:v>Budget WAPE</c:v>
                </c:pt>
              </c:strCache>
            </c:strRef>
          </c:tx>
          <c:spPr>
            <a:solidFill>
              <a:srgbClr val="bf900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 &amp; Prior Year'!$A$32:$A$38</c:f>
              <c:strCache>
                <c:ptCount val="7"/>
                <c:pt idx="0">
                  <c:v>Revenue</c:v>
                </c:pt>
                <c:pt idx="1">
                  <c:v>COGS</c:v>
                </c:pt>
                <c:pt idx="2">
                  <c:v>People costs</c:v>
                </c:pt>
                <c:pt idx="3">
                  <c:v>Operating expenses</c:v>
                </c:pt>
                <c:pt idx="4">
                  <c:v>D&amp;A (depreciation, GL 6300)</c:v>
                </c:pt>
                <c:pt idx="5">
                  <c:v>Below-EBITDA items</c:v>
                </c:pt>
                <c:pt idx="6">
                  <c:v>Tax</c:v>
                </c:pt>
              </c:strCache>
            </c:strRef>
          </c:cat>
          <c:val>
            <c:numRef>
              <c:f>'Forecast &amp; Prior Year'!$D$32:$D$38</c:f>
              <c:numCache>
                <c:formatCode>0.00%;[RED]\(0.00%\);\-</c:formatCode>
                <c:ptCount val="7"/>
                <c:pt idx="0">
                  <c:v>0.0366611698623287</c:v>
                </c:pt>
                <c:pt idx="1">
                  <c:v>0.0600059747885098</c:v>
                </c:pt>
                <c:pt idx="2">
                  <c:v>0.0612065089098244</c:v>
                </c:pt>
                <c:pt idx="3">
                  <c:v>0.0606352207377643</c:v>
                </c:pt>
                <c:pt idx="4">
                  <c:v>0.0602104002628101</c:v>
                </c:pt>
                <c:pt idx="5">
                  <c:v>0.0619032889075594</c:v>
                </c:pt>
                <c:pt idx="6">
                  <c:v>0.060640239874577</c:v>
                </c:pt>
              </c:numCache>
            </c:numRef>
          </c:val>
        </c:ser>
        <c:gapWidth val="150"/>
        <c:overlap val="0"/>
        <c:axId val="47771680"/>
        <c:axId val="96841181"/>
      </c:barChart>
      <c:catAx>
        <c:axId val="47771680"/>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b="0" sz="800" spc="-1" strike="noStrike">
                <a:solidFill>
                  <a:srgbClr val="000000"/>
                </a:solidFill>
                <a:latin typeface="Calibri"/>
              </a:defRPr>
            </a:pPr>
          </a:p>
        </c:txPr>
        <c:crossAx val="96841181"/>
        <c:crosses val="autoZero"/>
        <c:auto val="1"/>
        <c:lblAlgn val="ctr"/>
        <c:lblOffset val="100"/>
        <c:noMultiLvlLbl val="0"/>
      </c:catAx>
      <c:valAx>
        <c:axId val="96841181"/>
        <c:scaling>
          <c:orientation val="minMax"/>
        </c:scaling>
        <c:delete val="0"/>
        <c:axPos val="l"/>
        <c:majorGridlines>
          <c:spPr>
            <a:ln w="9360">
              <a:solidFill>
                <a:srgbClr val="d9d9d9"/>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WAPE</a:t>
                </a:r>
              </a:p>
            </c:rich>
          </c:tx>
          <c:overlay val="0"/>
          <c:spPr>
            <a:noFill/>
            <a:ln w="0">
              <a:noFill/>
            </a:ln>
          </c:spPr>
        </c:title>
        <c:numFmt formatCode="0.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77168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Cost accounts: share and cumulative share of absolute activity</a:t>
            </a:r>
          </a:p>
        </c:rich>
      </c:tx>
      <c:overlay val="0"/>
      <c:spPr>
        <a:noFill/>
        <a:ln w="0">
          <a:noFill/>
        </a:ln>
      </c:spPr>
    </c:title>
    <c:autoTitleDeleted val="0"/>
    <c:plotArea>
      <c:barChart>
        <c:barDir val="col"/>
        <c:grouping val="clustered"/>
        <c:varyColors val="0"/>
        <c:ser>
          <c:idx val="0"/>
          <c:order val="0"/>
          <c:tx>
            <c:strRef>
              <c:f>"Share of cost absolute activity"</c:f>
              <c:strCache>
                <c:ptCount val="1"/>
                <c:pt idx="0">
                  <c:v>Share of cost absolute activity</c:v>
                </c:pt>
              </c:strCache>
            </c:strRef>
          </c:tx>
          <c:spPr>
            <a:solidFill>
              <a:srgbClr val="1f386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'GL &amp; Cost Drivers'!$C$38:$C$54</c:f>
              <c:strCache>
                <c:ptCount val="17"/>
                <c:pt idx="0">
                  <c:v>Materials</c:v>
                </c:pt>
                <c:pt idx="1">
                  <c:v>Salaries</c:v>
                </c:pt>
                <c:pt idx="2">
                  <c:v>Direct labor</c:v>
                </c:pt>
                <c:pt idx="3">
                  <c:v>Warehouse and distribution</c:v>
                </c:pt>
                <c:pt idx="4">
                  <c:v>Marketing programs</c:v>
                </c:pt>
                <c:pt idx="5">
                  <c:v>Factory overhead</c:v>
                </c:pt>
                <c:pt idx="6">
                  <c:v>Rent and facilities</c:v>
                </c:pt>
                <c:pt idx="7">
                  <c:v>Benefits</c:v>
                </c:pt>
                <c:pt idx="8">
                  <c:v>Inbound freight</c:v>
                </c:pt>
                <c:pt idx="9">
                  <c:v>IT and software</c:v>
                </c:pt>
                <c:pt idx="10">
                  <c:v>Bonus and incentives</c:v>
                </c:pt>
                <c:pt idx="11">
                  <c:v>Warranty provision</c:v>
                </c:pt>
                <c:pt idx="12">
                  <c:v>Professional fees</c:v>
                </c:pt>
                <c:pt idx="13">
                  <c:v>Travel</c:v>
                </c:pt>
                <c:pt idx="14">
                  <c:v>Bad debt</c:v>
                </c:pt>
                <c:pt idx="15">
                  <c:v>Purchase price variance</c:v>
                </c:pt>
                <c:pt idx="16">
                  <c:v>Depreciation</c:v>
                </c:pt>
              </c:strCache>
            </c:strRef>
          </c:cat>
          <c:val>
            <c:numRef>
              <c:f>'GL &amp; Cost Drivers'!$H$38:$H$54</c:f>
              <c:numCache>
                <c:formatCode>0.0%;[RED]\(0.0%\);\-</c:formatCode>
                <c:ptCount val="17"/>
                <c:pt idx="0">
                  <c:v>0.368129820502867</c:v>
                </c:pt>
                <c:pt idx="1">
                  <c:v>0.158053556297875</c:v>
                </c:pt>
                <c:pt idx="2">
                  <c:v>0.063650423038985</c:v>
                </c:pt>
                <c:pt idx="3">
                  <c:v>0.0570599677104633</c:v>
                </c:pt>
                <c:pt idx="4">
                  <c:v>0.0485628714464894</c:v>
                </c:pt>
                <c:pt idx="5">
                  <c:v>0.0457296315429388</c:v>
                </c:pt>
                <c:pt idx="6">
                  <c:v>0.0427972697160904</c:v>
                </c:pt>
                <c:pt idx="7">
                  <c:v>0.0381033572966385</c:v>
                </c:pt>
                <c:pt idx="8">
                  <c:v>0.0319774565156592</c:v>
                </c:pt>
                <c:pt idx="9">
                  <c:v>0.0275523209448098</c:v>
                </c:pt>
                <c:pt idx="10">
                  <c:v>0.0269442245525708</c:v>
                </c:pt>
                <c:pt idx="11">
                  <c:v>0.0225029335417864</c:v>
                </c:pt>
                <c:pt idx="12">
                  <c:v>0.0208883179450999</c:v>
                </c:pt>
                <c:pt idx="13">
                  <c:v>0.0162503095840133</c:v>
                </c:pt>
                <c:pt idx="14">
                  <c:v>0.011167088418831</c:v>
                </c:pt>
                <c:pt idx="15">
                  <c:v>0.0107447379396441</c:v>
                </c:pt>
                <c:pt idx="16">
                  <c:v>0.00988571300523782</c:v>
                </c:pt>
              </c:numCache>
            </c:numRef>
          </c:val>
        </c:ser>
        <c:gapWidth val="60"/>
        <c:overlap val="0"/>
        <c:axId val="66391730"/>
        <c:axId val="63450861"/>
      </c:barChart>
      <c:lineChart>
        <c:grouping val="standard"/>
        <c:varyColors val="0"/>
        <c:ser>
          <c:idx val="1"/>
          <c:order val="1"/>
          <c:tx>
            <c:strRef>
              <c:f>"Cumulative share"</c:f>
              <c:strCache>
                <c:ptCount val="1"/>
                <c:pt idx="0">
                  <c:v>Cumulative share</c:v>
                </c:pt>
              </c:strCache>
            </c:strRef>
          </c:tx>
          <c:spPr>
            <a:solidFill>
              <a:srgbClr val="c55a11"/>
            </a:solidFill>
            <a:ln w="28440">
              <a:solidFill>
                <a:srgbClr val="c55a11"/>
              </a:solidFill>
              <a:round/>
            </a:ln>
          </c:spPr>
          <c:marker>
            <c:symbol val="circle"/>
            <c:size val="5"/>
            <c:spPr>
              <a:solidFill>
                <a:srgbClr val="c55a11"/>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'GL &amp; Cost Drivers'!$C$38:$C$54</c:f>
              <c:strCache>
                <c:ptCount val="17"/>
                <c:pt idx="0">
                  <c:v>Materials</c:v>
                </c:pt>
                <c:pt idx="1">
                  <c:v>Salaries</c:v>
                </c:pt>
                <c:pt idx="2">
                  <c:v>Direct labor</c:v>
                </c:pt>
                <c:pt idx="3">
                  <c:v>Warehouse and distribution</c:v>
                </c:pt>
                <c:pt idx="4">
                  <c:v>Marketing programs</c:v>
                </c:pt>
                <c:pt idx="5">
                  <c:v>Factory overhead</c:v>
                </c:pt>
                <c:pt idx="6">
                  <c:v>Rent and facilities</c:v>
                </c:pt>
                <c:pt idx="7">
                  <c:v>Benefits</c:v>
                </c:pt>
                <c:pt idx="8">
                  <c:v>Inbound freight</c:v>
                </c:pt>
                <c:pt idx="9">
                  <c:v>IT and software</c:v>
                </c:pt>
                <c:pt idx="10">
                  <c:v>Bonus and incentives</c:v>
                </c:pt>
                <c:pt idx="11">
                  <c:v>Warranty provision</c:v>
                </c:pt>
                <c:pt idx="12">
                  <c:v>Professional fees</c:v>
                </c:pt>
                <c:pt idx="13">
                  <c:v>Travel</c:v>
                </c:pt>
                <c:pt idx="14">
                  <c:v>Bad debt</c:v>
                </c:pt>
                <c:pt idx="15">
                  <c:v>Purchase price variance</c:v>
                </c:pt>
                <c:pt idx="16">
                  <c:v>Depreciation</c:v>
                </c:pt>
              </c:strCache>
            </c:strRef>
          </c:cat>
          <c:val>
            <c:numRef>
              <c:f>'GL &amp; Cost Drivers'!$I$38:$I$54</c:f>
              <c:numCache>
                <c:formatCode>0.0%;[RED]\(0.0%\);\-</c:formatCode>
                <c:ptCount val="17"/>
                <c:pt idx="0">
                  <c:v>0.368129820502867</c:v>
                </c:pt>
                <c:pt idx="1">
                  <c:v>0.526183376800743</c:v>
                </c:pt>
                <c:pt idx="2">
                  <c:v>0.589833799839728</c:v>
                </c:pt>
                <c:pt idx="3">
                  <c:v>0.646893767550191</c:v>
                </c:pt>
                <c:pt idx="4">
                  <c:v>0.69545663899668</c:v>
                </c:pt>
                <c:pt idx="5">
                  <c:v>0.741186270539619</c:v>
                </c:pt>
                <c:pt idx="6">
                  <c:v>0.783983540255709</c:v>
                </c:pt>
                <c:pt idx="7">
                  <c:v>0.822086897552348</c:v>
                </c:pt>
                <c:pt idx="8">
                  <c:v>0.854064354068007</c:v>
                </c:pt>
                <c:pt idx="9">
                  <c:v>0.881616675012817</c:v>
                </c:pt>
                <c:pt idx="10">
                  <c:v>0.908560899565388</c:v>
                </c:pt>
                <c:pt idx="11">
                  <c:v>0.931063833107174</c:v>
                </c:pt>
                <c:pt idx="12">
                  <c:v>0.951952151052274</c:v>
                </c:pt>
                <c:pt idx="13">
                  <c:v>0.968202460636287</c:v>
                </c:pt>
                <c:pt idx="14">
                  <c:v>0.979369549055118</c:v>
                </c:pt>
                <c:pt idx="15">
                  <c:v>0.990114286994762</c:v>
                </c:pt>
                <c:pt idx="16">
                  <c:v>1</c:v>
                </c:pt>
              </c:numCache>
            </c:numRef>
          </c:val>
          <c:smooth val="0"/>
        </c:ser>
        <c:hiLowLines>
          <c:spPr>
            <a:ln w="0">
              <a:noFill/>
            </a:ln>
          </c:spPr>
        </c:hiLowLines>
        <c:marker val="1"/>
        <c:axId val="66391730"/>
        <c:axId val="63450861"/>
      </c:lineChart>
      <c:catAx>
        <c:axId val="66391730"/>
        <c:scaling>
          <c:orientation val="minMax"/>
        </c:scaling>
        <c:delete val="0"/>
        <c:axPos val="b"/>
        <c:numFmt formatCode="General" sourceLinked="1"/>
        <c:majorTickMark val="out"/>
        <c:minorTickMark val="none"/>
        <c:tickLblPos val="nextTo"/>
        <c:spPr>
          <a:ln w="9360">
            <a:solidFill>
              <a:srgbClr val="878787"/>
            </a:solidFill>
            <a:round/>
          </a:ln>
        </c:spPr>
        <c:txPr>
          <a:bodyPr rot="-2700000"/>
          <a:lstStyle/>
          <a:p>
            <a:pPr>
              <a:defRPr b="0" sz="800" spc="-1" strike="noStrike">
                <a:solidFill>
                  <a:srgbClr val="000000"/>
                </a:solidFill>
                <a:latin typeface="Calibri"/>
              </a:defRPr>
            </a:pPr>
          </a:p>
        </c:txPr>
        <c:crossAx val="63450861"/>
        <c:crosses val="autoZero"/>
        <c:auto val="1"/>
        <c:lblAlgn val="ctr"/>
        <c:lblOffset val="100"/>
        <c:noMultiLvlLbl val="0"/>
      </c:catAx>
      <c:valAx>
        <c:axId val="63450861"/>
        <c:scaling>
          <c:orientation val="minMax"/>
          <c:max val="1"/>
          <c:min val="0"/>
        </c:scaling>
        <c:delete val="0"/>
        <c:axPos val="l"/>
        <c:majorGridlines>
          <c:spPr>
            <a:ln w="9360">
              <a:solidFill>
                <a:srgbClr val="d9d9d9"/>
              </a:solidFill>
              <a:round/>
            </a:ln>
          </c:spPr>
        </c:majorGridlines>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39173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Gross margin % by treatment and row set (all years)</a:t>
            </a:r>
          </a:p>
        </c:rich>
      </c:tx>
      <c:overlay val="0"/>
      <c:spPr>
        <a:noFill/>
        <a:ln w="0">
          <a:noFill/>
        </a:ln>
      </c:spPr>
    </c:title>
    <c:autoTitleDeleted val="0"/>
    <c:plotArea>
      <c:barChart>
        <c:barDir val="col"/>
        <c:grouping val="clustered"/>
        <c:varyColors val="0"/>
        <c:ser>
          <c:idx val="0"/>
          <c:order val="0"/>
          <c:tx>
            <c:strRef>
              <c:f>"All eligible lines"</c:f>
              <c:strCache>
                <c:ptCount val="1"/>
                <c:pt idx="0">
                  <c:v>All eligible lines</c:v>
                </c:pt>
              </c:strCache>
            </c:strRef>
          </c:tx>
          <c:spPr>
            <a:solidFill>
              <a:srgbClr val="1f386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'Gross Profit'!$A$37:$A$39</c:f>
              <c:strCache>
                <c:ptCount val="3"/>
                <c:pt idx="0">
                  <c:v>S1 - signed as recorded</c:v>
                </c:pt>
                <c:pt idx="1">
                  <c:v>S2 - discount (4190) at absolute value</c:v>
                </c:pt>
                <c:pt idx="2">
                  <c:v>S3 - excluding discounts (4190)</c:v>
                </c:pt>
              </c:strCache>
            </c:strRef>
          </c:cat>
          <c:val>
            <c:numRef>
              <c:f>'Gross Profit'!$C$37:$C$39</c:f>
              <c:numCache>
                <c:formatCode>0.0%;[RED]\(0.0%\);\-</c:formatCode>
                <c:ptCount val="3"/>
                <c:pt idx="0">
                  <c:v>0.54202578390938</c:v>
                </c:pt>
                <c:pt idx="1">
                  <c:v>0.511023663541749</c:v>
                </c:pt>
                <c:pt idx="2">
                  <c:v>0.54768060309035</c:v>
                </c:pt>
              </c:numCache>
            </c:numRef>
          </c:val>
        </c:ser>
        <c:ser>
          <c:idx val="1"/>
          <c:order val="1"/>
          <c:tx>
            <c:strRef>
              <c:f>"No-negative-amount lines (not sign-consistent)"</c:f>
              <c:strCache>
                <c:ptCount val="1"/>
                <c:pt idx="0">
                  <c:v>No-negative-amount lines (not sign-consistent)</c:v>
                </c:pt>
              </c:strCache>
            </c:strRef>
          </c:tx>
          <c:spPr>
            <a:solidFill>
              <a:srgbClr val="bf900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'Gross Profit'!$A$37:$A$39</c:f>
              <c:strCache>
                <c:ptCount val="3"/>
                <c:pt idx="0">
                  <c:v>S1 - signed as recorded</c:v>
                </c:pt>
                <c:pt idx="1">
                  <c:v>S2 - discount (4190) at absolute value</c:v>
                </c:pt>
                <c:pt idx="2">
                  <c:v>S3 - excluding discounts (4190)</c:v>
                </c:pt>
              </c:strCache>
            </c:strRef>
          </c:cat>
          <c:val>
            <c:numRef>
              <c:f>'Gross Profit'!$D$37:$D$39</c:f>
              <c:numCache>
                <c:formatCode>0.0%;[RED]\(0.0%\);\-</c:formatCode>
                <c:ptCount val="3"/>
                <c:pt idx="0">
                  <c:v>0.509509060711524</c:v>
                </c:pt>
                <c:pt idx="1">
                  <c:v>0.480544954269538</c:v>
                </c:pt>
                <c:pt idx="2">
                  <c:v>0.495442336366742</c:v>
                </c:pt>
              </c:numCache>
            </c:numRef>
          </c:val>
        </c:ser>
        <c:gapWidth val="150"/>
        <c:overlap val="0"/>
        <c:axId val="31775440"/>
        <c:axId val="36119583"/>
      </c:barChart>
      <c:catAx>
        <c:axId val="31775440"/>
        <c:scaling>
          <c:orientation val="minMax"/>
        </c:scaling>
        <c:delete val="0"/>
        <c:axPos val="b"/>
        <c:numFmt formatCode="General" sourceLinked="1"/>
        <c:majorTickMark val="out"/>
        <c:minorTickMark val="none"/>
        <c:tickLblPos val="nextTo"/>
        <c:spPr>
          <a:ln w="9360">
            <a:solidFill>
              <a:srgbClr val="878787"/>
            </a:solidFill>
            <a:round/>
          </a:ln>
        </c:spPr>
        <c:txPr>
          <a:bodyPr/>
          <a:lstStyle/>
          <a:p>
            <a:pPr>
              <a:defRPr b="0" sz="800" spc="-1" strike="noStrike">
                <a:solidFill>
                  <a:srgbClr val="000000"/>
                </a:solidFill>
                <a:latin typeface="Calibri"/>
              </a:defRPr>
            </a:pPr>
          </a:p>
        </c:txPr>
        <c:crossAx val="36119583"/>
        <c:crosses val="autoZero"/>
        <c:auto val="1"/>
        <c:lblAlgn val="ctr"/>
        <c:lblOffset val="100"/>
        <c:noMultiLvlLbl val="0"/>
      </c:catAx>
      <c:valAx>
        <c:axId val="36119583"/>
        <c:scaling>
          <c:orientation val="minMax"/>
          <c:max val="0.6"/>
          <c:min val="0.3"/>
        </c:scaling>
        <c:delete val="0"/>
        <c:axPos val="l"/>
        <c:majorGridlines>
          <c:spPr>
            <a:ln w="9360">
              <a:solidFill>
                <a:srgbClr val="d9d9d9"/>
              </a:solidFill>
              <a:round/>
            </a:ln>
          </c:spPr>
        </c:majorGridlines>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77544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Which unresolved rule moves the headline most? (range across policies)</a:t>
            </a:r>
          </a:p>
        </c:rich>
      </c:tx>
      <c:overlay val="0"/>
      <c:spPr>
        <a:noFill/>
        <a:ln w="0">
          <a:noFill/>
        </a:ln>
      </c:spPr>
    </c:title>
    <c:autoTitleDeleted val="0"/>
    <c:plotArea>
      <c:barChart>
        <c:barDir val="bar"/>
        <c:grouping val="clustered"/>
        <c:varyColors val="0"/>
        <c:ser>
          <c:idx val="0"/>
          <c:order val="0"/>
          <c:tx>
            <c:strRef>
              <c:f>"Revenue range as % of baseline"</c:f>
              <c:strCache>
                <c:ptCount val="1"/>
                <c:pt idx="0">
                  <c:v>Revenue range as % of baseline</c:v>
                </c:pt>
              </c:strCache>
            </c:strRef>
          </c:tx>
          <c:spPr>
            <a:solidFill>
              <a:srgbClr val="1f386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 Quality'!$A$124:$A$127</c:f>
              <c:strCache>
                <c:ptCount val="4"/>
                <c:pt idx="0">
                  <c:v>status</c:v>
                </c:pt>
                <c:pt idx="1">
                  <c:v>sign</c:v>
                </c:pt>
                <c:pt idx="2">
                  <c:v>scale</c:v>
                </c:pt>
                <c:pt idx="3">
                  <c:v>duplicates</c:v>
                </c:pt>
              </c:strCache>
            </c:strRef>
          </c:cat>
          <c:val>
            <c:numRef>
              <c:f>'Data Quality'!$E$124:$E$127</c:f>
              <c:numCache>
                <c:formatCode>0.0%;[RED]\(0.0%\);\-</c:formatCode>
                <c:ptCount val="4"/>
                <c:pt idx="0">
                  <c:v>1.32706555744258</c:v>
                </c:pt>
                <c:pt idx="1">
                  <c:v>0.18939242863222</c:v>
                </c:pt>
                <c:pt idx="2">
                  <c:v>0.0407278432775194</c:v>
                </c:pt>
                <c:pt idx="3">
                  <c:v>0.00805458020204912</c:v>
                </c:pt>
              </c:numCache>
            </c:numRef>
          </c:val>
        </c:ser>
        <c:ser>
          <c:idx val="1"/>
          <c:order val="1"/>
          <c:tx>
            <c:strRef>
              <c:f>"Result-proxy range as % of baseline"</c:f>
              <c:strCache>
                <c:ptCount val="1"/>
                <c:pt idx="0">
                  <c:v>Result-proxy range as % of baseline</c:v>
                </c:pt>
              </c:strCache>
            </c:strRef>
          </c:tx>
          <c:spPr>
            <a:solidFill>
              <a:srgbClr val="c55a1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 Quality'!$A$124:$A$127</c:f>
              <c:strCache>
                <c:ptCount val="4"/>
                <c:pt idx="0">
                  <c:v>status</c:v>
                </c:pt>
                <c:pt idx="1">
                  <c:v>sign</c:v>
                </c:pt>
                <c:pt idx="2">
                  <c:v>scale</c:v>
                </c:pt>
                <c:pt idx="3">
                  <c:v>duplicates</c:v>
                </c:pt>
              </c:strCache>
            </c:strRef>
          </c:cat>
          <c:val>
            <c:numRef>
              <c:f>'Data Quality'!$H$124:$H$127</c:f>
              <c:numCache>
                <c:formatCode>0.0%;[RED]\(0.0%\);\-</c:formatCode>
                <c:ptCount val="4"/>
                <c:pt idx="0">
                  <c:v>1.04721609489593</c:v>
                </c:pt>
                <c:pt idx="1">
                  <c:v>0.55836795477532</c:v>
                </c:pt>
                <c:pt idx="2">
                  <c:v>0.14965225354033</c:v>
                </c:pt>
                <c:pt idx="3">
                  <c:v>0.0122338948762985</c:v>
                </c:pt>
              </c:numCache>
            </c:numRef>
          </c:val>
        </c:ser>
        <c:gapWidth val="150"/>
        <c:overlap val="0"/>
        <c:axId val="82199999"/>
        <c:axId val="47251997"/>
      </c:barChart>
      <c:catAx>
        <c:axId val="82199999"/>
        <c:scaling>
          <c:orientation val="maxMin"/>
        </c:scaling>
        <c:delete val="0"/>
        <c:axPos val="b"/>
        <c:numFmt formatCode="General" sourceLinked="1"/>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251997"/>
        <c:crosses val="autoZero"/>
        <c:auto val="1"/>
        <c:lblAlgn val="ctr"/>
        <c:lblOffset val="100"/>
        <c:noMultiLvlLbl val="0"/>
      </c:catAx>
      <c:valAx>
        <c:axId val="47251997"/>
        <c:scaling>
          <c:orientation val="minMax"/>
        </c:scaling>
        <c:delete val="0"/>
        <c:axPos val="l"/>
        <c:majorGridlines>
          <c:spPr>
            <a:ln w="9360">
              <a:solidFill>
                <a:srgbClr val="d9d9d9"/>
              </a:solidFill>
              <a:round/>
            </a:ln>
          </c:spPr>
        </c:majorGridlines>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19999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_rels/drawing5.xml.rels><?xml version="1.0" encoding="UTF-8"?>
<Relationships xmlns="http://schemas.openxmlformats.org/package/2006/relationships"><Relationship Id="rId1" Type="http://schemas.openxmlformats.org/officeDocument/2006/relationships/chart" Target="../charts/chart5.xml"/>
</Relationships>
</file>

<file path=xl/drawings/_rels/drawing6.xml.rels><?xml version="1.0" encoding="UTF-8"?>
<Relationships xmlns="http://schemas.openxmlformats.org/package/2006/relationships"><Relationship Id="rId1" Type="http://schemas.openxmlformats.org/officeDocument/2006/relationships/chart" Target="../charts/chart6.xml"/>
</Relationships>
</file>

<file path=xl/drawings/_rels/drawing7.xml.rels><?xml version="1.0" encoding="UTF-8"?>
<Relationships xmlns="http://schemas.openxmlformats.org/package/2006/relationships"><Relationship Id="rId1"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95400</xdr:colOff>
      <xdr:row>35</xdr:row>
      <xdr:rowOff>131040</xdr:rowOff>
    </xdr:from>
    <xdr:to>
      <xdr:col>12</xdr:col>
      <xdr:colOff>456840</xdr:colOff>
      <xdr:row>46</xdr:row>
      <xdr:rowOff>159120</xdr:rowOff>
    </xdr:to>
    <xdr:graphicFrame>
      <xdr:nvGraphicFramePr>
        <xdr:cNvPr id="0" name="Chart 1"/>
        <xdr:cNvGraphicFramePr/>
      </xdr:nvGraphicFramePr>
      <xdr:xfrm>
        <a:off x="10073160" y="9677520"/>
        <a:ext cx="6056640" cy="2761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54</xdr:row>
      <xdr:rowOff>130680</xdr:rowOff>
    </xdr:from>
    <xdr:to>
      <xdr:col>8</xdr:col>
      <xdr:colOff>742680</xdr:colOff>
      <xdr:row>71</xdr:row>
      <xdr:rowOff>35280</xdr:rowOff>
    </xdr:to>
    <xdr:graphicFrame>
      <xdr:nvGraphicFramePr>
        <xdr:cNvPr id="1" name="Chart 1"/>
        <xdr:cNvGraphicFramePr/>
      </xdr:nvGraphicFramePr>
      <xdr:xfrm>
        <a:off x="0" y="11791800"/>
        <a:ext cx="8615520" cy="3143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190440</xdr:colOff>
      <xdr:row>5</xdr:row>
      <xdr:rowOff>130680</xdr:rowOff>
    </xdr:from>
    <xdr:to>
      <xdr:col>22</xdr:col>
      <xdr:colOff>352080</xdr:colOff>
      <xdr:row>18</xdr:row>
      <xdr:rowOff>168480</xdr:rowOff>
    </xdr:to>
    <xdr:graphicFrame>
      <xdr:nvGraphicFramePr>
        <xdr:cNvPr id="2" name="Chart 1"/>
        <xdr:cNvGraphicFramePr/>
      </xdr:nvGraphicFramePr>
      <xdr:xfrm>
        <a:off x="15967080" y="1523880"/>
        <a:ext cx="7313760" cy="2857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29</xdr:row>
      <xdr:rowOff>292680</xdr:rowOff>
    </xdr:from>
    <xdr:to>
      <xdr:col>14</xdr:col>
      <xdr:colOff>599760</xdr:colOff>
      <xdr:row>41</xdr:row>
      <xdr:rowOff>149400</xdr:rowOff>
    </xdr:to>
    <xdr:graphicFrame>
      <xdr:nvGraphicFramePr>
        <xdr:cNvPr id="3" name="Chart 1"/>
        <xdr:cNvGraphicFramePr/>
      </xdr:nvGraphicFramePr>
      <xdr:xfrm>
        <a:off x="10974240" y="7496280"/>
        <a:ext cx="5472000" cy="2666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35</xdr:row>
      <xdr:rowOff>292680</xdr:rowOff>
    </xdr:from>
    <xdr:to>
      <xdr:col>21</xdr:col>
      <xdr:colOff>18720</xdr:colOff>
      <xdr:row>50</xdr:row>
      <xdr:rowOff>149400</xdr:rowOff>
    </xdr:to>
    <xdr:graphicFrame>
      <xdr:nvGraphicFramePr>
        <xdr:cNvPr id="4" name="Chart 1"/>
        <xdr:cNvGraphicFramePr/>
      </xdr:nvGraphicFramePr>
      <xdr:xfrm>
        <a:off x="13259520" y="7924680"/>
        <a:ext cx="7387200" cy="3238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34</xdr:row>
      <xdr:rowOff>111960</xdr:rowOff>
    </xdr:from>
    <xdr:to>
      <xdr:col>13</xdr:col>
      <xdr:colOff>151920</xdr:colOff>
      <xdr:row>47</xdr:row>
      <xdr:rowOff>149400</xdr:rowOff>
    </xdr:to>
    <xdr:graphicFrame>
      <xdr:nvGraphicFramePr>
        <xdr:cNvPr id="5" name="Chart 1"/>
        <xdr:cNvGraphicFramePr/>
      </xdr:nvGraphicFramePr>
      <xdr:xfrm>
        <a:off x="11840040" y="7601040"/>
        <a:ext cx="6232680" cy="28569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121</xdr:row>
      <xdr:rowOff>130680</xdr:rowOff>
    </xdr:from>
    <xdr:to>
      <xdr:col>19</xdr:col>
      <xdr:colOff>571320</xdr:colOff>
      <xdr:row>133</xdr:row>
      <xdr:rowOff>149400</xdr:rowOff>
    </xdr:to>
    <xdr:graphicFrame>
      <xdr:nvGraphicFramePr>
        <xdr:cNvPr id="6" name="Chart 1"/>
        <xdr:cNvGraphicFramePr/>
      </xdr:nvGraphicFramePr>
      <xdr:xfrm>
        <a:off x="16592400" y="25603200"/>
        <a:ext cx="6686640" cy="2666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bl_BvA_Monthly" displayName="tbl_BvA_Monthly" ref="A87:J591" headerRowCount="1" totalsRowCount="0" totalsRowShown="0">
  <autoFilter ref="A87:J591"/>
  <tableColumns count="10">
    <tableColumn id="1" name="Basis"/>
    <tableColumn id="2" name="Section"/>
    <tableColumn id="3" name="Month"/>
    <tableColumn id="4" name="Lines (count)"/>
    <tableColumn id="5" name="Actual (USD)"/>
    <tableColumn id="6" name="Budget (USD)"/>
    <tableColumn id="7" name="Variance (USD)"/>
    <tableColumn id="8" name="Phase 4 variance % (guarded)"/>
    <tableColumn id="9" name="Recomputed % (no guard)"/>
    <tableColumn id="10" name="Check"/>
  </tableColumns>
</table>
</file>

<file path=xl/tables/table2.xml><?xml version="1.0" encoding="utf-8"?>
<table xmlns="http://schemas.openxmlformats.org/spreadsheetml/2006/main" id="2" name="tbl_CostPareto" displayName="tbl_CostPareto" ref="A37:I54" headerRowCount="1" totalsRowCount="0" totalsRowShown="0">
  <autoFilter ref="A37:I54"/>
  <tableColumns count="9">
    <tableColumn id="1" name="Rank"/>
    <tableColumn id="2" name="GL"/>
    <tableColumn id="3" name="Account"/>
    <tableColumn id="4" name="Section"/>
    <tableColumn id="5" name="Eligible lines (count)"/>
    <tableColumn id="6" name="Actual, signed (USD)"/>
    <tableColumn id="7" name="Absolute actual (USD)"/>
    <tableColumn id="8" name="Share of cost absolute activity"/>
    <tableColumn id="9" name="Cumulative share"/>
  </tableColumns>
</table>
</file>

<file path=xl/tables/table3.xml><?xml version="1.0" encoding="utf-8"?>
<table xmlns="http://schemas.openxmlformats.org/spreadsheetml/2006/main" id="3" name="tbl_DimReliability" displayName="tbl_DimReliability" ref="A39:G95" headerRowCount="1" totalsRowCount="0" totalsRowShown="0">
  <autoFilter ref="A39:G95"/>
  <tableColumns count="7">
    <tableColumn id="1" name="Field"/>
    <tableColumn id="2" name="Section"/>
    <tableColumn id="3" name="Eligible rows (count)"/>
    <tableColumn id="4" name="Populated (count)"/>
    <tableColumn id="5" name="Fill rate"/>
    <tableColumn id="6" name="Distinct values (count)"/>
    <tableColumn id="7" name="Phase 4 verdict"/>
  </tableColumns>
</table>
</file>

<file path=xl/tables/table4.xml><?xml version="1.0" encoding="utf-8"?>
<table xmlns="http://schemas.openxmlformats.org/spreadsheetml/2006/main" id="4" name="tbl_DivisionVar" displayName="tbl_DivisionVar" ref="A43:H113" headerRowCount="1" totalsRowCount="0" totalsRowShown="0">
  <autoFilter ref="A43:H113"/>
  <tableColumns count="8">
    <tableColumn id="1" name="Basis"/>
    <tableColumn id="2" name="Section"/>
    <tableColumn id="3" name="Division"/>
    <tableColumn id="4" name="Lines (count)"/>
    <tableColumn id="5" name="Actual (USD)"/>
    <tableColumn id="6" name="Budget (USD)"/>
    <tableColumn id="7" name="Variance (USD)"/>
    <tableColumn id="8" name="Variance % (Phase 4, guarded)"/>
  </tableColumns>
</table>
</file>

<file path=xl/tables/table5.xml><?xml version="1.0" encoding="utf-8"?>
<table xmlns="http://schemas.openxmlformats.org/spreadsheetml/2006/main" id="5" name="tbl_EntityGL" displayName="tbl_EntityGL" ref="A149:L437" headerRowCount="1" totalsRowCount="0" totalsRowShown="0">
  <autoFilter ref="A149:L437"/>
  <tableColumns count="12">
    <tableColumn id="1" name="Basis"/>
    <tableColumn id="2" name="Section"/>
    <tableColumn id="3" name="Entity"/>
    <tableColumn id="4" name="GL"/>
    <tableColumn id="5" name="Account"/>
    <tableColumn id="6" name="Lines (count)"/>
    <tableColumn id="7" name="Actual (USD)"/>
    <tableColumn id="8" name="Budget (USD)"/>
    <tableColumn id="9" name="Variance = actual - budget (USD)"/>
    <tableColumn id="10" name="Variance % (Phase 4, guarded)"/>
    <tableColumn id="11" name="Share of section gross cell variance"/>
    <tableColumn id="12" name="Direction (arithmetic only)"/>
  </tableColumns>
</table>
</file>

<file path=xl/tables/table6.xml><?xml version="1.0" encoding="utf-8"?>
<table xmlns="http://schemas.openxmlformats.org/spreadsheetml/2006/main" id="6" name="tbl_EntityGrowth" displayName="tbl_EntityGrowth" ref="A119:E143" headerRowCount="1" totalsRowCount="0" totalsRowShown="0">
  <autoFilter ref="A119:E143"/>
  <tableColumns count="5">
    <tableColumn id="1" name="Group"/>
    <tableColumn id="2" name="Entity"/>
    <tableColumn id="3" name="Year"/>
    <tableColumn id="4" name="Amount (USD)"/>
    <tableColumn id="5" name="YoY growth %"/>
  </tableColumns>
</table>
</file>

<file path=xl/tables/table7.xml><?xml version="1.0" encoding="utf-8"?>
<table xmlns="http://schemas.openxmlformats.org/spreadsheetml/2006/main" id="7" name="tbl_FcEntity" displayName="tbl_FcEntity" ref="A103:G187" headerRowCount="1" totalsRowCount="0" totalsRowShown="0">
  <autoFilter ref="A103:G187"/>
  <tableColumns count="7">
    <tableColumn id="1" name="Basis"/>
    <tableColumn id="2" name="Entity"/>
    <tableColumn id="3" name="Section"/>
    <tableColumn id="4" name="Lines (count)"/>
    <tableColumn id="5" name="Net error (USD)"/>
    <tableColumn id="6" name="Bias"/>
    <tableColumn id="7" name="WAPE"/>
  </tableColumns>
</table>
</file>

<file path=xl/tables/table8.xml><?xml version="1.0" encoding="utf-8"?>
<table xmlns="http://schemas.openxmlformats.org/spreadsheetml/2006/main" id="8" name="tbl_FlagExposure" displayName="tbl_FlagExposure" ref="A21:E34" headerRowCount="1" totalsRowCount="0" totalsRowShown="0">
  <autoFilter ref="A21:E34"/>
  <tableColumns count="5">
    <tableColumn id="1" name="Flag"/>
    <tableColumn id="2" name="Eligible rows flagged (count)"/>
    <tableColumn id="3" name="Absolute actual flagged (USD)"/>
    <tableColumn id="4" name="Share of eligible rows"/>
    <tableColumn id="5" name="Share of eligible absolute activity"/>
  </tableColumns>
</table>
</file>

<file path=xl/tables/table9.xml><?xml version="1.0" encoding="utf-8"?>
<table xmlns="http://schemas.openxmlformats.org/spreadsheetml/2006/main" id="9" name="tbl_GLActivity" displayName="tbl_GLActivity" ref="A7:H31" headerRowCount="1" totalsRowCount="0" totalsRowShown="0">
  <autoFilter ref="A7:H31"/>
  <tableColumns count="8">
    <tableColumn id="1" name="GL"/>
    <tableColumn id="2" name="Account"/>
    <tableColumn id="3" name="Section"/>
    <tableColumn id="4" name="Eligible lines (count)"/>
    <tableColumn id="5" name="Actual, signed (USD)"/>
    <tableColumn id="6" name="Absolute actual (USD)"/>
    <tableColumn id="7" name="Share of total absolute activity"/>
    <tableColumn id="8" name="% of lines negative"/>
  </tableColumns>
</table>
</file>

<file path=xl/tables/table10.xml><?xml version="1.0" encoding="utf-8"?>
<table xmlns="http://schemas.openxmlformats.org/spreadsheetml/2006/main" id="10" name="tbl_GLVar" displayName="tbl_GLVar" ref="A59:H83" headerRowCount="1" totalsRowCount="0" totalsRowShown="0">
  <autoFilter ref="A59:H83"/>
  <tableColumns count="8">
    <tableColumn id="1" name="GL"/>
    <tableColumn id="2" name="Account"/>
    <tableColumn id="3" name="Section"/>
    <tableColumn id="4" name="Actual (USD)"/>
    <tableColumn id="5" name="Budget (USD)"/>
    <tableColumn id="6" name="Variance (USD)"/>
    <tableColumn id="7" name="Variance % of |budget|"/>
    <tableColumn id="8" name="Rank by |variance|"/>
  </tableColumns>
</table>
</file>

<file path=xl/tables/table11.xml><?xml version="1.0" encoding="utf-8"?>
<table xmlns="http://schemas.openxmlformats.org/spreadsheetml/2006/main" id="11" name="tbl_GP" displayName="tbl_GP" ref="A7:H31" headerRowCount="1" totalsRowCount="0" totalsRowShown="0">
  <autoFilter ref="A7:H31"/>
  <tableColumns count="8">
    <tableColumn id="1" name="Row set"/>
    <tableColumn id="2" name="Treatment"/>
    <tableColumn id="3" name="Period"/>
    <tableColumn id="4" name="Lines (count)"/>
    <tableColumn id="5" name="Revenue (USD)"/>
    <tableColumn id="6" name="COGS (USD)"/>
    <tableColumn id="7" name="Gross profit (USD)"/>
    <tableColumn id="8" name="Gross margin %"/>
  </tableColumns>
</table>
</file>

<file path=xl/tables/table12.xml><?xml version="1.0" encoding="utf-8"?>
<table xmlns="http://schemas.openxmlformats.org/spreadsheetml/2006/main" id="12" name="tbl_GPEntity" displayName="tbl_GPEntity" ref="A61:G97" headerRowCount="1" totalsRowCount="0" totalsRowShown="0">
  <autoFilter ref="A61:G97"/>
  <tableColumns count="7">
    <tableColumn id="1" name="Row set"/>
    <tableColumn id="2" name="Treatment"/>
    <tableColumn id="3" name="Entity"/>
    <tableColumn id="4" name="Revenue (USD)"/>
    <tableColumn id="5" name="COGS (USD)"/>
    <tableColumn id="6" name="Gross profit (USD)"/>
    <tableColumn id="7" name="Gross margin %"/>
  </tableColumns>
</table>
</file>

<file path=xl/tables/table13.xml><?xml version="1.0" encoding="utf-8"?>
<table xmlns="http://schemas.openxmlformats.org/spreadsheetml/2006/main" id="13" name="tbl_Grain" displayName="tbl_Grain" ref="A186:C208" headerRowCount="1" totalsRowCount="0" totalsRowShown="0">
  <autoFilter ref="A186:C208"/>
  <tableColumns count="3">
    <tableColumn id="1" name="Metric"/>
    <tableColumn id="2" name="Value"/>
    <tableColumn id="3" name="Note"/>
  </tableColumns>
</table>
</file>

<file path=xl/tables/table14.xml><?xml version="1.0" encoding="utf-8"?>
<table xmlns="http://schemas.openxmlformats.org/spreadsheetml/2006/main" id="14" name="tbl_Mapping" displayName="tbl_Mapping" ref="A214:G246" headerRowCount="1" totalsRowCount="0" totalsRowShown="0">
  <autoFilter ref="A214:G246"/>
  <tableColumns count="7">
    <tableColumn id="1" name="GL"/>
    <tableColumn id="2" name="Posting rows (count)"/>
    <tableColumn id="3" name="Names (count)"/>
    <tableColumn id="4" name="Groups (count)"/>
    <tableColumn id="5" name="FS lines (count)"/>
    <tableColumn id="6" name="Statements (count)"/>
    <tableColumn id="7" name="Mapping status"/>
  </tableColumns>
</table>
</file>

<file path=xl/tables/table15.xml><?xml version="1.0" encoding="utf-8"?>
<table xmlns="http://schemas.openxmlformats.org/spreadsheetml/2006/main" id="15" name="tbl_MonthlyPL" displayName="tbl_MonthlyPL" ref="A7:O43" headerRowCount="1" totalsRowCount="0" totalsRowShown="0">
  <autoFilter ref="A7:O43"/>
  <tableColumns count="15">
    <tableColumn id="1" name="Month"/>
    <tableColumn id="2" name="Year"/>
    <tableColumn id="3" name="Revenue (USD)"/>
    <tableColumn id="4" name="COGS (USD)"/>
    <tableColumn id="5" name="Gross profit, S1 signed as recorded (USD)"/>
    <tableColumn id="6" name="Gross margin % (S1)"/>
    <tableColumn id="7" name="People costs (USD)"/>
    <tableColumn id="8" name="Operating expenses (USD)"/>
    <tableColumn id="9" name="Operating result proxy (USD) - not EBITDA"/>
    <tableColumn id="10" name="Proxy margin %"/>
    <tableColumn id="11" name="Memo: D&amp;A (USD)"/>
    <tableColumn id="12" name="Memo: Below-EBITDA (USD)"/>
    <tableColumn id="13" name="Memo: Tax (USD)"/>
    <tableColumn id="14" name="Eligible lines (count)"/>
    <tableColumn id="15" name="Revenue MoM %"/>
  </tableColumns>
</table>
</file>

<file path=xl/tables/table16.xml><?xml version="1.0" encoding="utf-8"?>
<table xmlns="http://schemas.openxmlformats.org/spreadsheetml/2006/main" id="16" name="tbl_PersistentCells" displayName="tbl_PersistentCells" ref="A115:J259" headerRowCount="1" totalsRowCount="0" totalsRowShown="0">
  <autoFilter ref="A115:J259"/>
  <tableColumns count="10">
    <tableColumn id="1" name="Entity"/>
    <tableColumn id="2" name="GL"/>
    <tableColumn id="3" name="Account"/>
    <tableColumn id="4" name="Section"/>
    <tableColumn id="5" name="Months with data (count)"/>
    <tableColumn id="6" name="Months above budget (count)"/>
    <tableColumn id="7" name="Months below budget (count)"/>
    <tableColumn id="8" name="Dominant-direction share"/>
    <tableColumn id="9" name="Variance (USD)"/>
    <tableColumn id="10" name="Variance %"/>
  </tableColumns>
</table>
</file>

<file path=xl/tables/table17.xml><?xml version="1.0" encoding="utf-8"?>
<table xmlns="http://schemas.openxmlformats.org/spreadsheetml/2006/main" id="17" name="tbl_PYColumn" displayName="tbl_PYColumn" ref="A192:H234" headerRowCount="1" totalsRowCount="0" totalsRowShown="0">
  <autoFilter ref="A192:H234"/>
  <tableColumns count="8">
    <tableColumn id="1" name="Basis"/>
    <tableColumn id="2" name="Section"/>
    <tableColumn id="3" name="Year"/>
    <tableColumn id="4" name="Lines (count)"/>
    <tableColumn id="5" name="Actual (USD)"/>
    <tableColumn id="6" name="Prior-year column (USD)"/>
    <tableColumn id="7" name="Change = actual - prior-year column (USD)"/>
    <tableColumn id="8" name="Change % of |prior-year column|"/>
  </tableColumns>
</table>
</file>

<file path=xl/tables/table18.xml><?xml version="1.0" encoding="utf-8"?>
<table xmlns="http://schemas.openxmlformats.org/spreadsheetml/2006/main" id="18" name="tbl_Recon" displayName="tbl_Recon" ref="A9:H146" headerRowCount="1" totalsRowCount="0" totalsRowShown="0">
  <autoFilter ref="A9:H146"/>
  <tableColumns count="8">
    <tableColumn id="1" name="ID"/>
    <tableColumn id="2" name="Area"/>
    <tableColumn id="3" name="Check"/>
    <tableColumn id="4" name="Expected (independent source)"/>
    <tableColumn id="5" name="Workbook value"/>
    <tableColumn id="6" name="Difference"/>
    <tableColumn id="7" name="Tolerance"/>
    <tableColumn id="8" name="Result"/>
  </tableColumns>
</table>
</file>

<file path=xl/tables/table19.xml><?xml version="1.0" encoding="utf-8"?>
<table xmlns="http://schemas.openxmlformats.org/spreadsheetml/2006/main" id="19" name="tbl_Rules" displayName="tbl_Rules" ref="A7:D21" headerRowCount="1" totalsRowCount="0" totalsRowShown="0">
  <autoFilter ref="A7:D21"/>
  <tableColumns count="4">
    <tableColumn id="1" name="Rule"/>
    <tableColumn id="2" name="Rule text"/>
    <tableColumn id="3" name="Status"/>
    <tableColumn id="4" name="Basis"/>
  </tableColumns>
</table>
</file>

<file path=xl/tables/table20.xml><?xml version="1.0" encoding="utf-8"?>
<table xmlns="http://schemas.openxmlformats.org/spreadsheetml/2006/main" id="20" name="tbl_ScaleExposure" displayName="tbl_ScaleExposure" ref="A140:G158" headerRowCount="1" totalsRowCount="0" totalsRowShown="0">
  <autoFilter ref="A140:G158"/>
  <tableColumns count="7">
    <tableColumn id="1" name="Section"/>
    <tableColumn id="2" name="Confidence"/>
    <tableColumn id="3" name="Decision"/>
    <tableColumn id="4" name="Rows (count)"/>
    <tableColumn id="5" name="Absolute adjusted (USD)"/>
    <tableColumn id="6" name="Absolute as reported (USD)"/>
    <tableColumn id="7" name="Share of section absolute activity"/>
  </tableColumns>
</table>
</file>

<file path=xl/tables/table21.xml><?xml version="1.0" encoding="utf-8"?>
<table xmlns="http://schemas.openxmlformats.org/spreadsheetml/2006/main" id="21" name="tbl_Scenarios" displayName="tbl_Scenarios" ref="A102:I120" headerRowCount="1" totalsRowCount="0" totalsRowShown="0">
  <autoFilter ref="A102:I120"/>
  <tableColumns count="9">
    <tableColumn id="1" name="Factor"/>
    <tableColumn id="2" name="Scenario"/>
    <tableColumn id="3" name="Class"/>
    <tableColumn id="4" name="Rows (count)"/>
    <tableColumn id="5" name="Revenue (USD)"/>
    <tableColumn id="6" name="Cost: COGS+People+Opex (USD)"/>
    <tableColumn id="7" name="Result proxy (USD)"/>
    <tableColumn id="8" name="Revenue vs baseline (%)"/>
    <tableColumn id="9" name="Result proxy vs baseline (%)"/>
  </tableColumns>
</table>
</file>

<file path=xl/tables/table22.xml><?xml version="1.0" encoding="utf-8"?>
<table xmlns="http://schemas.openxmlformats.org/spreadsheetml/2006/main" id="22" name="tbl_TrueYoY" displayName="tbl_TrueYoY" ref="A255:H318" headerRowCount="1" totalsRowCount="0" totalsRowShown="0">
  <autoFilter ref="A255:H318"/>
  <tableColumns count="8">
    <tableColumn id="1" name="Basis (ANY_STATUS = all journal statuses)"/>
    <tableColumn id="2" name="Section"/>
    <tableColumn id="3" name="Year"/>
    <tableColumn id="4" name="Amount (USD)"/>
    <tableColumn id="5" name="Prior calendar year (USD)"/>
    <tableColumn id="6" name="Lines this year (count)"/>
    <tableColumn id="7" name="Lines prior year (count)"/>
    <tableColumn id="8" name="YoY growth = amount / prior - 1"/>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15.xml"/>
</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7.xml"/><Relationship Id="rId3" Type="http://schemas.openxmlformats.org/officeDocument/2006/relationships/table" Target="../tables/table17.xml"/><Relationship Id="rId4" Type="http://schemas.openxmlformats.org/officeDocument/2006/relationships/table" Target="../tables/table22.xml"/>
</Relationships>
</file>

<file path=xl/worksheets/_rels/sheet6.xml.rels><?xml version="1.0" encoding="UTF-8"?>
<Relationships xmlns="http://schemas.openxmlformats.org/package/2006/relationships"><Relationship Id="rId1" Type="http://schemas.openxmlformats.org/officeDocument/2006/relationships/table" Target="../tables/table4.xml"/><Relationship Id="rId2" Type="http://schemas.openxmlformats.org/officeDocument/2006/relationships/table" Target="../tables/table5.xml"/><Relationship Id="rId3" Type="http://schemas.openxmlformats.org/officeDocument/2006/relationships/table" Target="../tables/table6.xml"/>
</Relationships>
</file>

<file path=xl/worksheets/_rels/sheet7.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table" Target="../tables/table2.xml"/><Relationship Id="rId3" Type="http://schemas.openxmlformats.org/officeDocument/2006/relationships/table" Target="../tables/table9.xml"/><Relationship Id="rId4" Type="http://schemas.openxmlformats.org/officeDocument/2006/relationships/table" Target="../tables/table10.xml"/><Relationship Id="rId5" Type="http://schemas.openxmlformats.org/officeDocument/2006/relationships/table" Target="../tables/table16.xml"/>
</Relationships>
</file>

<file path=xl/worksheets/_rels/sheet8.xml.rels><?xml version="1.0" encoding="UTF-8"?>
<Relationships xmlns="http://schemas.openxmlformats.org/package/2006/relationships"><Relationship Id="rId1" Type="http://schemas.openxmlformats.org/officeDocument/2006/relationships/drawing" Target="../drawings/drawing6.xml"/><Relationship Id="rId2" Type="http://schemas.openxmlformats.org/officeDocument/2006/relationships/table" Target="../tables/table11.xml"/><Relationship Id="rId3" Type="http://schemas.openxmlformats.org/officeDocument/2006/relationships/table" Target="../tables/table12.xml"/>
</Relationships>
</file>

<file path=xl/worksheets/_rels/sheet10.xml.rels><?xml version="1.0" encoding="UTF-8"?>
<Relationships xmlns="http://schemas.openxmlformats.org/package/2006/relationships"><Relationship Id="rId1" Type="http://schemas.openxmlformats.org/officeDocument/2006/relationships/drawing" Target="../drawings/drawing7.xml"/><Relationship Id="rId2" Type="http://schemas.openxmlformats.org/officeDocument/2006/relationships/table" Target="../tables/table3.xml"/><Relationship Id="rId3" Type="http://schemas.openxmlformats.org/officeDocument/2006/relationships/table" Target="../tables/table8.xml"/><Relationship Id="rId4" Type="http://schemas.openxmlformats.org/officeDocument/2006/relationships/table" Target="../tables/table13.xml"/><Relationship Id="rId5" Type="http://schemas.openxmlformats.org/officeDocument/2006/relationships/table" Target="../tables/table14.xml"/><Relationship Id="rId6" Type="http://schemas.openxmlformats.org/officeDocument/2006/relationships/table" Target="../tables/table20.xml"/><Relationship Id="rId7" Type="http://schemas.openxmlformats.org/officeDocument/2006/relationships/table" Target="../tables/table21.xml"/>
</Relationships>
</file>

<file path=xl/worksheets/_rels/sheet11.xml.rels><?xml version="1.0" encoding="UTF-8"?>
<Relationships xmlns="http://schemas.openxmlformats.org/package/2006/relationships"><Relationship Id="rId1" Type="http://schemas.openxmlformats.org/officeDocument/2006/relationships/table" Target="../tables/table18.xml"/>
</Relationships>
</file>

<file path=xl/worksheets/_rels/sheet12.xml.rels><?xml version="1.0" encoding="UTF-8"?>
<Relationships xmlns="http://schemas.openxmlformats.org/package/2006/relationships"><Relationship Id="rId1" Type="http://schemas.openxmlformats.org/officeDocument/2006/relationships/table" Target="../tables/table1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B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71"/>
    <col collapsed="false" customWidth="true" hidden="false" outlineLevel="0" max="2" min="2" style="0" width="96.71"/>
  </cols>
  <sheetData>
    <row r="1" customFormat="false" ht="22.05" hidden="false" customHeight="false" outlineLevel="0" collapsed="false">
      <c r="A1" s="1" t="s">
        <v>0</v>
      </c>
    </row>
    <row r="2" customFormat="false" ht="15" hidden="false" customHeight="false" outlineLevel="0" collapsed="false">
      <c r="A2" s="2" t="s">
        <v>1</v>
      </c>
    </row>
    <row r="4" customFormat="false" ht="48" hidden="false" customHeight="true" outlineLevel="0" collapsed="false">
      <c r="A4" s="3" t="s">
        <v>2</v>
      </c>
      <c r="B4" s="3"/>
    </row>
    <row r="6" customFormat="false" ht="15" hidden="false" customHeight="false" outlineLevel="0" collapsed="false">
      <c r="A6" s="4" t="s">
        <v>3</v>
      </c>
      <c r="B6" s="4" t="s">
        <v>4</v>
      </c>
    </row>
    <row r="7" customFormat="false" ht="30" hidden="false" customHeight="true" outlineLevel="0" collapsed="false">
      <c r="A7" s="5" t="s">
        <v>5</v>
      </c>
      <c r="B7" s="6" t="s">
        <v>6</v>
      </c>
    </row>
    <row r="8" customFormat="false" ht="30" hidden="false" customHeight="true" outlineLevel="0" collapsed="false">
      <c r="A8" s="5" t="s">
        <v>7</v>
      </c>
      <c r="B8" s="6" t="s">
        <v>8</v>
      </c>
    </row>
    <row r="9" customFormat="false" ht="30" hidden="false" customHeight="true" outlineLevel="0" collapsed="false">
      <c r="A9" s="5" t="s">
        <v>9</v>
      </c>
      <c r="B9" s="6" t="s">
        <v>10</v>
      </c>
    </row>
    <row r="10" customFormat="false" ht="30" hidden="false" customHeight="true" outlineLevel="0" collapsed="false">
      <c r="A10" s="5" t="s">
        <v>11</v>
      </c>
      <c r="B10" s="6" t="s">
        <v>12</v>
      </c>
    </row>
    <row r="11" customFormat="false" ht="30" hidden="false" customHeight="true" outlineLevel="0" collapsed="false">
      <c r="A11" s="5" t="s">
        <v>13</v>
      </c>
      <c r="B11" s="6" t="s">
        <v>14</v>
      </c>
    </row>
    <row r="12" customFormat="false" ht="30" hidden="false" customHeight="true" outlineLevel="0" collapsed="false">
      <c r="A12" s="5" t="s">
        <v>15</v>
      </c>
      <c r="B12" s="6" t="s">
        <v>16</v>
      </c>
    </row>
    <row r="13" customFormat="false" ht="30" hidden="false" customHeight="true" outlineLevel="0" collapsed="false">
      <c r="A13" s="5" t="s">
        <v>17</v>
      </c>
      <c r="B13" s="6" t="s">
        <v>18</v>
      </c>
    </row>
    <row r="14" customFormat="false" ht="30" hidden="false" customHeight="true" outlineLevel="0" collapsed="false">
      <c r="A14" s="5" t="s">
        <v>19</v>
      </c>
      <c r="B14" s="6" t="s">
        <v>20</v>
      </c>
    </row>
    <row r="15" customFormat="false" ht="30" hidden="false" customHeight="true" outlineLevel="0" collapsed="false">
      <c r="A15" s="5" t="s">
        <v>21</v>
      </c>
      <c r="B15" s="6" t="s">
        <v>22</v>
      </c>
    </row>
    <row r="16" customFormat="false" ht="30" hidden="false" customHeight="true" outlineLevel="0" collapsed="false">
      <c r="A16" s="5" t="s">
        <v>23</v>
      </c>
      <c r="B16" s="6" t="s">
        <v>24</v>
      </c>
    </row>
    <row r="17" customFormat="false" ht="30" hidden="false" customHeight="true" outlineLevel="0" collapsed="false">
      <c r="A17" s="5" t="s">
        <v>25</v>
      </c>
      <c r="B17" s="6" t="s">
        <v>26</v>
      </c>
    </row>
    <row r="18" customFormat="false" ht="30" hidden="false" customHeight="true" outlineLevel="0" collapsed="false">
      <c r="A18" s="5" t="s">
        <v>27</v>
      </c>
      <c r="B18" s="6" t="s">
        <v>28</v>
      </c>
    </row>
    <row r="21" customFormat="false" ht="15" hidden="false" customHeight="false" outlineLevel="0" collapsed="false">
      <c r="A21" s="7" t="s">
        <v>29</v>
      </c>
    </row>
    <row r="22" customFormat="false" ht="15" hidden="false" customHeight="false" outlineLevel="0" collapsed="false">
      <c r="A22" s="8" t="s">
        <v>30</v>
      </c>
      <c r="B22" s="9" t="s">
        <v>31</v>
      </c>
    </row>
    <row r="23" customFormat="false" ht="15" hidden="false" customHeight="false" outlineLevel="0" collapsed="false">
      <c r="A23" s="10" t="s">
        <v>32</v>
      </c>
      <c r="B23" s="9" t="s">
        <v>33</v>
      </c>
    </row>
    <row r="24" customFormat="false" ht="15" hidden="false" customHeight="false" outlineLevel="0" collapsed="false">
      <c r="A24" s="11" t="s">
        <v>34</v>
      </c>
      <c r="B24" s="9" t="s">
        <v>35</v>
      </c>
    </row>
    <row r="25" customFormat="false" ht="15" hidden="false" customHeight="false" outlineLevel="0" collapsed="false">
      <c r="A25" s="12" t="s">
        <v>36</v>
      </c>
      <c r="B25" s="9" t="s">
        <v>37</v>
      </c>
    </row>
    <row r="26" customFormat="false" ht="15" hidden="false" customHeight="false" outlineLevel="0" collapsed="false">
      <c r="A26" s="13" t="s">
        <v>38</v>
      </c>
      <c r="B26" s="9" t="s">
        <v>39</v>
      </c>
    </row>
    <row r="27" customFormat="false" ht="15" hidden="false" customHeight="false" outlineLevel="0" collapsed="false">
      <c r="A27" s="14" t="s">
        <v>40</v>
      </c>
      <c r="B27" s="9" t="s">
        <v>41</v>
      </c>
    </row>
    <row r="30" customFormat="false" ht="15" hidden="false" customHeight="false" outlineLevel="0" collapsed="false">
      <c r="A30" s="7" t="s">
        <v>42</v>
      </c>
    </row>
    <row r="31" customFormat="false" ht="27.75" hidden="false" customHeight="true" outlineLevel="0" collapsed="false">
      <c r="A31" s="15" t="s">
        <v>43</v>
      </c>
      <c r="B31" s="15"/>
    </row>
    <row r="32" customFormat="false" ht="27.75" hidden="false" customHeight="true" outlineLevel="0" collapsed="false">
      <c r="A32" s="15" t="s">
        <v>44</v>
      </c>
      <c r="B32" s="15"/>
    </row>
    <row r="33" customFormat="false" ht="27.75" hidden="false" customHeight="true" outlineLevel="0" collapsed="false">
      <c r="A33" s="15" t="s">
        <v>45</v>
      </c>
      <c r="B33" s="15"/>
    </row>
    <row r="34" customFormat="false" ht="27.75" hidden="false" customHeight="true" outlineLevel="0" collapsed="false">
      <c r="A34" s="15" t="s">
        <v>46</v>
      </c>
      <c r="B34" s="15"/>
    </row>
    <row r="35" customFormat="false" ht="27.75" hidden="false" customHeight="true" outlineLevel="0" collapsed="false">
      <c r="A35" s="15" t="s">
        <v>47</v>
      </c>
      <c r="B35" s="15"/>
    </row>
    <row r="38" customFormat="false" ht="15" hidden="false" customHeight="false" outlineLevel="0" collapsed="false">
      <c r="A38" s="7" t="s">
        <v>48</v>
      </c>
    </row>
    <row r="39" customFormat="false" ht="15" hidden="false" customHeight="false" outlineLevel="0" collapsed="false">
      <c r="A39" s="16" t="s">
        <v>49</v>
      </c>
      <c r="B39" s="17" t="str">
        <f aca="false">'Reconciliation &amp; QA'!$B$5</f>
        <v>ALL 137 CHECKS PASS</v>
      </c>
    </row>
    <row r="40" customFormat="false" ht="15" hidden="false" customHeight="false" outlineLevel="0" collapsed="false">
      <c r="A40" s="16" t="s">
        <v>50</v>
      </c>
      <c r="B40" s="18" t="s">
        <v>51</v>
      </c>
    </row>
    <row r="41" customFormat="false" ht="15" hidden="false" customHeight="false" outlineLevel="0" collapsed="false">
      <c r="A41" s="16" t="s">
        <v>52</v>
      </c>
      <c r="B41" s="18" t="s">
        <v>53</v>
      </c>
    </row>
    <row r="42" customFormat="false" ht="15" hidden="false" customHeight="false" outlineLevel="0" collapsed="false">
      <c r="A42" s="16" t="s">
        <v>54</v>
      </c>
      <c r="B42" s="18" t="s">
        <v>55</v>
      </c>
    </row>
    <row r="43" customFormat="false" ht="15" hidden="false" customHeight="false" outlineLevel="0" collapsed="false">
      <c r="A43" s="16" t="s">
        <v>56</v>
      </c>
      <c r="B43" s="18" t="s">
        <v>57</v>
      </c>
    </row>
    <row r="44" customFormat="false" ht="15" hidden="false" customHeight="false" outlineLevel="0" collapsed="false">
      <c r="A44" s="16" t="s">
        <v>58</v>
      </c>
      <c r="B44" s="18" t="s">
        <v>59</v>
      </c>
    </row>
  </sheetData>
  <mergeCells count="6">
    <mergeCell ref="A4:B4"/>
    <mergeCell ref="A31:B31"/>
    <mergeCell ref="A32:B32"/>
    <mergeCell ref="A33:B33"/>
    <mergeCell ref="A34:B34"/>
    <mergeCell ref="A35:B35"/>
  </mergeCells>
  <hyperlinks>
    <hyperlink ref="A7" location="'Start Here'!A1" display="1. Start Here"/>
    <hyperlink ref="A8" location="'Executive Summary'!A1" display="2. Executive Summary"/>
    <hyperlink ref="A9" location="'Monthly P&amp;L'!A1" display="3. Monthly P&amp;L"/>
    <hyperlink ref="A10" location="'Budget vs Actual'!A1" display="4. Budget vs Actual"/>
    <hyperlink ref="A11" location="'Forecast &amp; Prior Year'!A1" display="5. Forecast &amp; Prior Year"/>
    <hyperlink ref="A12" location="'Entity &amp; Division'!A1" display="6. Entity &amp; Division"/>
    <hyperlink ref="A13" location="'GL &amp; Cost Drivers'!A1" display="7. GL &amp; Cost Drivers"/>
    <hyperlink ref="A14" location="'Gross Profit'!A1" display="8. Gross Profit"/>
    <hyperlink ref="A15" location="'Insights &amp; Actions'!A1" display="9. Insights &amp; Actions"/>
    <hyperlink ref="A16" location="'Data Quality'!A1" display="10. Data Quality"/>
    <hyperlink ref="A17" location="'Reconciliation &amp; QA'!A1" display="11. Reconciliation &amp; QA"/>
    <hyperlink ref="A18" location="'Definitions'!A1" display="12. Definition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G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0.71"/>
    <col collapsed="false" customWidth="true" hidden="false" outlineLevel="0" max="2" min="2" style="0" width="18.71"/>
    <col collapsed="false" customWidth="true" hidden="false" outlineLevel="0" max="3" min="3" style="0" width="14.71"/>
    <col collapsed="false" customWidth="true" hidden="false" outlineLevel="0" max="7" min="4" style="0" width="18.71"/>
  </cols>
  <sheetData>
    <row r="1" customFormat="false" ht="19.7" hidden="false" customHeight="false" outlineLevel="0" collapsed="false">
      <c r="A1" s="19" t="s">
        <v>60</v>
      </c>
      <c r="G1" s="5" t="s">
        <v>61</v>
      </c>
    </row>
    <row r="2" customFormat="false" ht="15" hidden="false" customHeight="false" outlineLevel="0" collapsed="false">
      <c r="A2" s="2" t="s">
        <v>62</v>
      </c>
    </row>
    <row r="3" customFormat="false" ht="60" hidden="false" customHeight="true" outlineLevel="0" collapsed="false">
      <c r="A3" s="3" t="s">
        <v>63</v>
      </c>
      <c r="B3" s="3"/>
      <c r="C3" s="3"/>
      <c r="D3" s="3"/>
      <c r="E3" s="3"/>
      <c r="F3" s="3"/>
      <c r="G3" s="3"/>
    </row>
    <row r="5" customFormat="false" ht="15" hidden="false" customHeight="false" outlineLevel="0" collapsed="false">
      <c r="A5" s="20" t="s">
        <v>64</v>
      </c>
      <c r="B5" s="21"/>
      <c r="C5" s="21"/>
      <c r="D5" s="21"/>
      <c r="E5" s="21"/>
      <c r="F5" s="21"/>
      <c r="G5" s="21"/>
    </row>
    <row r="6" customFormat="false" ht="21.75" hidden="false" customHeight="true" outlineLevel="0" collapsed="false">
      <c r="A6" s="22" t="s">
        <v>65</v>
      </c>
      <c r="B6" s="22" t="s">
        <v>66</v>
      </c>
      <c r="C6" s="22"/>
      <c r="D6" s="22" t="s">
        <v>67</v>
      </c>
    </row>
    <row r="7" customFormat="false" ht="15" hidden="false" customHeight="false" outlineLevel="0" collapsed="false">
      <c r="A7" s="23" t="s">
        <v>68</v>
      </c>
      <c r="B7" s="24" t="n">
        <f aca="false">'Monthly P&amp;L'!$C$45</f>
        <v>202649002.1522</v>
      </c>
      <c r="D7" s="5" t="s">
        <v>69</v>
      </c>
    </row>
    <row r="8" customFormat="false" ht="15" hidden="false" customHeight="false" outlineLevel="0" collapsed="false">
      <c r="A8" s="23" t="s">
        <v>70</v>
      </c>
      <c r="B8" s="24" t="n">
        <f aca="false">'Monthly P&amp;L'!$E$45</f>
        <v>109840984.25</v>
      </c>
      <c r="D8" s="5" t="s">
        <v>71</v>
      </c>
    </row>
    <row r="9" customFormat="false" ht="15" hidden="false" customHeight="false" outlineLevel="0" collapsed="false">
      <c r="A9" s="23" t="s">
        <v>72</v>
      </c>
      <c r="B9" s="25" t="n">
        <f aca="false">'Monthly P&amp;L'!$F$45</f>
        <v>0.542025783909381</v>
      </c>
      <c r="D9" s="5" t="s">
        <v>69</v>
      </c>
    </row>
    <row r="10" customFormat="false" ht="15" hidden="false" customHeight="false" outlineLevel="0" collapsed="false">
      <c r="A10" s="23" t="s">
        <v>73</v>
      </c>
      <c r="B10" s="24" t="n">
        <f aca="false">'Monthly P&amp;L'!$I$45</f>
        <v>26319246.1645001</v>
      </c>
      <c r="D10" s="5" t="s">
        <v>69</v>
      </c>
    </row>
    <row r="11" customFormat="false" ht="15" hidden="false" customHeight="false" outlineLevel="0" collapsed="false">
      <c r="A11" s="23" t="s">
        <v>74</v>
      </c>
      <c r="B11" s="25" t="n">
        <f aca="false">'Monthly P&amp;L'!$J$45</f>
        <v>0.129876021519874</v>
      </c>
      <c r="D11" s="5" t="s">
        <v>69</v>
      </c>
    </row>
    <row r="12" customFormat="false" ht="15" hidden="false" customHeight="false" outlineLevel="0" collapsed="false">
      <c r="A12" s="23" t="s">
        <v>75</v>
      </c>
      <c r="B12" s="24" t="n">
        <f aca="false">'Monthly P&amp;L'!$N$45</f>
        <v>58340</v>
      </c>
      <c r="D12" s="5" t="s">
        <v>69</v>
      </c>
    </row>
    <row r="13" customFormat="false" ht="15" hidden="false" customHeight="false" outlineLevel="0" collapsed="false">
      <c r="A13" s="23" t="s">
        <v>76</v>
      </c>
      <c r="B13" s="25" t="n">
        <f aca="false">'Monthly P&amp;L'!$O$52</f>
        <v>0.147921677634962</v>
      </c>
      <c r="D13" s="5" t="s">
        <v>77</v>
      </c>
    </row>
    <row r="14" customFormat="false" ht="15" hidden="false" customHeight="false" outlineLevel="0" collapsed="false">
      <c r="A14" s="23" t="s">
        <v>78</v>
      </c>
      <c r="B14" s="25" t="n">
        <f aca="false">'Monthly P&amp;L'!$O$53</f>
        <v>0.0089280978623878</v>
      </c>
      <c r="D14" s="5" t="s">
        <v>77</v>
      </c>
    </row>
    <row r="15" customFormat="false" ht="15" hidden="false" customHeight="false" outlineLevel="0" collapsed="false">
      <c r="A15" s="23" t="s">
        <v>79</v>
      </c>
      <c r="B15" s="24" t="n">
        <f aca="false">'Budget vs Actual'!$E$10</f>
        <v>-7023037.26149941</v>
      </c>
      <c r="D15" s="5" t="s">
        <v>80</v>
      </c>
    </row>
    <row r="16" customFormat="false" ht="15" hidden="false" customHeight="false" outlineLevel="0" collapsed="false">
      <c r="A16" s="23" t="s">
        <v>81</v>
      </c>
      <c r="B16" s="25" t="n">
        <f aca="false">'Budget vs Actual'!$G$10</f>
        <v>-0.0355741366235475</v>
      </c>
      <c r="D16" s="5" t="s">
        <v>80</v>
      </c>
    </row>
    <row r="17" customFormat="false" ht="15" hidden="false" customHeight="false" outlineLevel="0" collapsed="false">
      <c r="A17" s="23" t="s">
        <v>82</v>
      </c>
      <c r="B17" s="25" t="n">
        <f aca="false">'Budget vs Actual'!$G$11</f>
        <v>0.0641864653122166</v>
      </c>
      <c r="D17" s="5" t="s">
        <v>80</v>
      </c>
    </row>
    <row r="18" customFormat="false" ht="15" hidden="false" customHeight="false" outlineLevel="0" collapsed="false">
      <c r="A18" s="23" t="s">
        <v>83</v>
      </c>
      <c r="B18" s="25" t="n">
        <f aca="false">'Budget vs Actual'!$G$12</f>
        <v>0.0637402322924516</v>
      </c>
      <c r="D18" s="5" t="s">
        <v>80</v>
      </c>
    </row>
    <row r="19" customFormat="false" ht="15" hidden="false" customHeight="false" outlineLevel="0" collapsed="false">
      <c r="A19" s="23" t="s">
        <v>84</v>
      </c>
      <c r="B19" s="25" t="n">
        <f aca="false">'Budget vs Actual'!$G$13</f>
        <v>0.0641298265607633</v>
      </c>
      <c r="D19" s="5" t="s">
        <v>80</v>
      </c>
    </row>
    <row r="20" customFormat="false" ht="15" hidden="false" customHeight="false" outlineLevel="0" collapsed="false">
      <c r="A20" s="23" t="s">
        <v>85</v>
      </c>
      <c r="B20" s="24" t="n">
        <f aca="false">'Gross Profit'!$H$54</f>
        <v>-12318779.0605987</v>
      </c>
      <c r="D20" s="5" t="s">
        <v>86</v>
      </c>
    </row>
    <row r="21" customFormat="false" ht="15" hidden="false" customHeight="false" outlineLevel="0" collapsed="false">
      <c r="A21" s="23" t="s">
        <v>87</v>
      </c>
      <c r="B21" s="25" t="n">
        <f aca="false">'Forecast &amp; Prior Year'!$F$58</f>
        <v>0.911807922858669</v>
      </c>
      <c r="D21" s="5" t="s">
        <v>88</v>
      </c>
    </row>
    <row r="23" customFormat="false" ht="15" hidden="false" customHeight="false" outlineLevel="0" collapsed="false">
      <c r="A23" s="20" t="s">
        <v>89</v>
      </c>
      <c r="B23" s="21"/>
      <c r="C23" s="21"/>
      <c r="D23" s="21"/>
      <c r="E23" s="21"/>
      <c r="F23" s="21"/>
      <c r="G23" s="21"/>
    </row>
    <row r="24" customFormat="false" ht="27.75" hidden="false" customHeight="true" outlineLevel="0" collapsed="false">
      <c r="A24" s="26" t="s">
        <v>90</v>
      </c>
      <c r="B24" s="26"/>
      <c r="C24" s="26"/>
      <c r="D24" s="26"/>
      <c r="E24" s="26"/>
      <c r="F24" s="26"/>
      <c r="G24" s="26"/>
    </row>
    <row r="25" customFormat="false" ht="30" hidden="false" customHeight="true" outlineLevel="0" collapsed="false">
      <c r="A25" s="22" t="s">
        <v>91</v>
      </c>
      <c r="B25" s="22" t="s">
        <v>92</v>
      </c>
      <c r="C25" s="22" t="s">
        <v>93</v>
      </c>
      <c r="D25" s="22" t="s">
        <v>94</v>
      </c>
      <c r="E25" s="22" t="s">
        <v>67</v>
      </c>
    </row>
    <row r="26" customFormat="false" ht="43.5" hidden="false" customHeight="true" outlineLevel="0" collapsed="false">
      <c r="A26" s="6" t="s">
        <v>95</v>
      </c>
      <c r="B26" s="24" t="n">
        <f aca="false">'Forecast &amp; Prior Year'!$B$32</f>
        <v>24372</v>
      </c>
      <c r="C26" s="27" t="n">
        <f aca="false">'Forecast &amp; Prior Year'!$C$32</f>
        <v>0.0258799295421703</v>
      </c>
      <c r="D26" s="27" t="n">
        <f aca="false">'Forecast &amp; Prior Year'!$D$32</f>
        <v>0.0366611698623287</v>
      </c>
      <c r="E26" s="5" t="s">
        <v>96</v>
      </c>
    </row>
    <row r="27" customFormat="false" ht="43.5" hidden="false" customHeight="true" outlineLevel="0" collapsed="false">
      <c r="A27" s="6" t="s">
        <v>97</v>
      </c>
      <c r="B27" s="24" t="n">
        <f aca="false">'Forecast &amp; Prior Year'!$B$49</f>
        <v>29131</v>
      </c>
      <c r="C27" s="27" t="n">
        <f aca="false">'Forecast &amp; Prior Year'!$C$49</f>
        <v>0.268110999679075</v>
      </c>
      <c r="D27" s="27" t="n">
        <f aca="false">'Forecast &amp; Prior Year'!$D$49</f>
        <v>0.292638184485183</v>
      </c>
      <c r="E27" s="5" t="s">
        <v>98</v>
      </c>
    </row>
    <row r="28" customFormat="false" ht="43.5" hidden="false" customHeight="true" outlineLevel="0" collapsed="false">
      <c r="A28" s="6" t="s">
        <v>99</v>
      </c>
      <c r="B28" s="24" t="n">
        <f aca="false">'Forecast &amp; Prior Year'!$B$20</f>
        <v>30879</v>
      </c>
      <c r="C28" s="27" t="n">
        <f aca="false">'Forecast &amp; Prior Year'!$I$20</f>
        <v>0.265920195064456</v>
      </c>
      <c r="D28" s="28" t="s">
        <v>100</v>
      </c>
      <c r="E28" s="5" t="s">
        <v>101</v>
      </c>
    </row>
    <row r="30" customFormat="false" ht="43.5" hidden="false" customHeight="true" outlineLevel="0" collapsed="false">
      <c r="A30" s="29" t="s">
        <v>102</v>
      </c>
      <c r="B30" s="29"/>
      <c r="C30" s="29"/>
      <c r="D30" s="29"/>
      <c r="E30" s="29"/>
      <c r="F30" s="29"/>
      <c r="G30" s="29"/>
    </row>
    <row r="31" customFormat="false" ht="43.5" hidden="false" customHeight="true" outlineLevel="0" collapsed="false">
      <c r="A31" s="29" t="s">
        <v>103</v>
      </c>
      <c r="B31" s="29"/>
      <c r="C31" s="29"/>
      <c r="D31" s="29"/>
      <c r="E31" s="29"/>
      <c r="F31" s="29"/>
      <c r="G31" s="29"/>
    </row>
    <row r="34" customFormat="false" ht="15" hidden="false" customHeight="false" outlineLevel="0" collapsed="false">
      <c r="A34" s="16" t="s">
        <v>104</v>
      </c>
      <c r="B34" s="30" t="str">
        <f aca="false">'Reconciliation &amp; QA'!$B$5</f>
        <v>ALL 137 CHECKS PASS</v>
      </c>
      <c r="C34" s="31"/>
      <c r="D34" s="31"/>
      <c r="E34" s="31"/>
    </row>
    <row r="37" customFormat="false" ht="15" hidden="false" customHeight="false" outlineLevel="0" collapsed="false">
      <c r="A37" s="20" t="s">
        <v>105</v>
      </c>
      <c r="B37" s="21"/>
      <c r="C37" s="21"/>
      <c r="D37" s="21"/>
      <c r="E37" s="21"/>
      <c r="F37" s="21"/>
      <c r="G37" s="21"/>
    </row>
    <row r="38" customFormat="false" ht="30" hidden="false" customHeight="true" outlineLevel="0" collapsed="false">
      <c r="A38" s="22" t="s">
        <v>106</v>
      </c>
      <c r="B38" s="22" t="s">
        <v>68</v>
      </c>
      <c r="C38" s="22" t="s">
        <v>107</v>
      </c>
      <c r="D38" s="22" t="s">
        <v>108</v>
      </c>
    </row>
    <row r="39" customFormat="false" ht="15" hidden="false" customHeight="false" outlineLevel="0" collapsed="false">
      <c r="A39" s="32" t="s">
        <v>109</v>
      </c>
      <c r="B39" s="33" t="n">
        <f aca="false">'Monthly P&amp;L'!$C$51</f>
        <v>61295630.9945</v>
      </c>
      <c r="C39" s="33" t="n">
        <f aca="false">'Monthly P&amp;L'!$E$51</f>
        <v>32475369.3472</v>
      </c>
      <c r="D39" s="33" t="n">
        <f aca="false">'Monthly P&amp;L'!$I$51</f>
        <v>5637402.08220002</v>
      </c>
    </row>
    <row r="40" customFormat="false" ht="15" hidden="false" customHeight="false" outlineLevel="0" collapsed="false">
      <c r="A40" s="32" t="s">
        <v>110</v>
      </c>
      <c r="B40" s="33" t="n">
        <f aca="false">'Monthly P&amp;L'!$C$52</f>
        <v>70362583.5629</v>
      </c>
      <c r="C40" s="33" t="n">
        <f aca="false">'Monthly P&amp;L'!$E$52</f>
        <v>40119070.3551</v>
      </c>
      <c r="D40" s="33" t="n">
        <f aca="false">'Monthly P&amp;L'!$I$52</f>
        <v>11898678.6134</v>
      </c>
    </row>
    <row r="41" customFormat="false" ht="15" hidden="false" customHeight="false" outlineLevel="0" collapsed="false">
      <c r="A41" s="32" t="s">
        <v>111</v>
      </c>
      <c r="B41" s="33" t="n">
        <f aca="false">'Monthly P&amp;L'!$C$53</f>
        <v>70990787.5948</v>
      </c>
      <c r="C41" s="33" t="n">
        <f aca="false">'Monthly P&amp;L'!$E$53</f>
        <v>37246544.5477</v>
      </c>
      <c r="D41" s="33" t="n">
        <f aca="false">'Monthly P&amp;L'!$I$53</f>
        <v>8783165.46890001</v>
      </c>
    </row>
    <row r="44" customFormat="false" ht="15" hidden="false" customHeight="false" outlineLevel="0" collapsed="false">
      <c r="A44" s="20" t="s">
        <v>112</v>
      </c>
      <c r="B44" s="21"/>
      <c r="C44" s="21"/>
      <c r="D44" s="21"/>
      <c r="E44" s="21"/>
      <c r="F44" s="21"/>
      <c r="G44" s="21"/>
    </row>
    <row r="45" customFormat="false" ht="21.75" hidden="false" customHeight="true" outlineLevel="0" collapsed="false">
      <c r="A45" s="22" t="s">
        <v>113</v>
      </c>
      <c r="B45" s="22" t="s">
        <v>114</v>
      </c>
      <c r="C45" s="22" t="s">
        <v>115</v>
      </c>
    </row>
    <row r="46" customFormat="false" ht="43.5" hidden="false" customHeight="true" outlineLevel="0" collapsed="false">
      <c r="A46" s="6" t="s">
        <v>116</v>
      </c>
      <c r="B46" s="34" t="n">
        <v>11</v>
      </c>
      <c r="C46" s="34" t="n">
        <v>2</v>
      </c>
    </row>
    <row r="47" customFormat="false" ht="43.5" hidden="false" customHeight="true" outlineLevel="0" collapsed="false">
      <c r="A47" s="6" t="s">
        <v>117</v>
      </c>
      <c r="B47" s="34" t="n">
        <v>11</v>
      </c>
      <c r="C47" s="34" t="n">
        <v>2</v>
      </c>
    </row>
    <row r="48" customFormat="false" ht="43.5" hidden="false" customHeight="true" outlineLevel="0" collapsed="false">
      <c r="A48" s="6" t="s">
        <v>118</v>
      </c>
      <c r="B48" s="34" t="n">
        <v>10</v>
      </c>
      <c r="C48" s="34" t="n">
        <v>2</v>
      </c>
    </row>
    <row r="49" customFormat="false" ht="43.5" hidden="false" customHeight="true" outlineLevel="0" collapsed="false">
      <c r="A49" s="6" t="s">
        <v>119</v>
      </c>
      <c r="B49" s="34" t="n">
        <v>10</v>
      </c>
      <c r="C49" s="34" t="n">
        <v>2</v>
      </c>
    </row>
    <row r="50" customFormat="false" ht="43.5" hidden="false" customHeight="true" outlineLevel="0" collapsed="false">
      <c r="A50" s="6" t="s">
        <v>120</v>
      </c>
      <c r="B50" s="34" t="n">
        <v>10</v>
      </c>
      <c r="C50" s="34" t="n">
        <v>2</v>
      </c>
    </row>
    <row r="51" customFormat="false" ht="43.5" hidden="false" customHeight="true" outlineLevel="0" collapsed="false">
      <c r="A51" s="6" t="s">
        <v>121</v>
      </c>
      <c r="B51" s="34" t="n">
        <v>10</v>
      </c>
      <c r="C51" s="34" t="n">
        <v>2</v>
      </c>
    </row>
    <row r="52" customFormat="false" ht="43.5" hidden="false" customHeight="true" outlineLevel="0" collapsed="false">
      <c r="A52" s="6" t="s">
        <v>122</v>
      </c>
      <c r="B52" s="34" t="n">
        <v>9</v>
      </c>
      <c r="C52" s="34" t="n">
        <v>2</v>
      </c>
    </row>
    <row r="55" customFormat="false" ht="15" hidden="false" customHeight="false" outlineLevel="0" collapsed="false">
      <c r="A55" s="20" t="s">
        <v>123</v>
      </c>
      <c r="B55" s="21"/>
      <c r="C55" s="21"/>
      <c r="D55" s="21"/>
      <c r="E55" s="21"/>
      <c r="F55" s="21"/>
      <c r="G55" s="21"/>
    </row>
    <row r="56" customFormat="false" ht="27.75" hidden="false" customHeight="true" outlineLevel="0" collapsed="false">
      <c r="A56" s="15" t="s">
        <v>124</v>
      </c>
      <c r="B56" s="15"/>
      <c r="C56" s="15"/>
      <c r="D56" s="15"/>
      <c r="E56" s="15"/>
      <c r="F56" s="15"/>
      <c r="G56" s="15"/>
    </row>
    <row r="57" customFormat="false" ht="27.75" hidden="false" customHeight="true" outlineLevel="0" collapsed="false">
      <c r="A57" s="15" t="s">
        <v>125</v>
      </c>
      <c r="B57" s="15"/>
      <c r="C57" s="15"/>
      <c r="D57" s="15"/>
      <c r="E57" s="15"/>
      <c r="F57" s="15"/>
      <c r="G57" s="15"/>
    </row>
    <row r="58" customFormat="false" ht="27.75" hidden="false" customHeight="true" outlineLevel="0" collapsed="false">
      <c r="A58" s="15" t="s">
        <v>126</v>
      </c>
      <c r="B58" s="15"/>
      <c r="C58" s="15"/>
      <c r="D58" s="15"/>
      <c r="E58" s="15"/>
      <c r="F58" s="15"/>
      <c r="G58" s="15"/>
    </row>
    <row r="59" customFormat="false" ht="27.75" hidden="false" customHeight="true" outlineLevel="0" collapsed="false">
      <c r="A59" s="15" t="s">
        <v>127</v>
      </c>
      <c r="B59" s="15"/>
      <c r="C59" s="15"/>
      <c r="D59" s="15"/>
      <c r="E59" s="15"/>
      <c r="F59" s="15"/>
      <c r="G59" s="15"/>
    </row>
    <row r="60" customFormat="false" ht="27.75" hidden="false" customHeight="true" outlineLevel="0" collapsed="false">
      <c r="A60" s="15" t="s">
        <v>128</v>
      </c>
      <c r="B60" s="15"/>
      <c r="C60" s="15"/>
      <c r="D60" s="15"/>
      <c r="E60" s="15"/>
      <c r="F60" s="15"/>
      <c r="G60" s="15"/>
    </row>
  </sheetData>
  <mergeCells count="10">
    <mergeCell ref="A3:G3"/>
    <mergeCell ref="A24:G24"/>
    <mergeCell ref="A30:G30"/>
    <mergeCell ref="A31:G31"/>
    <mergeCell ref="C34:E34"/>
    <mergeCell ref="A56:G56"/>
    <mergeCell ref="A57:G57"/>
    <mergeCell ref="A58:G58"/>
    <mergeCell ref="A59:G59"/>
    <mergeCell ref="A60:G60"/>
  </mergeCells>
  <conditionalFormatting sqref="B34">
    <cfRule type="containsText" priority="2" operator="containsText" aboveAverage="0" equalAverage="0" bottom="0" percent="0" rank="0" text="FAIL" dxfId="0">
      <formula>NOT(ISERROR(SEARCH("FAIL",B34)))</formula>
    </cfRule>
    <cfRule type="containsText" priority="3" operator="containsText" aboveAverage="0" equalAverage="0" bottom="0" percent="0" rank="0" text="PASS" dxfId="1">
      <formula>NOT(ISERROR(SEARCH("PASS",B34)))</formula>
    </cfRule>
  </conditionalFormatting>
  <hyperlinks>
    <hyperlink ref="G1" location="'Start Here'!A1" display="Back to Start Here"/>
    <hyperlink ref="D7" location="'Monthly P&amp;L'!A1" display="Monthly P&amp;L"/>
    <hyperlink ref="D8" location="'Monthly P&amp;L'!A1" display="Monthly P&amp;L / Gross Profit"/>
    <hyperlink ref="D9" location="'Monthly P&amp;L'!A1" display="Monthly P&amp;L"/>
    <hyperlink ref="D10" location="'Monthly P&amp;L'!A1" display="Monthly P&amp;L"/>
    <hyperlink ref="D11" location="'Monthly P&amp;L'!A1" display="Monthly P&amp;L"/>
    <hyperlink ref="D12" location="'Monthly P&amp;L'!A1" display="Monthly P&amp;L"/>
    <hyperlink ref="D13" location="'Monthly P&amp;L'!A1" display="Monthly P&amp;L (calendar-year block)"/>
    <hyperlink ref="D14" location="'Monthly P&amp;L'!A1" display="Monthly P&amp;L (calendar-year block)"/>
    <hyperlink ref="D15" location="'Budget vs Actual'!A1" display="Budget vs Actual A1"/>
    <hyperlink ref="D16" location="'Budget vs Actual'!A1" display="Budget vs Actual A1"/>
    <hyperlink ref="D17" location="'Budget vs Actual'!A1" display="Budget vs Actual A1"/>
    <hyperlink ref="D18" location="'Budget vs Actual'!A1" display="Budget vs Actual A1"/>
    <hyperlink ref="D19" location="'Budget vs Actual'!A1" display="Budget vs Actual A1"/>
    <hyperlink ref="D20" location="'Gross Profit'!A1" display="Gross Profit GP3"/>
    <hyperlink ref="D21" location="'Forecast &amp; Prior Year'!A1" display="Forecast &amp; Prior Year F4"/>
    <hyperlink ref="E26" location="'Forecast &amp; Prior Year'!A1" display="Forecast &amp; Prior Year F3"/>
    <hyperlink ref="E27" location="'Forecast &amp; Prior Year'!A1" display="Forecast &amp; Prior Year F3b"/>
    <hyperlink ref="E28" location="'Forecast &amp; Prior Year'!A1" display="Forecast &amp; Prior Year F2"/>
  </hyperlink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rowBreaks count="1" manualBreakCount="1">
    <brk id="36" man="true" max="16383" min="0"/>
  </row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DC3E6"/>
    <pageSetUpPr fitToPage="true"/>
  </sheetPr>
  <dimension ref="A1:O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71"/>
    <col collapsed="false" customWidth="true" hidden="false" outlineLevel="0" max="2" min="2" style="0" width="7.71"/>
    <col collapsed="false" customWidth="true" hidden="false" outlineLevel="0" max="4" min="3" style="0" width="15.71"/>
    <col collapsed="false" customWidth="true" hidden="false" outlineLevel="0" max="5" min="5" style="0" width="17.71"/>
    <col collapsed="false" customWidth="true" hidden="false" outlineLevel="0" max="6" min="6" style="0" width="11.71"/>
    <col collapsed="false" customWidth="true" hidden="false" outlineLevel="0" max="8" min="7" style="0" width="15.71"/>
    <col collapsed="false" customWidth="true" hidden="false" outlineLevel="0" max="9" min="9" style="0" width="17.71"/>
    <col collapsed="false" customWidth="true" hidden="false" outlineLevel="0" max="10" min="10" style="0" width="10.71"/>
    <col collapsed="false" customWidth="true" hidden="false" outlineLevel="0" max="11" min="11" style="0" width="13.71"/>
    <col collapsed="false" customWidth="true" hidden="false" outlineLevel="0" max="12" min="12" style="0" width="14.71"/>
    <col collapsed="false" customWidth="true" hidden="false" outlineLevel="0" max="13" min="13" style="0" width="13.71"/>
    <col collapsed="false" customWidth="true" hidden="false" outlineLevel="0" max="14" min="14" style="0" width="11.71"/>
    <col collapsed="false" customWidth="true" hidden="false" outlineLevel="0" max="15" min="15" style="0" width="10.71"/>
  </cols>
  <sheetData>
    <row r="1" customFormat="false" ht="19.7" hidden="false" customHeight="false" outlineLevel="0" collapsed="false">
      <c r="A1" s="19" t="s">
        <v>129</v>
      </c>
      <c r="O1" s="5" t="s">
        <v>61</v>
      </c>
    </row>
    <row r="2" customFormat="false" ht="15" hidden="false" customHeight="false" outlineLevel="0" collapsed="false">
      <c r="A2" s="2" t="s">
        <v>130</v>
      </c>
    </row>
    <row r="3" customFormat="false" ht="45" hidden="false" customHeight="true" outlineLevel="0" collapsed="false">
      <c r="A3" s="3" t="s">
        <v>131</v>
      </c>
      <c r="B3" s="3"/>
      <c r="C3" s="3"/>
      <c r="D3" s="3"/>
      <c r="E3" s="3"/>
      <c r="F3" s="3"/>
      <c r="G3" s="3"/>
      <c r="H3" s="3"/>
      <c r="I3" s="3"/>
      <c r="J3" s="3"/>
      <c r="K3" s="3"/>
      <c r="L3" s="3"/>
      <c r="M3" s="3"/>
      <c r="N3" s="3"/>
      <c r="O3" s="3"/>
    </row>
    <row r="5" customFormat="false" ht="15" hidden="false" customHeight="false" outlineLevel="0" collapsed="false">
      <c r="A5" s="16" t="s">
        <v>132</v>
      </c>
      <c r="D5" s="35" t="n">
        <v>0.1</v>
      </c>
      <c r="E5" s="2" t="s">
        <v>133</v>
      </c>
    </row>
    <row r="7" customFormat="false" ht="61.5" hidden="false" customHeight="true" outlineLevel="0" collapsed="false">
      <c r="A7" s="22" t="s">
        <v>134</v>
      </c>
      <c r="B7" s="22" t="s">
        <v>106</v>
      </c>
      <c r="C7" s="22" t="s">
        <v>68</v>
      </c>
      <c r="D7" s="22" t="s">
        <v>135</v>
      </c>
      <c r="E7" s="22" t="s">
        <v>136</v>
      </c>
      <c r="F7" s="22" t="s">
        <v>72</v>
      </c>
      <c r="G7" s="22" t="s">
        <v>137</v>
      </c>
      <c r="H7" s="22" t="s">
        <v>138</v>
      </c>
      <c r="I7" s="22" t="s">
        <v>73</v>
      </c>
      <c r="J7" s="22" t="s">
        <v>74</v>
      </c>
      <c r="K7" s="22" t="s">
        <v>139</v>
      </c>
      <c r="L7" s="22" t="s">
        <v>140</v>
      </c>
      <c r="M7" s="22" t="s">
        <v>141</v>
      </c>
      <c r="N7" s="22" t="s">
        <v>142</v>
      </c>
      <c r="O7" s="22" t="s">
        <v>143</v>
      </c>
    </row>
    <row r="8" customFormat="false" ht="15" hidden="false" customHeight="false" outlineLevel="0" collapsed="false">
      <c r="A8" s="36" t="n">
        <v>44927</v>
      </c>
      <c r="B8" s="34" t="n">
        <v>2023</v>
      </c>
      <c r="C8" s="37" t="n">
        <v>4261970.3057</v>
      </c>
      <c r="D8" s="37" t="n">
        <v>2086530.5565</v>
      </c>
      <c r="E8" s="38" t="n">
        <f aca="false">C8-D8</f>
        <v>2175439.7492</v>
      </c>
      <c r="F8" s="39" t="n">
        <f aca="false">IF(C8&gt;0,E8/C8,"n/a")</f>
        <v>0.51043052700075</v>
      </c>
      <c r="G8" s="37" t="n">
        <v>1300449.4451</v>
      </c>
      <c r="H8" s="37" t="n">
        <v>907347.8839</v>
      </c>
      <c r="I8" s="38" t="n">
        <f aca="false">C8-D8-G8-H8</f>
        <v>-32357.5798000012</v>
      </c>
      <c r="J8" s="39" t="n">
        <f aca="false">IF(C8&gt;0,I8/C8,"n/a")</f>
        <v>-0.00759216453402454</v>
      </c>
      <c r="K8" s="37" t="n">
        <v>27578.96</v>
      </c>
      <c r="L8" s="37" t="n">
        <v>286.8082</v>
      </c>
      <c r="M8" s="37" t="n">
        <v>102547.78</v>
      </c>
      <c r="N8" s="37" t="n">
        <v>1670</v>
      </c>
      <c r="O8" s="40" t="s">
        <v>100</v>
      </c>
    </row>
    <row r="9" customFormat="false" ht="15" hidden="false" customHeight="false" outlineLevel="0" collapsed="false">
      <c r="A9" s="36" t="n">
        <v>44958</v>
      </c>
      <c r="B9" s="34" t="n">
        <v>2023</v>
      </c>
      <c r="C9" s="37" t="n">
        <v>4952634.8402</v>
      </c>
      <c r="D9" s="37" t="n">
        <v>2254534.9895</v>
      </c>
      <c r="E9" s="38" t="n">
        <f aca="false">C9-D9</f>
        <v>2698099.8507</v>
      </c>
      <c r="F9" s="39" t="n">
        <f aca="false">IF(C9&gt;0,E9/C9,"n/a")</f>
        <v>0.544780695075643</v>
      </c>
      <c r="G9" s="37" t="n">
        <v>989695.0865</v>
      </c>
      <c r="H9" s="37" t="n">
        <v>1278087.1199</v>
      </c>
      <c r="I9" s="38" t="n">
        <f aca="false">C9-D9-G9-H9</f>
        <v>430317.644299999</v>
      </c>
      <c r="J9" s="39" t="n">
        <f aca="false">IF(C9&gt;0,I9/C9,"n/a")</f>
        <v>0.0868866084790176</v>
      </c>
      <c r="K9" s="37" t="n">
        <v>64012.01</v>
      </c>
      <c r="L9" s="37" t="n">
        <v>17800.8243</v>
      </c>
      <c r="M9" s="37" t="n">
        <v>76795.04</v>
      </c>
      <c r="N9" s="37" t="n">
        <v>1637</v>
      </c>
      <c r="O9" s="39" t="n">
        <f aca="false">IF(C8&gt;0,C9/C8-1,"n/a")</f>
        <v>0.16205287342718</v>
      </c>
    </row>
    <row r="10" customFormat="false" ht="15" hidden="false" customHeight="false" outlineLevel="0" collapsed="false">
      <c r="A10" s="36" t="n">
        <v>44986</v>
      </c>
      <c r="B10" s="34" t="n">
        <v>2023</v>
      </c>
      <c r="C10" s="37" t="n">
        <v>4520527.2834</v>
      </c>
      <c r="D10" s="37" t="n">
        <v>2246171.7922</v>
      </c>
      <c r="E10" s="38" t="n">
        <f aca="false">C10-D10</f>
        <v>2274355.4912</v>
      </c>
      <c r="F10" s="39" t="n">
        <f aca="false">IF(C10&gt;0,E10/C10,"n/a")</f>
        <v>0.503117302167769</v>
      </c>
      <c r="G10" s="37" t="n">
        <v>1227630.7325</v>
      </c>
      <c r="H10" s="37" t="n">
        <v>1404752.0121</v>
      </c>
      <c r="I10" s="38" t="n">
        <f aca="false">C10-D10-G10-H10</f>
        <v>-358027.253399998</v>
      </c>
      <c r="J10" s="39" t="n">
        <f aca="false">IF(C10&gt;0,I10/C10,"n/a")</f>
        <v>-0.0792003301727042</v>
      </c>
      <c r="K10" s="37" t="n">
        <v>19335.1116</v>
      </c>
      <c r="L10" s="37" t="n">
        <v>20273.6206</v>
      </c>
      <c r="M10" s="37" t="n">
        <v>87042.44</v>
      </c>
      <c r="N10" s="37" t="n">
        <v>1598</v>
      </c>
      <c r="O10" s="39" t="n">
        <f aca="false">IF(C9&gt;0,C10/C9-1,"n/a")</f>
        <v>-0.0872480145906629</v>
      </c>
    </row>
    <row r="11" customFormat="false" ht="15" hidden="false" customHeight="false" outlineLevel="0" collapsed="false">
      <c r="A11" s="36" t="n">
        <v>45017</v>
      </c>
      <c r="B11" s="34" t="n">
        <v>2023</v>
      </c>
      <c r="C11" s="37" t="n">
        <v>5762118.2686</v>
      </c>
      <c r="D11" s="37" t="n">
        <v>2506781.0404</v>
      </c>
      <c r="E11" s="38" t="n">
        <f aca="false">C11-D11</f>
        <v>3255337.22820001</v>
      </c>
      <c r="F11" s="39" t="n">
        <f aca="false">IF(C11&gt;0,E11/C11,"n/a")</f>
        <v>0.564954948241793</v>
      </c>
      <c r="G11" s="37" t="n">
        <v>663677.3068</v>
      </c>
      <c r="H11" s="37" t="n">
        <v>1182994.9801</v>
      </c>
      <c r="I11" s="38" t="n">
        <f aca="false">C11-D11-G11-H11</f>
        <v>1408664.94130001</v>
      </c>
      <c r="J11" s="39" t="n">
        <f aca="false">IF(C11&gt;0,I11/C11,"n/a")</f>
        <v>0.244469980593138</v>
      </c>
      <c r="K11" s="37" t="n">
        <v>56383.1602</v>
      </c>
      <c r="L11" s="37" t="n">
        <v>7004.82</v>
      </c>
      <c r="M11" s="37" t="n">
        <v>75446.31</v>
      </c>
      <c r="N11" s="37" t="n">
        <v>1646</v>
      </c>
      <c r="O11" s="39" t="n">
        <f aca="false">IF(C10&gt;0,C11/C10-1,"n/a")</f>
        <v>0.274656230869193</v>
      </c>
    </row>
    <row r="12" customFormat="false" ht="15" hidden="false" customHeight="false" outlineLevel="0" collapsed="false">
      <c r="A12" s="36" t="n">
        <v>45047</v>
      </c>
      <c r="B12" s="34" t="n">
        <v>2023</v>
      </c>
      <c r="C12" s="37" t="n">
        <v>5278866.61959999</v>
      </c>
      <c r="D12" s="37" t="n">
        <v>2759483.959</v>
      </c>
      <c r="E12" s="38" t="n">
        <f aca="false">C12-D12</f>
        <v>2519382.66059999</v>
      </c>
      <c r="F12" s="39" t="n">
        <f aca="false">IF(C12&gt;0,E12/C12,"n/a")</f>
        <v>0.477258252982891</v>
      </c>
      <c r="G12" s="37" t="n">
        <v>920661.3715</v>
      </c>
      <c r="H12" s="37" t="n">
        <v>969810.3443</v>
      </c>
      <c r="I12" s="38" t="n">
        <f aca="false">C12-D12-G12-H12</f>
        <v>628910.944799991</v>
      </c>
      <c r="J12" s="39" t="n">
        <f aca="false">IF(C12&gt;0,I12/C12,"n/a")</f>
        <v>0.119137494867724</v>
      </c>
      <c r="K12" s="37" t="n">
        <v>89978.81</v>
      </c>
      <c r="L12" s="37" t="n">
        <v>7703.1698</v>
      </c>
      <c r="M12" s="37" t="n">
        <v>76859.84</v>
      </c>
      <c r="N12" s="37" t="n">
        <v>1651</v>
      </c>
      <c r="O12" s="39" t="n">
        <f aca="false">IF(C11&gt;0,C12/C11-1,"n/a")</f>
        <v>-0.0838670132186346</v>
      </c>
    </row>
    <row r="13" customFormat="false" ht="15" hidden="false" customHeight="false" outlineLevel="0" collapsed="false">
      <c r="A13" s="36" t="n">
        <v>45078</v>
      </c>
      <c r="B13" s="34" t="n">
        <v>2023</v>
      </c>
      <c r="C13" s="37" t="n">
        <v>5344108.4734</v>
      </c>
      <c r="D13" s="37" t="n">
        <v>2509076.2111</v>
      </c>
      <c r="E13" s="38" t="n">
        <f aca="false">C13-D13</f>
        <v>2835032.2623</v>
      </c>
      <c r="F13" s="39" t="n">
        <f aca="false">IF(C13&gt;0,E13/C13,"n/a")</f>
        <v>0.530496766001517</v>
      </c>
      <c r="G13" s="37" t="n">
        <v>953553.8362</v>
      </c>
      <c r="H13" s="37" t="n">
        <v>908585.8125</v>
      </c>
      <c r="I13" s="38" t="n">
        <f aca="false">C13-D13-G13-H13</f>
        <v>972892.613600002</v>
      </c>
      <c r="J13" s="39" t="n">
        <f aca="false">IF(C13&gt;0,I13/C13,"n/a")</f>
        <v>0.182049563260649</v>
      </c>
      <c r="K13" s="37" t="n">
        <v>45497.7</v>
      </c>
      <c r="L13" s="37" t="n">
        <v>12238.1687</v>
      </c>
      <c r="M13" s="37" t="n">
        <v>98367.2208</v>
      </c>
      <c r="N13" s="37" t="n">
        <v>1605</v>
      </c>
      <c r="O13" s="39" t="n">
        <f aca="false">IF(C12&gt;0,C13/C12-1,"n/a")</f>
        <v>0.0123590646442502</v>
      </c>
    </row>
    <row r="14" customFormat="false" ht="15" hidden="false" customHeight="false" outlineLevel="0" collapsed="false">
      <c r="A14" s="36" t="n">
        <v>45108</v>
      </c>
      <c r="B14" s="34" t="n">
        <v>2023</v>
      </c>
      <c r="C14" s="37" t="n">
        <v>6347254.9649</v>
      </c>
      <c r="D14" s="37" t="n">
        <v>2487990.5444</v>
      </c>
      <c r="E14" s="38" t="n">
        <f aca="false">C14-D14</f>
        <v>3859264.4205</v>
      </c>
      <c r="F14" s="39" t="n">
        <f aca="false">IF(C14&gt;0,E14/C14,"n/a")</f>
        <v>0.608021017249431</v>
      </c>
      <c r="G14" s="37" t="n">
        <v>1420978.3055</v>
      </c>
      <c r="H14" s="37" t="n">
        <v>1331740.4668</v>
      </c>
      <c r="I14" s="38" t="n">
        <f aca="false">C14-D14-G14-H14</f>
        <v>1106545.6482</v>
      </c>
      <c r="J14" s="39" t="n">
        <f aca="false">IF(C14&gt;0,I14/C14,"n/a")</f>
        <v>0.174334520090833</v>
      </c>
      <c r="K14" s="37" t="n">
        <v>56450.6956</v>
      </c>
      <c r="L14" s="37" t="n">
        <v>36953.56</v>
      </c>
      <c r="M14" s="37" t="n">
        <v>114487.936</v>
      </c>
      <c r="N14" s="37" t="n">
        <v>1652</v>
      </c>
      <c r="O14" s="39" t="n">
        <f aca="false">IF(C13&gt;0,C14/C13-1,"n/a")</f>
        <v>0.187710727896543</v>
      </c>
    </row>
    <row r="15" customFormat="false" ht="15" hidden="false" customHeight="false" outlineLevel="0" collapsed="false">
      <c r="A15" s="36" t="n">
        <v>45139</v>
      </c>
      <c r="B15" s="34" t="n">
        <v>2023</v>
      </c>
      <c r="C15" s="37" t="n">
        <v>4916757.7852</v>
      </c>
      <c r="D15" s="37" t="n">
        <v>2729906.7424</v>
      </c>
      <c r="E15" s="38" t="n">
        <f aca="false">C15-D15</f>
        <v>2186851.0428</v>
      </c>
      <c r="F15" s="39" t="n">
        <f aca="false">IF(C15&gt;0,E15/C15,"n/a")</f>
        <v>0.444775020112374</v>
      </c>
      <c r="G15" s="37" t="n">
        <v>1478533.428</v>
      </c>
      <c r="H15" s="37" t="n">
        <v>1252506.3663</v>
      </c>
      <c r="I15" s="38" t="n">
        <f aca="false">C15-D15-G15-H15</f>
        <v>-544188.751499997</v>
      </c>
      <c r="J15" s="39" t="n">
        <f aca="false">IF(C15&gt;0,I15/C15,"n/a")</f>
        <v>-0.110680406738373</v>
      </c>
      <c r="K15" s="37" t="n">
        <v>23719.3</v>
      </c>
      <c r="L15" s="37" t="n">
        <v>20994.4689</v>
      </c>
      <c r="M15" s="37" t="n">
        <v>110922.63</v>
      </c>
      <c r="N15" s="37" t="n">
        <v>1644</v>
      </c>
      <c r="O15" s="39" t="n">
        <f aca="false">IF(C14&gt;0,C15/C14-1,"n/a")</f>
        <v>-0.225372572491664</v>
      </c>
    </row>
    <row r="16" customFormat="false" ht="15" hidden="false" customHeight="false" outlineLevel="0" collapsed="false">
      <c r="A16" s="36" t="n">
        <v>45170</v>
      </c>
      <c r="B16" s="34" t="n">
        <v>2023</v>
      </c>
      <c r="C16" s="37" t="n">
        <v>5542771.82680001</v>
      </c>
      <c r="D16" s="37" t="n">
        <v>2149206.5231</v>
      </c>
      <c r="E16" s="38" t="n">
        <f aca="false">C16-D16</f>
        <v>3393565.3037</v>
      </c>
      <c r="F16" s="39" t="n">
        <f aca="false">IF(C16&gt;0,E16/C16,"n/a")</f>
        <v>0.612250586843876</v>
      </c>
      <c r="G16" s="37" t="n">
        <v>1056920.615</v>
      </c>
      <c r="H16" s="37" t="n">
        <v>891852.9221</v>
      </c>
      <c r="I16" s="38" t="n">
        <f aca="false">C16-D16-G16-H16</f>
        <v>1444791.7666</v>
      </c>
      <c r="J16" s="39" t="n">
        <f aca="false">IF(C16&gt;0,I16/C16,"n/a")</f>
        <v>0.260662320540466</v>
      </c>
      <c r="K16" s="37" t="n">
        <v>86655.6333</v>
      </c>
      <c r="L16" s="37" t="n">
        <v>28024.1806</v>
      </c>
      <c r="M16" s="37" t="n">
        <v>24332.717</v>
      </c>
      <c r="N16" s="37" t="n">
        <v>1580</v>
      </c>
      <c r="O16" s="39" t="n">
        <f aca="false">IF(C15&gt;0,C16/C15-1,"n/a")</f>
        <v>0.127322530201585</v>
      </c>
    </row>
    <row r="17" customFormat="false" ht="15" hidden="false" customHeight="false" outlineLevel="0" collapsed="false">
      <c r="A17" s="36" t="n">
        <v>45200</v>
      </c>
      <c r="B17" s="34" t="n">
        <v>2023</v>
      </c>
      <c r="C17" s="37" t="n">
        <v>4803300.8607</v>
      </c>
      <c r="D17" s="37" t="n">
        <v>2128271.6451</v>
      </c>
      <c r="E17" s="38" t="n">
        <f aca="false">C17-D17</f>
        <v>2675029.2156</v>
      </c>
      <c r="F17" s="39" t="n">
        <f aca="false">IF(C17&gt;0,E17/C17,"n/a")</f>
        <v>0.556914774480765</v>
      </c>
      <c r="G17" s="37" t="n">
        <v>1362384.3968</v>
      </c>
      <c r="H17" s="37" t="n">
        <v>1200679.9268</v>
      </c>
      <c r="I17" s="38" t="n">
        <f aca="false">C17-D17-G17-H17</f>
        <v>111964.892000002</v>
      </c>
      <c r="J17" s="39" t="n">
        <f aca="false">IF(C17&gt;0,I17/C17,"n/a")</f>
        <v>0.0233099893692033</v>
      </c>
      <c r="K17" s="37" t="n">
        <v>34374.1954</v>
      </c>
      <c r="L17" s="37" t="n">
        <v>12680.7705</v>
      </c>
      <c r="M17" s="37" t="n">
        <v>69099.7617</v>
      </c>
      <c r="N17" s="37" t="n">
        <v>1630</v>
      </c>
      <c r="O17" s="39" t="n">
        <f aca="false">IF(C16&gt;0,C17/C16-1,"n/a")</f>
        <v>-0.133411763862364</v>
      </c>
    </row>
    <row r="18" customFormat="false" ht="15" hidden="false" customHeight="false" outlineLevel="0" collapsed="false">
      <c r="A18" s="36" t="n">
        <v>45231</v>
      </c>
      <c r="B18" s="34" t="n">
        <v>2023</v>
      </c>
      <c r="C18" s="37" t="n">
        <v>4905385.92490001</v>
      </c>
      <c r="D18" s="37" t="n">
        <v>2495875.9664</v>
      </c>
      <c r="E18" s="38" t="n">
        <f aca="false">C18-D18</f>
        <v>2409509.95850001</v>
      </c>
      <c r="F18" s="39" t="n">
        <f aca="false">IF(C18&gt;0,E18/C18,"n/a")</f>
        <v>0.491196818229775</v>
      </c>
      <c r="G18" s="37" t="n">
        <v>875813.5505</v>
      </c>
      <c r="H18" s="37" t="n">
        <v>1097601.9288</v>
      </c>
      <c r="I18" s="38" t="n">
        <f aca="false">C18-D18-G18-H18</f>
        <v>436094.479200007</v>
      </c>
      <c r="J18" s="39" t="n">
        <f aca="false">IF(C18&gt;0,I18/C18,"n/a")</f>
        <v>0.0889011559694758</v>
      </c>
      <c r="K18" s="37" t="n">
        <v>21737.31</v>
      </c>
      <c r="L18" s="37" t="n">
        <v>20908.09</v>
      </c>
      <c r="M18" s="37" t="n">
        <v>38621.8269</v>
      </c>
      <c r="N18" s="37" t="n">
        <v>1609</v>
      </c>
      <c r="O18" s="39" t="n">
        <f aca="false">IF(C17&gt;0,C18/C17-1,"n/a")</f>
        <v>0.021253106386746</v>
      </c>
    </row>
    <row r="19" customFormat="false" ht="15" hidden="false" customHeight="false" outlineLevel="0" collapsed="false">
      <c r="A19" s="36" t="n">
        <v>45261</v>
      </c>
      <c r="B19" s="34" t="n">
        <v>2023</v>
      </c>
      <c r="C19" s="37" t="n">
        <v>4659933.84110001</v>
      </c>
      <c r="D19" s="37" t="n">
        <v>2466431.6772</v>
      </c>
      <c r="E19" s="38" t="n">
        <f aca="false">C19-D19</f>
        <v>2193502.1639</v>
      </c>
      <c r="F19" s="39" t="n">
        <f aca="false">IF(C19&gt;0,E19/C19,"n/a")</f>
        <v>0.47071530169669</v>
      </c>
      <c r="G19" s="37" t="n">
        <v>1134455.493</v>
      </c>
      <c r="H19" s="37" t="n">
        <v>1027253.934</v>
      </c>
      <c r="I19" s="38" t="n">
        <f aca="false">C19-D19-G19-H19</f>
        <v>31792.7369000039</v>
      </c>
      <c r="J19" s="39" t="n">
        <f aca="false">IF(C19&gt;0,I19/C19,"n/a")</f>
        <v>0.00682257259096601</v>
      </c>
      <c r="K19" s="37" t="n">
        <v>31833.16</v>
      </c>
      <c r="L19" s="37" t="n">
        <v>19408.2</v>
      </c>
      <c r="M19" s="37" t="n">
        <v>110341.38</v>
      </c>
      <c r="N19" s="37" t="n">
        <v>1596</v>
      </c>
      <c r="O19" s="39" t="n">
        <f aca="false">IF(C18&gt;0,C19/C18-1,"n/a")</f>
        <v>-0.0500372626247555</v>
      </c>
    </row>
    <row r="20" customFormat="false" ht="15" hidden="false" customHeight="false" outlineLevel="0" collapsed="false">
      <c r="A20" s="36" t="n">
        <v>45292</v>
      </c>
      <c r="B20" s="34" t="n">
        <v>2024</v>
      </c>
      <c r="C20" s="37" t="n">
        <v>4879215.4784</v>
      </c>
      <c r="D20" s="37" t="n">
        <v>1782755.4433</v>
      </c>
      <c r="E20" s="38" t="n">
        <f aca="false">C20-D20</f>
        <v>3096460.0351</v>
      </c>
      <c r="F20" s="39" t="n">
        <f aca="false">IF(C20&gt;0,E20/C20,"n/a")</f>
        <v>0.634622522577215</v>
      </c>
      <c r="G20" s="37" t="n">
        <v>1023893.49</v>
      </c>
      <c r="H20" s="37" t="n">
        <v>1132483.3877</v>
      </c>
      <c r="I20" s="38" t="n">
        <f aca="false">C20-D20-G20-H20</f>
        <v>940083.1574</v>
      </c>
      <c r="J20" s="39" t="n">
        <f aca="false">IF(C20&gt;0,I20/C20,"n/a")</f>
        <v>0.192670965560282</v>
      </c>
      <c r="K20" s="37" t="n">
        <v>24064.38</v>
      </c>
      <c r="L20" s="37" t="n">
        <v>23968.43</v>
      </c>
      <c r="M20" s="37" t="n">
        <v>49330.7039</v>
      </c>
      <c r="N20" s="37" t="n">
        <v>1603</v>
      </c>
      <c r="O20" s="39" t="n">
        <f aca="false">IF(C19&gt;0,C20/C19-1,"n/a")</f>
        <v>0.0470568134178131</v>
      </c>
    </row>
    <row r="21" customFormat="false" ht="15" hidden="false" customHeight="false" outlineLevel="0" collapsed="false">
      <c r="A21" s="36" t="n">
        <v>45323</v>
      </c>
      <c r="B21" s="34" t="n">
        <v>2024</v>
      </c>
      <c r="C21" s="37" t="n">
        <v>6243377.0235</v>
      </c>
      <c r="D21" s="37" t="n">
        <v>2397469.0246</v>
      </c>
      <c r="E21" s="38" t="n">
        <f aca="false">C21-D21</f>
        <v>3845907.9989</v>
      </c>
      <c r="F21" s="39" t="n">
        <f aca="false">IF(C21&gt;0,E21/C21,"n/a")</f>
        <v>0.615998038309083</v>
      </c>
      <c r="G21" s="37" t="n">
        <v>1095229.2086</v>
      </c>
      <c r="H21" s="37" t="n">
        <v>1134003.4609</v>
      </c>
      <c r="I21" s="38" t="n">
        <f aca="false">C21-D21-G21-H21</f>
        <v>1616675.3294</v>
      </c>
      <c r="J21" s="39" t="n">
        <f aca="false">IF(C21&gt;0,I21/C21,"n/a")</f>
        <v>0.258942447863528</v>
      </c>
      <c r="K21" s="37" t="n">
        <v>84268.66</v>
      </c>
      <c r="L21" s="37" t="n">
        <v>5115.63</v>
      </c>
      <c r="M21" s="37" t="n">
        <v>49085.01</v>
      </c>
      <c r="N21" s="37" t="n">
        <v>1633</v>
      </c>
      <c r="O21" s="39" t="n">
        <f aca="false">IF(C20&gt;0,C21/C20-1,"n/a")</f>
        <v>0.279586247243857</v>
      </c>
    </row>
    <row r="22" customFormat="false" ht="15" hidden="false" customHeight="false" outlineLevel="0" collapsed="false">
      <c r="A22" s="36" t="n">
        <v>45352</v>
      </c>
      <c r="B22" s="34" t="n">
        <v>2024</v>
      </c>
      <c r="C22" s="37" t="n">
        <v>5228808.5297</v>
      </c>
      <c r="D22" s="37" t="n">
        <v>2393901.0604</v>
      </c>
      <c r="E22" s="38" t="n">
        <f aca="false">C22-D22</f>
        <v>2834907.4693</v>
      </c>
      <c r="F22" s="39" t="n">
        <f aca="false">IF(C22&gt;0,E22/C22,"n/a")</f>
        <v>0.542170831690916</v>
      </c>
      <c r="G22" s="37" t="n">
        <v>1180899.6294</v>
      </c>
      <c r="H22" s="37" t="n">
        <v>1467342.0667</v>
      </c>
      <c r="I22" s="38" t="n">
        <f aca="false">C22-D22-G22-H22</f>
        <v>186665.773200003</v>
      </c>
      <c r="J22" s="39" t="n">
        <f aca="false">IF(C22&gt;0,I22/C22,"n/a")</f>
        <v>0.035699485291865</v>
      </c>
      <c r="K22" s="37" t="n">
        <v>40640.2399</v>
      </c>
      <c r="L22" s="37" t="n">
        <v>19913.1633</v>
      </c>
      <c r="M22" s="37" t="n">
        <v>56376.6224</v>
      </c>
      <c r="N22" s="37" t="n">
        <v>1631</v>
      </c>
      <c r="O22" s="39" t="n">
        <f aca="false">IF(C21&gt;0,C22/C21-1,"n/a")</f>
        <v>-0.162503159745307</v>
      </c>
    </row>
    <row r="23" customFormat="false" ht="15" hidden="false" customHeight="false" outlineLevel="0" collapsed="false">
      <c r="A23" s="36" t="n">
        <v>45383</v>
      </c>
      <c r="B23" s="34" t="n">
        <v>2024</v>
      </c>
      <c r="C23" s="37" t="n">
        <v>5851094.3959</v>
      </c>
      <c r="D23" s="37" t="n">
        <v>2985560.3922</v>
      </c>
      <c r="E23" s="38" t="n">
        <f aca="false">C23-D23</f>
        <v>2865534.0037</v>
      </c>
      <c r="F23" s="39" t="n">
        <f aca="false">IF(C23&gt;0,E23/C23,"n/a")</f>
        <v>0.4897432531097</v>
      </c>
      <c r="G23" s="37" t="n">
        <v>1201340.5099</v>
      </c>
      <c r="H23" s="37" t="n">
        <v>1146429.1497</v>
      </c>
      <c r="I23" s="38" t="n">
        <f aca="false">C23-D23-G23-H23</f>
        <v>517764.3441</v>
      </c>
      <c r="J23" s="39" t="n">
        <f aca="false">IF(C23&gt;0,I23/C23,"n/a")</f>
        <v>0.08849017108027</v>
      </c>
      <c r="K23" s="37" t="n">
        <v>8287.85</v>
      </c>
      <c r="L23" s="37" t="n">
        <v>10118.6407</v>
      </c>
      <c r="M23" s="37" t="n">
        <v>40897.26</v>
      </c>
      <c r="N23" s="37" t="n">
        <v>1642</v>
      </c>
      <c r="O23" s="39" t="n">
        <f aca="false">IF(C22&gt;0,C23/C22-1,"n/a")</f>
        <v>0.119011025679248</v>
      </c>
    </row>
    <row r="24" customFormat="false" ht="15" hidden="false" customHeight="false" outlineLevel="0" collapsed="false">
      <c r="A24" s="36" t="n">
        <v>45413</v>
      </c>
      <c r="B24" s="34" t="n">
        <v>2024</v>
      </c>
      <c r="C24" s="37" t="n">
        <v>6144226.68950001</v>
      </c>
      <c r="D24" s="37" t="n">
        <v>3146448.0443</v>
      </c>
      <c r="E24" s="38" t="n">
        <f aca="false">C24-D24</f>
        <v>2997778.64520001</v>
      </c>
      <c r="F24" s="39" t="n">
        <f aca="false">IF(C24&gt;0,E24/C24,"n/a")</f>
        <v>0.487901699708276</v>
      </c>
      <c r="G24" s="37" t="n">
        <v>1082314.1722</v>
      </c>
      <c r="H24" s="37" t="n">
        <v>1439591.3124</v>
      </c>
      <c r="I24" s="38" t="n">
        <f aca="false">C24-D24-G24-H24</f>
        <v>475873.160600009</v>
      </c>
      <c r="J24" s="39" t="n">
        <f aca="false">IF(C24&gt;0,I24/C24,"n/a")</f>
        <v>0.0774504562817056</v>
      </c>
      <c r="K24" s="37" t="n">
        <v>31030.66</v>
      </c>
      <c r="L24" s="37" t="n">
        <v>18305.42</v>
      </c>
      <c r="M24" s="37" t="n">
        <v>45584.4011</v>
      </c>
      <c r="N24" s="37" t="n">
        <v>1600</v>
      </c>
      <c r="O24" s="39" t="n">
        <f aca="false">IF(C23&gt;0,C24/C23-1,"n/a")</f>
        <v>0.0500987120982723</v>
      </c>
    </row>
    <row r="25" customFormat="false" ht="15" hidden="false" customHeight="false" outlineLevel="0" collapsed="false">
      <c r="A25" s="36" t="n">
        <v>45444</v>
      </c>
      <c r="B25" s="34" t="n">
        <v>2024</v>
      </c>
      <c r="C25" s="37" t="n">
        <v>6311684.07730001</v>
      </c>
      <c r="D25" s="37" t="n">
        <v>2990465.8476</v>
      </c>
      <c r="E25" s="38" t="n">
        <f aca="false">C25-D25</f>
        <v>3321218.2297</v>
      </c>
      <c r="F25" s="39" t="n">
        <f aca="false">IF(C25&gt;0,E25/C25,"n/a")</f>
        <v>0.52620159517248</v>
      </c>
      <c r="G25" s="37" t="n">
        <v>1353103.9722</v>
      </c>
      <c r="H25" s="37" t="n">
        <v>1459626.9692</v>
      </c>
      <c r="I25" s="38" t="n">
        <f aca="false">C25-D25-G25-H25</f>
        <v>508487.288300004</v>
      </c>
      <c r="J25" s="39" t="n">
        <f aca="false">IF(C25&gt;0,I25/C25,"n/a")</f>
        <v>0.0805628548692385</v>
      </c>
      <c r="K25" s="37" t="n">
        <v>76894.3312</v>
      </c>
      <c r="L25" s="37" t="n">
        <v>9707.14</v>
      </c>
      <c r="M25" s="37" t="n">
        <v>38340.121</v>
      </c>
      <c r="N25" s="37" t="n">
        <v>1633</v>
      </c>
      <c r="O25" s="39" t="n">
        <f aca="false">IF(C24&gt;0,C25/C24-1,"n/a")</f>
        <v>0.0272544286307288</v>
      </c>
    </row>
    <row r="26" customFormat="false" ht="15" hidden="false" customHeight="false" outlineLevel="0" collapsed="false">
      <c r="A26" s="36" t="n">
        <v>45474</v>
      </c>
      <c r="B26" s="34" t="n">
        <v>2024</v>
      </c>
      <c r="C26" s="37" t="n">
        <v>6449521.1711</v>
      </c>
      <c r="D26" s="37" t="n">
        <v>2329091.5688</v>
      </c>
      <c r="E26" s="38" t="n">
        <f aca="false">C26-D26</f>
        <v>4120429.6023</v>
      </c>
      <c r="F26" s="39" t="n">
        <f aca="false">IF(C26&gt;0,E26/C26,"n/a")</f>
        <v>0.638873723023571</v>
      </c>
      <c r="G26" s="37" t="n">
        <v>1211619.1671</v>
      </c>
      <c r="H26" s="37" t="n">
        <v>1178088.6464</v>
      </c>
      <c r="I26" s="38" t="n">
        <f aca="false">C26-D26-G26-H26</f>
        <v>1730721.7888</v>
      </c>
      <c r="J26" s="39" t="n">
        <f aca="false">IF(C26&gt;0,I26/C26,"n/a")</f>
        <v>0.26834888093015</v>
      </c>
      <c r="K26" s="37" t="n">
        <v>55694.7943</v>
      </c>
      <c r="L26" s="37" t="n">
        <v>20608.7157</v>
      </c>
      <c r="M26" s="37" t="n">
        <v>145761.8041</v>
      </c>
      <c r="N26" s="37" t="n">
        <v>1628</v>
      </c>
      <c r="O26" s="39" t="n">
        <f aca="false">IF(C25&gt;0,C26/C25-1,"n/a")</f>
        <v>0.0218384019402564</v>
      </c>
    </row>
    <row r="27" customFormat="false" ht="15" hidden="false" customHeight="false" outlineLevel="0" collapsed="false">
      <c r="A27" s="36" t="n">
        <v>45505</v>
      </c>
      <c r="B27" s="34" t="n">
        <v>2024</v>
      </c>
      <c r="C27" s="37" t="n">
        <v>5731631.3474</v>
      </c>
      <c r="D27" s="37" t="n">
        <v>2457267.4877</v>
      </c>
      <c r="E27" s="38" t="n">
        <f aca="false">C27-D27</f>
        <v>3274363.8597</v>
      </c>
      <c r="F27" s="39" t="n">
        <f aca="false">IF(C27&gt;0,E27/C27,"n/a")</f>
        <v>0.571279564444655</v>
      </c>
      <c r="G27" s="37" t="n">
        <v>1275752.9486</v>
      </c>
      <c r="H27" s="37" t="n">
        <v>1318040.9253</v>
      </c>
      <c r="I27" s="38" t="n">
        <f aca="false">C27-D27-G27-H27</f>
        <v>680569.9858</v>
      </c>
      <c r="J27" s="39" t="n">
        <f aca="false">IF(C27&gt;0,I27/C27,"n/a")</f>
        <v>0.11873931600795</v>
      </c>
      <c r="K27" s="37" t="n">
        <v>87714.7</v>
      </c>
      <c r="L27" s="37" t="n">
        <v>24084.6448</v>
      </c>
      <c r="M27" s="37" t="n">
        <v>87933.6848</v>
      </c>
      <c r="N27" s="37" t="n">
        <v>1637</v>
      </c>
      <c r="O27" s="39" t="n">
        <f aca="false">IF(C26&gt;0,C27/C26-1,"n/a")</f>
        <v>-0.111309011111837</v>
      </c>
    </row>
    <row r="28" customFormat="false" ht="15" hidden="false" customHeight="false" outlineLevel="0" collapsed="false">
      <c r="A28" s="36" t="n">
        <v>45536</v>
      </c>
      <c r="B28" s="34" t="n">
        <v>2024</v>
      </c>
      <c r="C28" s="37" t="n">
        <v>6111503.1878</v>
      </c>
      <c r="D28" s="37" t="n">
        <v>2702416.2711</v>
      </c>
      <c r="E28" s="38" t="n">
        <f aca="false">C28-D28</f>
        <v>3409086.9167</v>
      </c>
      <c r="F28" s="39" t="n">
        <f aca="false">IF(C28&gt;0,E28/C28,"n/a")</f>
        <v>0.557814798085247</v>
      </c>
      <c r="G28" s="37" t="n">
        <v>1064688.8298</v>
      </c>
      <c r="H28" s="37" t="n">
        <v>1212477.5902</v>
      </c>
      <c r="I28" s="38" t="n">
        <f aca="false">C28-D28-G28-H28</f>
        <v>1131920.4967</v>
      </c>
      <c r="J28" s="39" t="n">
        <f aca="false">IF(C28&gt;0,I28/C28,"n/a")</f>
        <v>0.185211471207212</v>
      </c>
      <c r="K28" s="37" t="n">
        <v>78401.8272</v>
      </c>
      <c r="L28" s="37" t="n">
        <v>10741.66</v>
      </c>
      <c r="M28" s="37" t="n">
        <v>77306</v>
      </c>
      <c r="N28" s="37" t="n">
        <v>1615</v>
      </c>
      <c r="O28" s="39" t="n">
        <f aca="false">IF(C27&gt;0,C28/C27-1,"n/a")</f>
        <v>0.0662763910264956</v>
      </c>
    </row>
    <row r="29" customFormat="false" ht="15" hidden="false" customHeight="false" outlineLevel="0" collapsed="false">
      <c r="A29" s="36" t="n">
        <v>45566</v>
      </c>
      <c r="B29" s="34" t="n">
        <v>2024</v>
      </c>
      <c r="C29" s="37" t="n">
        <v>5903974.98</v>
      </c>
      <c r="D29" s="37" t="n">
        <v>2446987.3101</v>
      </c>
      <c r="E29" s="38" t="n">
        <f aca="false">C29-D29</f>
        <v>3456987.6699</v>
      </c>
      <c r="F29" s="39" t="n">
        <f aca="false">IF(C29&gt;0,E29/C29,"n/a")</f>
        <v>0.585535623306452</v>
      </c>
      <c r="G29" s="37" t="n">
        <v>1376725.1733</v>
      </c>
      <c r="H29" s="37" t="n">
        <v>964644.41</v>
      </c>
      <c r="I29" s="38" t="n">
        <f aca="false">C29-D29-G29-H29</f>
        <v>1115618.0866</v>
      </c>
      <c r="J29" s="39" t="n">
        <f aca="false">IF(C29&gt;0,I29/C29,"n/a")</f>
        <v>0.18896050379265</v>
      </c>
      <c r="K29" s="37" t="n">
        <v>8438.17</v>
      </c>
      <c r="L29" s="37" t="n">
        <v>32165.8318</v>
      </c>
      <c r="M29" s="37" t="n">
        <v>126346.183</v>
      </c>
      <c r="N29" s="37" t="n">
        <v>1603</v>
      </c>
      <c r="O29" s="39" t="n">
        <f aca="false">IF(C28&gt;0,C29/C28-1,"n/a")</f>
        <v>-0.0339569826641464</v>
      </c>
    </row>
    <row r="30" customFormat="false" ht="15" hidden="false" customHeight="false" outlineLevel="0" collapsed="false">
      <c r="A30" s="36" t="n">
        <v>45597</v>
      </c>
      <c r="B30" s="34" t="n">
        <v>2024</v>
      </c>
      <c r="C30" s="37" t="n">
        <v>5999297.09789999</v>
      </c>
      <c r="D30" s="37" t="n">
        <v>2578510.8711</v>
      </c>
      <c r="E30" s="38" t="n">
        <f aca="false">C30-D30</f>
        <v>3420786.22679999</v>
      </c>
      <c r="F30" s="39" t="n">
        <f aca="false">IF(C30&gt;0,E30/C30,"n/a")</f>
        <v>0.570197836676135</v>
      </c>
      <c r="G30" s="37" t="n">
        <v>1153834.7797</v>
      </c>
      <c r="H30" s="37" t="n">
        <v>1279801.4509</v>
      </c>
      <c r="I30" s="38" t="n">
        <f aca="false">C30-D30-G30-H30</f>
        <v>987149.996199992</v>
      </c>
      <c r="J30" s="39" t="n">
        <f aca="false">IF(C30&gt;0,I30/C30,"n/a")</f>
        <v>0.164544275786164</v>
      </c>
      <c r="K30" s="37" t="n">
        <v>50088.1145</v>
      </c>
      <c r="L30" s="37" t="n">
        <v>13184.4065</v>
      </c>
      <c r="M30" s="37" t="n">
        <v>17084.28</v>
      </c>
      <c r="N30" s="37" t="n">
        <v>1648</v>
      </c>
      <c r="O30" s="39" t="n">
        <f aca="false">IF(C29&gt;0,C30/C29-1,"n/a")</f>
        <v>0.016145413593875</v>
      </c>
    </row>
    <row r="31" customFormat="false" ht="15" hidden="false" customHeight="false" outlineLevel="0" collapsed="false">
      <c r="A31" s="36" t="n">
        <v>45627</v>
      </c>
      <c r="B31" s="34" t="n">
        <v>2024</v>
      </c>
      <c r="C31" s="37" t="n">
        <v>5508249.58439999</v>
      </c>
      <c r="D31" s="37" t="n">
        <v>2032639.8866</v>
      </c>
      <c r="E31" s="38" t="n">
        <f aca="false">C31-D31</f>
        <v>3475609.69779999</v>
      </c>
      <c r="F31" s="39" t="n">
        <f aca="false">IF(C31&gt;0,E31/C31,"n/a")</f>
        <v>0.630982609728384</v>
      </c>
      <c r="G31" s="37" t="n">
        <v>305372.3992</v>
      </c>
      <c r="H31" s="37" t="n">
        <v>1163088.0923</v>
      </c>
      <c r="I31" s="38" t="n">
        <f aca="false">C31-D31-G31-H31</f>
        <v>2007149.20629999</v>
      </c>
      <c r="J31" s="39" t="n">
        <f aca="false">IF(C31&gt;0,I31/C31,"n/a")</f>
        <v>0.364389662368328</v>
      </c>
      <c r="K31" s="37" t="n">
        <v>38973.4613</v>
      </c>
      <c r="L31" s="37" t="n">
        <v>5181.0541</v>
      </c>
      <c r="M31" s="37" t="n">
        <v>31297.49</v>
      </c>
      <c r="N31" s="37" t="n">
        <v>1573</v>
      </c>
      <c r="O31" s="39" t="n">
        <f aca="false">IF(C30&gt;0,C31/C30-1,"n/a")</f>
        <v>-0.0818508411046832</v>
      </c>
    </row>
    <row r="32" customFormat="false" ht="15" hidden="false" customHeight="false" outlineLevel="0" collapsed="false">
      <c r="A32" s="36" t="n">
        <v>45658</v>
      </c>
      <c r="B32" s="34" t="n">
        <v>2025</v>
      </c>
      <c r="C32" s="37" t="n">
        <v>5326406.6081</v>
      </c>
      <c r="D32" s="37" t="n">
        <v>2706518.2798</v>
      </c>
      <c r="E32" s="38" t="n">
        <f aca="false">C32-D32</f>
        <v>2619888.3283</v>
      </c>
      <c r="F32" s="39" t="n">
        <f aca="false">IF(C32&gt;0,E32/C32,"n/a")</f>
        <v>0.491867880367201</v>
      </c>
      <c r="G32" s="37" t="n">
        <v>1306952.1389</v>
      </c>
      <c r="H32" s="37" t="n">
        <v>1134965.4813</v>
      </c>
      <c r="I32" s="38" t="n">
        <f aca="false">C32-D32-G32-H32</f>
        <v>177970.708100002</v>
      </c>
      <c r="J32" s="39" t="n">
        <f aca="false">IF(C32&gt;0,I32/C32,"n/a")</f>
        <v>0.0334129031436236</v>
      </c>
      <c r="K32" s="37" t="n">
        <v>20080.55</v>
      </c>
      <c r="L32" s="37" t="n">
        <v>22688.1348</v>
      </c>
      <c r="M32" s="37" t="n">
        <v>88236.2639</v>
      </c>
      <c r="N32" s="37" t="n">
        <v>1604</v>
      </c>
      <c r="O32" s="39" t="n">
        <f aca="false">IF(C31&gt;0,C32/C31-1,"n/a")</f>
        <v>-0.0330128425580051</v>
      </c>
    </row>
    <row r="33" customFormat="false" ht="15" hidden="false" customHeight="false" outlineLevel="0" collapsed="false">
      <c r="A33" s="36" t="n">
        <v>45689</v>
      </c>
      <c r="B33" s="34" t="n">
        <v>2025</v>
      </c>
      <c r="C33" s="37" t="n">
        <v>5667143.6792</v>
      </c>
      <c r="D33" s="37" t="n">
        <v>2364514.0168</v>
      </c>
      <c r="E33" s="38" t="n">
        <f aca="false">C33-D33</f>
        <v>3302629.6624</v>
      </c>
      <c r="F33" s="39" t="n">
        <f aca="false">IF(C33&gt;0,E33/C33,"n/a")</f>
        <v>0.582767942609533</v>
      </c>
      <c r="G33" s="37" t="n">
        <v>765149.73</v>
      </c>
      <c r="H33" s="37" t="n">
        <v>959666.9366</v>
      </c>
      <c r="I33" s="38" t="n">
        <f aca="false">C33-D33-G33-H33</f>
        <v>1577812.9958</v>
      </c>
      <c r="J33" s="39" t="n">
        <f aca="false">IF(C33&gt;0,I33/C33,"n/a")</f>
        <v>0.278414150957742</v>
      </c>
      <c r="K33" s="37" t="n">
        <v>73898.7</v>
      </c>
      <c r="L33" s="37" t="n">
        <v>20551.4722</v>
      </c>
      <c r="M33" s="37" t="n">
        <v>107257.57</v>
      </c>
      <c r="N33" s="37" t="n">
        <v>1608</v>
      </c>
      <c r="O33" s="39" t="n">
        <f aca="false">IF(C32&gt;0,C33/C32-1,"n/a")</f>
        <v>0.0639712842391411</v>
      </c>
    </row>
    <row r="34" customFormat="false" ht="15" hidden="false" customHeight="false" outlineLevel="0" collapsed="false">
      <c r="A34" s="36" t="n">
        <v>45717</v>
      </c>
      <c r="B34" s="34" t="n">
        <v>2025</v>
      </c>
      <c r="C34" s="37" t="n">
        <v>6002810.1325</v>
      </c>
      <c r="D34" s="37" t="n">
        <v>2640020.3466</v>
      </c>
      <c r="E34" s="38" t="n">
        <f aca="false">C34-D34</f>
        <v>3362789.7859</v>
      </c>
      <c r="F34" s="39" t="n">
        <f aca="false">IF(C34&gt;0,E34/C34,"n/a")</f>
        <v>0.560202590399022</v>
      </c>
      <c r="G34" s="37" t="n">
        <v>852999.8431</v>
      </c>
      <c r="H34" s="37" t="n">
        <v>1218529.9613</v>
      </c>
      <c r="I34" s="38" t="n">
        <f aca="false">C34-D34-G34-H34</f>
        <v>1291259.9815</v>
      </c>
      <c r="J34" s="39" t="n">
        <f aca="false">IF(C34&gt;0,I34/C34,"n/a")</f>
        <v>0.215109249334565</v>
      </c>
      <c r="K34" s="37" t="n">
        <v>88499.99</v>
      </c>
      <c r="L34" s="37" t="n">
        <v>7247.91</v>
      </c>
      <c r="M34" s="37" t="n">
        <v>47099.5352</v>
      </c>
      <c r="N34" s="37" t="n">
        <v>1611</v>
      </c>
      <c r="O34" s="39" t="n">
        <f aca="false">IF(C33&gt;0,C34/C33-1,"n/a")</f>
        <v>0.0592302705385757</v>
      </c>
    </row>
    <row r="35" customFormat="false" ht="15" hidden="false" customHeight="false" outlineLevel="0" collapsed="false">
      <c r="A35" s="36" t="n">
        <v>45748</v>
      </c>
      <c r="B35" s="34" t="n">
        <v>2025</v>
      </c>
      <c r="C35" s="37" t="n">
        <v>6512756.12990001</v>
      </c>
      <c r="D35" s="37" t="n">
        <v>2444803.5726</v>
      </c>
      <c r="E35" s="38" t="n">
        <f aca="false">C35-D35</f>
        <v>4067952.55730001</v>
      </c>
      <c r="F35" s="39" t="n">
        <f aca="false">IF(C35&gt;0,E35/C35,"n/a")</f>
        <v>0.624613063373289</v>
      </c>
      <c r="G35" s="37" t="n">
        <v>982880.484</v>
      </c>
      <c r="H35" s="37" t="n">
        <v>1317205.4179</v>
      </c>
      <c r="I35" s="38" t="n">
        <f aca="false">C35-D35-G35-H35</f>
        <v>1767866.65540001</v>
      </c>
      <c r="J35" s="39" t="n">
        <f aca="false">IF(C35&gt;0,I35/C35,"n/a")</f>
        <v>0.271446776163435</v>
      </c>
      <c r="K35" s="37" t="n">
        <v>81783.74</v>
      </c>
      <c r="L35" s="37" t="n">
        <v>9066.5969</v>
      </c>
      <c r="M35" s="37" t="n">
        <v>98780.78</v>
      </c>
      <c r="N35" s="37" t="n">
        <v>1663</v>
      </c>
      <c r="O35" s="39" t="n">
        <f aca="false">IF(C34&gt;0,C35/C34-1,"n/a")</f>
        <v>0.0849512122062786</v>
      </c>
    </row>
    <row r="36" customFormat="false" ht="15" hidden="false" customHeight="false" outlineLevel="0" collapsed="false">
      <c r="A36" s="36" t="n">
        <v>45778</v>
      </c>
      <c r="B36" s="34" t="n">
        <v>2025</v>
      </c>
      <c r="C36" s="37" t="n">
        <v>6411807.05130001</v>
      </c>
      <c r="D36" s="37" t="n">
        <v>3190783.2674</v>
      </c>
      <c r="E36" s="38" t="n">
        <f aca="false">C36-D36</f>
        <v>3221023.78390001</v>
      </c>
      <c r="F36" s="39" t="n">
        <f aca="false">IF(C36&gt;0,E36/C36,"n/a")</f>
        <v>0.502358189840871</v>
      </c>
      <c r="G36" s="37" t="n">
        <v>1515683.1943</v>
      </c>
      <c r="H36" s="37" t="n">
        <v>1447283.138</v>
      </c>
      <c r="I36" s="38" t="n">
        <f aca="false">C36-D36-G36-H36</f>
        <v>258057.451600006</v>
      </c>
      <c r="J36" s="39" t="n">
        <f aca="false">IF(C36&gt;0,I36/C36,"n/a")</f>
        <v>0.0402472266453626</v>
      </c>
      <c r="K36" s="37" t="n">
        <v>27708.8799</v>
      </c>
      <c r="L36" s="37" t="n">
        <v>13213.3857</v>
      </c>
      <c r="M36" s="37" t="n">
        <v>63770.15</v>
      </c>
      <c r="N36" s="37" t="n">
        <v>1579</v>
      </c>
      <c r="O36" s="39" t="n">
        <f aca="false">IF(C35&gt;0,C36/C35-1,"n/a")</f>
        <v>-0.015500208603934</v>
      </c>
    </row>
    <row r="37" customFormat="false" ht="15" hidden="false" customHeight="false" outlineLevel="0" collapsed="false">
      <c r="A37" s="36" t="n">
        <v>45809</v>
      </c>
      <c r="B37" s="34" t="n">
        <v>2025</v>
      </c>
      <c r="C37" s="37" t="n">
        <v>7143087.6984</v>
      </c>
      <c r="D37" s="37" t="n">
        <v>2997524.5525</v>
      </c>
      <c r="E37" s="38" t="n">
        <f aca="false">C37-D37</f>
        <v>4145563.1459</v>
      </c>
      <c r="F37" s="39" t="n">
        <f aca="false">IF(C37&gt;0,E37/C37,"n/a")</f>
        <v>0.580360107692445</v>
      </c>
      <c r="G37" s="37" t="n">
        <v>1137964.3424</v>
      </c>
      <c r="H37" s="37" t="n">
        <v>1401901.5775</v>
      </c>
      <c r="I37" s="38" t="n">
        <f aca="false">C37-D37-G37-H37</f>
        <v>1605697.226</v>
      </c>
      <c r="J37" s="39" t="n">
        <f aca="false">IF(C37&gt;0,I37/C37,"n/a")</f>
        <v>0.224790355907245</v>
      </c>
      <c r="K37" s="37" t="n">
        <v>84600.869</v>
      </c>
      <c r="L37" s="37" t="n">
        <v>8084.61</v>
      </c>
      <c r="M37" s="37" t="n">
        <v>98693.79</v>
      </c>
      <c r="N37" s="37" t="n">
        <v>1608</v>
      </c>
      <c r="O37" s="39" t="n">
        <f aca="false">IF(C36&gt;0,C37/C36-1,"n/a")</f>
        <v>0.114052191722103</v>
      </c>
    </row>
    <row r="38" customFormat="false" ht="15" hidden="false" customHeight="false" outlineLevel="0" collapsed="false">
      <c r="A38" s="36" t="n">
        <v>45839</v>
      </c>
      <c r="B38" s="34" t="n">
        <v>2025</v>
      </c>
      <c r="C38" s="37" t="n">
        <v>6969943.85390001</v>
      </c>
      <c r="D38" s="37" t="n">
        <v>2789719.536</v>
      </c>
      <c r="E38" s="38" t="n">
        <f aca="false">C38-D38</f>
        <v>4180224.31790001</v>
      </c>
      <c r="F38" s="39" t="n">
        <f aca="false">IF(C38&gt;0,E38/C38,"n/a")</f>
        <v>0.599750070520436</v>
      </c>
      <c r="G38" s="37" t="n">
        <v>1214669.3736</v>
      </c>
      <c r="H38" s="37" t="n">
        <v>1244842.1451</v>
      </c>
      <c r="I38" s="38" t="n">
        <f aca="false">C38-D38-G38-H38</f>
        <v>1720712.79920001</v>
      </c>
      <c r="J38" s="39" t="n">
        <f aca="false">IF(C38&gt;0,I38/C38,"n/a")</f>
        <v>0.246876134911358</v>
      </c>
      <c r="K38" s="37" t="n">
        <v>56797.3323</v>
      </c>
      <c r="L38" s="37" t="n">
        <v>9098.9493</v>
      </c>
      <c r="M38" s="37" t="n">
        <v>178594.6023</v>
      </c>
      <c r="N38" s="37" t="n">
        <v>1572</v>
      </c>
      <c r="O38" s="39" t="n">
        <f aca="false">IF(C37&gt;0,C38/C37-1,"n/a")</f>
        <v>-0.0242393558375015</v>
      </c>
    </row>
    <row r="39" customFormat="false" ht="15" hidden="false" customHeight="false" outlineLevel="0" collapsed="false">
      <c r="A39" s="36" t="n">
        <v>45870</v>
      </c>
      <c r="B39" s="34" t="n">
        <v>2025</v>
      </c>
      <c r="C39" s="37" t="n">
        <v>5855510.5621</v>
      </c>
      <c r="D39" s="37" t="n">
        <v>3341551.1549</v>
      </c>
      <c r="E39" s="38" t="n">
        <f aca="false">C39-D39</f>
        <v>2513959.4072</v>
      </c>
      <c r="F39" s="39" t="n">
        <f aca="false">IF(C39&gt;0,E39/C39,"n/a")</f>
        <v>0.429332229963292</v>
      </c>
      <c r="G39" s="37" t="n">
        <v>1040515.9348</v>
      </c>
      <c r="H39" s="37" t="n">
        <v>1632768.3935</v>
      </c>
      <c r="I39" s="38" t="n">
        <f aca="false">C39-D39-G39-H39</f>
        <v>-159324.921100001</v>
      </c>
      <c r="J39" s="39" t="n">
        <f aca="false">IF(C39&gt;0,I39/C39,"n/a")</f>
        <v>-0.0272093986357462</v>
      </c>
      <c r="K39" s="37" t="n">
        <v>28012.4989</v>
      </c>
      <c r="L39" s="37" t="n">
        <v>30482.293</v>
      </c>
      <c r="M39" s="37" t="n">
        <v>46848.76</v>
      </c>
      <c r="N39" s="37" t="n">
        <v>1625</v>
      </c>
      <c r="O39" s="39" t="n">
        <f aca="false">IF(C38&gt;0,C39/C38-1,"n/a")</f>
        <v>-0.159891286810931</v>
      </c>
    </row>
    <row r="40" customFormat="false" ht="15" hidden="false" customHeight="false" outlineLevel="0" collapsed="false">
      <c r="A40" s="36" t="n">
        <v>45901</v>
      </c>
      <c r="B40" s="34" t="n">
        <v>2025</v>
      </c>
      <c r="C40" s="37" t="n">
        <v>5319797.5597</v>
      </c>
      <c r="D40" s="37" t="n">
        <v>3009431.4151</v>
      </c>
      <c r="E40" s="38" t="n">
        <f aca="false">C40-D40</f>
        <v>2310366.1446</v>
      </c>
      <c r="F40" s="39" t="n">
        <f aca="false">IF(C40&gt;0,E40/C40,"n/a")</f>
        <v>0.434295876614201</v>
      </c>
      <c r="G40" s="37" t="n">
        <v>1165410.4923</v>
      </c>
      <c r="H40" s="37" t="n">
        <v>1341589.4401</v>
      </c>
      <c r="I40" s="38" t="n">
        <f aca="false">C40-D40-G40-H40</f>
        <v>-196633.787800001</v>
      </c>
      <c r="J40" s="39" t="n">
        <f aca="false">IF(C40&gt;0,I40/C40,"n/a")</f>
        <v>-0.0369626448362613</v>
      </c>
      <c r="K40" s="37" t="n">
        <v>109353.82</v>
      </c>
      <c r="L40" s="37" t="n">
        <v>24277.01</v>
      </c>
      <c r="M40" s="37" t="n">
        <v>112831.55</v>
      </c>
      <c r="N40" s="37" t="n">
        <v>1626</v>
      </c>
      <c r="O40" s="39" t="n">
        <f aca="false">IF(C39&gt;0,C40/C39-1,"n/a")</f>
        <v>-0.0914886920138817</v>
      </c>
    </row>
    <row r="41" customFormat="false" ht="15" hidden="false" customHeight="false" outlineLevel="0" collapsed="false">
      <c r="A41" s="36" t="n">
        <v>45931</v>
      </c>
      <c r="B41" s="34" t="n">
        <v>2025</v>
      </c>
      <c r="C41" s="37" t="n">
        <v>5510713.1242</v>
      </c>
      <c r="D41" s="37" t="n">
        <v>3266059.9314</v>
      </c>
      <c r="E41" s="38" t="n">
        <f aca="false">C41-D41</f>
        <v>2244653.1928</v>
      </c>
      <c r="F41" s="39" t="n">
        <f aca="false">IF(C41&gt;0,E41/C41,"n/a")</f>
        <v>0.407325357392082</v>
      </c>
      <c r="G41" s="37" t="n">
        <v>836022.796</v>
      </c>
      <c r="H41" s="37" t="n">
        <v>1196498.8581</v>
      </c>
      <c r="I41" s="38" t="n">
        <f aca="false">C41-D41-G41-H41</f>
        <v>212131.5387</v>
      </c>
      <c r="J41" s="39" t="n">
        <f aca="false">IF(C41&gt;0,I41/C41,"n/a")</f>
        <v>0.0384943897312375</v>
      </c>
      <c r="K41" s="37" t="n">
        <v>61165.0208</v>
      </c>
      <c r="L41" s="37" t="n">
        <v>27700.73</v>
      </c>
      <c r="M41" s="37" t="n">
        <v>101997.03</v>
      </c>
      <c r="N41" s="37" t="n">
        <v>1636</v>
      </c>
      <c r="O41" s="39" t="n">
        <f aca="false">IF(C40&gt;0,C41/C40-1,"n/a")</f>
        <v>0.0358877499298618</v>
      </c>
    </row>
    <row r="42" customFormat="false" ht="15" hidden="false" customHeight="false" outlineLevel="0" collapsed="false">
      <c r="A42" s="36" t="n">
        <v>45962</v>
      </c>
      <c r="B42" s="34" t="n">
        <v>2025</v>
      </c>
      <c r="C42" s="37" t="n">
        <v>5113880.0586</v>
      </c>
      <c r="D42" s="37" t="n">
        <v>2630301.9226</v>
      </c>
      <c r="E42" s="38" t="n">
        <f aca="false">C42-D42</f>
        <v>2483578.136</v>
      </c>
      <c r="F42" s="39" t="n">
        <f aca="false">IF(C42&gt;0,E42/C42,"n/a")</f>
        <v>0.485654357853656</v>
      </c>
      <c r="G42" s="37" t="n">
        <v>1169087.3571</v>
      </c>
      <c r="H42" s="37" t="n">
        <v>1450076.4299</v>
      </c>
      <c r="I42" s="38" t="n">
        <f aca="false">C42-D42-G42-H42</f>
        <v>-135585.651000004</v>
      </c>
      <c r="J42" s="39" t="n">
        <f aca="false">IF(C42&gt;0,I42/C42,"n/a")</f>
        <v>-0.0265132637931135</v>
      </c>
      <c r="K42" s="37" t="n">
        <v>25476.7883</v>
      </c>
      <c r="L42" s="37" t="n">
        <v>11524.58</v>
      </c>
      <c r="M42" s="37" t="n">
        <v>4244.09</v>
      </c>
      <c r="N42" s="37" t="n">
        <v>1639</v>
      </c>
      <c r="O42" s="39" t="n">
        <f aca="false">IF(C41&gt;0,C42/C41-1,"n/a")</f>
        <v>-0.0720112001216927</v>
      </c>
    </row>
    <row r="43" customFormat="false" ht="15" hidden="false" customHeight="false" outlineLevel="0" collapsed="false">
      <c r="A43" s="36" t="n">
        <v>45992</v>
      </c>
      <c r="B43" s="34" t="n">
        <v>2025</v>
      </c>
      <c r="C43" s="37" t="n">
        <v>5156931.1369</v>
      </c>
      <c r="D43" s="37" t="n">
        <v>2363015.0514</v>
      </c>
      <c r="E43" s="38" t="n">
        <f aca="false">C43-D43</f>
        <v>2793916.0855</v>
      </c>
      <c r="F43" s="39" t="n">
        <f aca="false">IF(C43&gt;0,E43/C43,"n/a")</f>
        <v>0.541778823748171</v>
      </c>
      <c r="G43" s="37" t="n">
        <v>1012075.774</v>
      </c>
      <c r="H43" s="37" t="n">
        <v>1118639.839</v>
      </c>
      <c r="I43" s="38" t="n">
        <f aca="false">C43-D43-G43-H43</f>
        <v>663200.472500004</v>
      </c>
      <c r="J43" s="39" t="n">
        <f aca="false">IF(C43&gt;0,I43/C43,"n/a")</f>
        <v>0.128603709239886</v>
      </c>
      <c r="K43" s="37" t="n">
        <v>42120.64</v>
      </c>
      <c r="L43" s="37" t="n">
        <v>14611.78</v>
      </c>
      <c r="M43" s="37" t="n">
        <v>52438.0986</v>
      </c>
      <c r="N43" s="37" t="n">
        <v>1605</v>
      </c>
      <c r="O43" s="39" t="n">
        <f aca="false">IF(C42&gt;0,C43/C42-1,"n/a")</f>
        <v>0.00841847634412307</v>
      </c>
    </row>
    <row r="45" customFormat="false" ht="15" hidden="false" customHeight="false" outlineLevel="0" collapsed="false">
      <c r="A45" s="41" t="s">
        <v>144</v>
      </c>
      <c r="C45" s="42" t="n">
        <f aca="false">SUM(C8:C43)</f>
        <v>202649002.1522</v>
      </c>
      <c r="D45" s="42" t="n">
        <f aca="false">SUM(D8:D43)</f>
        <v>92808017.9022</v>
      </c>
      <c r="E45" s="42" t="n">
        <f aca="false">C45-D45</f>
        <v>109840984.25</v>
      </c>
      <c r="F45" s="43" t="n">
        <f aca="false">IF(C45&gt;0,E45/C45,"n/a")</f>
        <v>0.542025783909381</v>
      </c>
      <c r="G45" s="42" t="n">
        <f aca="false">SUM(G8:G43)</f>
        <v>39708939.3079</v>
      </c>
      <c r="H45" s="42" t="n">
        <f aca="false">SUM(H8:H43)</f>
        <v>43812798.7776</v>
      </c>
      <c r="I45" s="42" t="n">
        <f aca="false">C45-D45-G45-H45</f>
        <v>26319246.1645001</v>
      </c>
      <c r="J45" s="43" t="n">
        <f aca="false">IF(C45&gt;0,I45/C45,"n/a")</f>
        <v>0.129876021519874</v>
      </c>
      <c r="K45" s="42" t="n">
        <f aca="false">SUM(K8:K43)</f>
        <v>1841552.0637</v>
      </c>
      <c r="L45" s="42" t="n">
        <f aca="false">SUM(L8:L43)</f>
        <v>595918.8704</v>
      </c>
      <c r="M45" s="42" t="n">
        <f aca="false">SUM(M8:M43)</f>
        <v>2751000.6627</v>
      </c>
      <c r="N45" s="42" t="n">
        <f aca="false">SUM(N8:N43)</f>
        <v>58340</v>
      </c>
    </row>
    <row r="48" customFormat="false" ht="15" hidden="false" customHeight="false" outlineLevel="0" collapsed="false">
      <c r="A48" s="20" t="s">
        <v>145</v>
      </c>
      <c r="B48" s="21"/>
      <c r="C48" s="21"/>
      <c r="D48" s="21"/>
      <c r="E48" s="21"/>
      <c r="F48" s="21"/>
      <c r="G48" s="21"/>
      <c r="H48" s="21"/>
      <c r="I48" s="21"/>
      <c r="J48" s="21"/>
      <c r="K48" s="21"/>
      <c r="L48" s="21"/>
      <c r="M48" s="21"/>
      <c r="N48" s="21"/>
      <c r="O48" s="21"/>
    </row>
    <row r="49" customFormat="false" ht="13.5" hidden="false" customHeight="true" outlineLevel="0" collapsed="false">
      <c r="A49" s="26" t="s">
        <v>146</v>
      </c>
      <c r="B49" s="26"/>
      <c r="C49" s="26"/>
      <c r="D49" s="26"/>
      <c r="E49" s="26"/>
      <c r="F49" s="26"/>
      <c r="G49" s="26"/>
      <c r="H49" s="26"/>
      <c r="I49" s="26"/>
      <c r="J49" s="26"/>
      <c r="K49" s="26"/>
      <c r="L49" s="26"/>
      <c r="M49" s="26"/>
      <c r="N49" s="26"/>
      <c r="O49" s="26"/>
    </row>
    <row r="50" customFormat="false" ht="43.5" hidden="false" customHeight="true" outlineLevel="0" collapsed="false">
      <c r="A50" s="22" t="s">
        <v>106</v>
      </c>
      <c r="B50" s="22"/>
      <c r="C50" s="22" t="s">
        <v>68</v>
      </c>
      <c r="D50" s="22" t="s">
        <v>135</v>
      </c>
      <c r="E50" s="22" t="s">
        <v>107</v>
      </c>
      <c r="F50" s="22" t="s">
        <v>147</v>
      </c>
      <c r="G50" s="22" t="s">
        <v>148</v>
      </c>
      <c r="H50" s="22" t="s">
        <v>149</v>
      </c>
      <c r="I50" s="22" t="s">
        <v>108</v>
      </c>
      <c r="J50" s="22" t="s">
        <v>74</v>
      </c>
      <c r="K50" s="22" t="s">
        <v>150</v>
      </c>
      <c r="L50" s="22" t="s">
        <v>151</v>
      </c>
      <c r="M50" s="22" t="s">
        <v>152</v>
      </c>
      <c r="N50" s="22" t="s">
        <v>153</v>
      </c>
      <c r="O50" s="22" t="s">
        <v>154</v>
      </c>
    </row>
    <row r="51" customFormat="false" ht="15" hidden="false" customHeight="false" outlineLevel="0" collapsed="false">
      <c r="A51" s="44" t="n">
        <v>2023</v>
      </c>
      <c r="C51" s="38" t="n">
        <f aca="false">SUMIFS($C$8:$C$43,$B$8:$B$43,$A51)</f>
        <v>61295630.9945</v>
      </c>
      <c r="D51" s="38" t="n">
        <f aca="false">SUMIFS($D$8:$D$43,$B$8:$B$43,$A51)</f>
        <v>28820261.6473</v>
      </c>
      <c r="E51" s="38" t="n">
        <f aca="false">C51-D51</f>
        <v>32475369.3472</v>
      </c>
      <c r="F51" s="39" t="n">
        <f aca="false">IF(C51&gt;0,E51/C51,"n/a")</f>
        <v>0.52981540152697</v>
      </c>
      <c r="G51" s="38" t="n">
        <f aca="false">SUMIFS($G$8:$G$43,$B$8:$B$43,$A51)</f>
        <v>13384753.5674</v>
      </c>
      <c r="H51" s="38" t="n">
        <f aca="false">SUMIFS($H$8:$H$43,$B$8:$B$43,$A51)</f>
        <v>13453213.6976</v>
      </c>
      <c r="I51" s="38" t="n">
        <f aca="false">C51-D51-G51-H51</f>
        <v>5637402.08220002</v>
      </c>
      <c r="J51" s="39" t="n">
        <f aca="false">IF(C51&gt;0,I51/C51,"n/a")</f>
        <v>0.0919706998808097</v>
      </c>
      <c r="K51" s="38" t="n">
        <f aca="false">SUMIFS($K$8:$K$43,$B$8:$B$43,$A51)</f>
        <v>557556.0461</v>
      </c>
      <c r="L51" s="38" t="n">
        <f aca="false">SUMIFS($L$8:$L$43,$B$8:$B$43,$A51)</f>
        <v>204276.6816</v>
      </c>
      <c r="M51" s="38" t="n">
        <f aca="false">SUMIFS($M$8:$M$43,$B$8:$B$43,$A51)</f>
        <v>984864.8824</v>
      </c>
      <c r="N51" s="38" t="n">
        <f aca="false">SUMIFS($N$8:$N$43,$B$8:$B$43,$A51)</f>
        <v>19518</v>
      </c>
      <c r="O51" s="28" t="s">
        <v>100</v>
      </c>
    </row>
    <row r="52" customFormat="false" ht="15" hidden="false" customHeight="false" outlineLevel="0" collapsed="false">
      <c r="A52" s="44" t="n">
        <v>2024</v>
      </c>
      <c r="C52" s="38" t="n">
        <f aca="false">SUMIFS($C$8:$C$43,$B$8:$B$43,$A52)</f>
        <v>70362583.5629</v>
      </c>
      <c r="D52" s="38" t="n">
        <f aca="false">SUMIFS($D$8:$D$43,$B$8:$B$43,$A52)</f>
        <v>30243513.2078</v>
      </c>
      <c r="E52" s="38" t="n">
        <f aca="false">C52-D52</f>
        <v>40119070.3551</v>
      </c>
      <c r="F52" s="39" t="n">
        <f aca="false">IF(C52&gt;0,E52/C52,"n/a")</f>
        <v>0.570176197683758</v>
      </c>
      <c r="G52" s="38" t="n">
        <f aca="false">SUMIFS($G$8:$G$43,$B$8:$B$43,$A52)</f>
        <v>13324774.28</v>
      </c>
      <c r="H52" s="38" t="n">
        <f aca="false">SUMIFS($H$8:$H$43,$B$8:$B$43,$A52)</f>
        <v>14895617.4617</v>
      </c>
      <c r="I52" s="38" t="n">
        <f aca="false">C52-D52-G52-H52</f>
        <v>11898678.6134</v>
      </c>
      <c r="J52" s="39" t="n">
        <f aca="false">IF(C52&gt;0,I52/C52,"n/a")</f>
        <v>0.169105197832358</v>
      </c>
      <c r="K52" s="38" t="n">
        <f aca="false">SUMIFS($K$8:$K$43,$B$8:$B$43,$A52)</f>
        <v>584497.1884</v>
      </c>
      <c r="L52" s="38" t="n">
        <f aca="false">SUMIFS($L$8:$L$43,$B$8:$B$43,$A52)</f>
        <v>193094.7369</v>
      </c>
      <c r="M52" s="38" t="n">
        <f aca="false">SUMIFS($M$8:$M$43,$B$8:$B$43,$A52)</f>
        <v>765343.5603</v>
      </c>
      <c r="N52" s="38" t="n">
        <f aca="false">SUMIFS($N$8:$N$43,$B$8:$B$43,$A52)</f>
        <v>19446</v>
      </c>
      <c r="O52" s="39" t="n">
        <f aca="false">C52/C51-1</f>
        <v>0.147921677634962</v>
      </c>
    </row>
    <row r="53" customFormat="false" ht="15" hidden="false" customHeight="false" outlineLevel="0" collapsed="false">
      <c r="A53" s="44" t="n">
        <v>2025</v>
      </c>
      <c r="C53" s="38" t="n">
        <f aca="false">SUMIFS($C$8:$C$43,$B$8:$B$43,$A53)</f>
        <v>70990787.5948</v>
      </c>
      <c r="D53" s="38" t="n">
        <f aca="false">SUMIFS($D$8:$D$43,$B$8:$B$43,$A53)</f>
        <v>33744243.0471</v>
      </c>
      <c r="E53" s="38" t="n">
        <f aca="false">C53-D53</f>
        <v>37246544.5477</v>
      </c>
      <c r="F53" s="39" t="n">
        <f aca="false">IF(C53&gt;0,E53/C53,"n/a")</f>
        <v>0.524667295710187</v>
      </c>
      <c r="G53" s="38" t="n">
        <f aca="false">SUMIFS($G$8:$G$43,$B$8:$B$43,$A53)</f>
        <v>12999411.4605</v>
      </c>
      <c r="H53" s="38" t="n">
        <f aca="false">SUMIFS($H$8:$H$43,$B$8:$B$43,$A53)</f>
        <v>15463967.6183</v>
      </c>
      <c r="I53" s="38" t="n">
        <f aca="false">C53-D53-G53-H53</f>
        <v>8783165.46890001</v>
      </c>
      <c r="J53" s="39" t="n">
        <f aca="false">IF(C53&gt;0,I53/C53,"n/a")</f>
        <v>0.123722609178988</v>
      </c>
      <c r="K53" s="38" t="n">
        <f aca="false">SUMIFS($K$8:$K$43,$B$8:$B$43,$A53)</f>
        <v>699498.8292</v>
      </c>
      <c r="L53" s="38" t="n">
        <f aca="false">SUMIFS($L$8:$L$43,$B$8:$B$43,$A53)</f>
        <v>198547.4519</v>
      </c>
      <c r="M53" s="38" t="n">
        <f aca="false">SUMIFS($M$8:$M$43,$B$8:$B$43,$A53)</f>
        <v>1000792.22</v>
      </c>
      <c r="N53" s="38" t="n">
        <f aca="false">SUMIFS($N$8:$N$43,$B$8:$B$43,$A53)</f>
        <v>19376</v>
      </c>
      <c r="O53" s="39" t="n">
        <f aca="false">C53/C52-1</f>
        <v>0.0089280978623878</v>
      </c>
    </row>
  </sheetData>
  <mergeCells count="2">
    <mergeCell ref="A3:O3"/>
    <mergeCell ref="A49:O49"/>
  </mergeCells>
  <conditionalFormatting sqref="O8:O43">
    <cfRule type="expression" priority="2" aboveAverage="0" equalAverage="0" bottom="0" percent="0" rank="0" text="" dxfId="9">
      <formula>AND(ISNUMBER($O8),ABS($O8)&gt;=$D$5)</formula>
    </cfRule>
  </conditionalFormatting>
  <hyperlinks>
    <hyperlink ref="O1" location="'Start Here'!A1" display="Back to Start Here"/>
  </hyperlink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DC3E6"/>
    <pageSetUpPr fitToPage="true"/>
  </sheetPr>
  <dimension ref="A1:M5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6.71"/>
    <col collapsed="false" customWidth="true" hidden="false" outlineLevel="0" max="4" min="3" style="0" width="15.71"/>
    <col collapsed="false" customWidth="true" hidden="false" outlineLevel="0" max="5" min="5" style="0" width="26.71"/>
    <col collapsed="false" customWidth="true" hidden="false" outlineLevel="0" max="6" min="6" style="0" width="17.71"/>
    <col collapsed="false" customWidth="true" hidden="false" outlineLevel="0" max="7" min="7" style="0" width="26.71"/>
    <col collapsed="false" customWidth="true" hidden="false" outlineLevel="0" max="8" min="8" style="0" width="15.71"/>
    <col collapsed="false" customWidth="true" hidden="false" outlineLevel="0" max="9" min="9" style="0" width="12.71"/>
    <col collapsed="false" customWidth="true" hidden="false" outlineLevel="0" max="11" min="10" style="0" width="19.71"/>
    <col collapsed="false" customWidth="true" hidden="false" outlineLevel="0" max="12" min="12" style="0" width="14.71"/>
  </cols>
  <sheetData>
    <row r="1" customFormat="false" ht="19.7" hidden="false" customHeight="false" outlineLevel="0" collapsed="false">
      <c r="A1" s="19" t="s">
        <v>155</v>
      </c>
      <c r="M1" s="5" t="s">
        <v>61</v>
      </c>
    </row>
    <row r="2" customFormat="false" ht="15" hidden="false" customHeight="false" outlineLevel="0" collapsed="false">
      <c r="A2" s="2" t="s">
        <v>156</v>
      </c>
    </row>
    <row r="3" customFormat="false" ht="45" hidden="false" customHeight="true" outlineLevel="0" collapsed="false">
      <c r="A3" s="3" t="s">
        <v>157</v>
      </c>
      <c r="B3" s="3"/>
      <c r="C3" s="3"/>
      <c r="D3" s="3"/>
      <c r="E3" s="3"/>
      <c r="F3" s="3"/>
      <c r="G3" s="3"/>
      <c r="H3" s="3"/>
      <c r="I3" s="3"/>
      <c r="J3" s="3"/>
      <c r="K3" s="3"/>
      <c r="L3" s="3"/>
      <c r="M3" s="3"/>
    </row>
    <row r="5" customFormat="false" ht="15" hidden="false" customHeight="false" outlineLevel="0" collapsed="false">
      <c r="A5" s="16" t="s">
        <v>158</v>
      </c>
      <c r="D5" s="35" t="n">
        <v>0.5</v>
      </c>
      <c r="E5" s="2" t="s">
        <v>159</v>
      </c>
      <c r="J5" s="35" t="n">
        <v>0.05</v>
      </c>
    </row>
    <row r="7" customFormat="false" ht="15" hidden="false" customHeight="false" outlineLevel="0" collapsed="false">
      <c r="A7" s="20" t="s">
        <v>160</v>
      </c>
      <c r="B7" s="21"/>
      <c r="C7" s="21"/>
      <c r="D7" s="21"/>
      <c r="E7" s="21"/>
      <c r="F7" s="21"/>
      <c r="G7" s="21"/>
      <c r="H7" s="21"/>
      <c r="I7" s="21"/>
      <c r="J7" s="21"/>
      <c r="K7" s="21"/>
      <c r="L7" s="21"/>
      <c r="M7" s="21"/>
    </row>
    <row r="8" customFormat="false" ht="13.5" hidden="false" customHeight="true" outlineLevel="0" collapsed="false">
      <c r="A8" s="26" t="s">
        <v>161</v>
      </c>
      <c r="B8" s="26"/>
      <c r="C8" s="26"/>
      <c r="D8" s="26"/>
      <c r="E8" s="26"/>
      <c r="F8" s="26"/>
      <c r="G8" s="26"/>
      <c r="H8" s="26"/>
      <c r="I8" s="26"/>
      <c r="J8" s="26"/>
      <c r="K8" s="26"/>
      <c r="L8" s="26"/>
      <c r="M8" s="26"/>
    </row>
    <row r="9" customFormat="false" ht="43.5" hidden="false" customHeight="true" outlineLevel="0" collapsed="false">
      <c r="A9" s="22" t="s">
        <v>162</v>
      </c>
      <c r="B9" s="22" t="s">
        <v>92</v>
      </c>
      <c r="C9" s="22" t="s">
        <v>163</v>
      </c>
      <c r="D9" s="22" t="s">
        <v>164</v>
      </c>
      <c r="E9" s="22" t="s">
        <v>165</v>
      </c>
      <c r="F9" s="22" t="s">
        <v>166</v>
      </c>
      <c r="G9" s="22" t="s">
        <v>167</v>
      </c>
      <c r="H9" s="22" t="s">
        <v>168</v>
      </c>
      <c r="I9" s="22" t="s">
        <v>169</v>
      </c>
      <c r="J9" s="22" t="s">
        <v>170</v>
      </c>
    </row>
    <row r="10" customFormat="false" ht="15" hidden="false" customHeight="false" outlineLevel="0" collapsed="false">
      <c r="A10" s="23" t="s">
        <v>171</v>
      </c>
      <c r="B10" s="37" t="n">
        <v>27537</v>
      </c>
      <c r="C10" s="37" t="n">
        <v>190396715.6286</v>
      </c>
      <c r="D10" s="37" t="n">
        <v>197419752.8901</v>
      </c>
      <c r="E10" s="38" t="n">
        <f aca="false">C10-D10</f>
        <v>-7023037.26149941</v>
      </c>
      <c r="F10" s="45" t="n">
        <v>0.973201872738419</v>
      </c>
      <c r="G10" s="39" t="n">
        <f aca="false">IF(AND(F10&gt;=$D$5,D10&lt;&gt;0),E10/ABS(D10),"n/a (guard)")</f>
        <v>-0.0355741366235475</v>
      </c>
      <c r="H10" s="37" t="n">
        <v>7090405.0029</v>
      </c>
      <c r="I10" s="45" t="n">
        <v>0.034952912898931</v>
      </c>
      <c r="J10" s="46" t="str">
        <f aca="false">IF(E10&gt;0,"Actual above budget",IF(E10&lt;0,"Actual below budget","On budget"))</f>
        <v>Actual below budget</v>
      </c>
    </row>
    <row r="11" customFormat="false" ht="15" hidden="false" customHeight="false" outlineLevel="0" collapsed="false">
      <c r="A11" s="23" t="s">
        <v>172</v>
      </c>
      <c r="B11" s="37" t="n">
        <v>10142</v>
      </c>
      <c r="C11" s="37" t="n">
        <v>87801325.6996999</v>
      </c>
      <c r="D11" s="37" t="n">
        <v>82505583.9005999</v>
      </c>
      <c r="E11" s="38" t="n">
        <f aca="false">C11-D11</f>
        <v>5295741.79910003</v>
      </c>
      <c r="F11" s="45" t="n">
        <v>0.964165082272546</v>
      </c>
      <c r="G11" s="39" t="n">
        <f aca="false">IF(AND(F11&gt;=$D$5,D11&lt;&gt;0),E11/ABS(D11),"n/a (guard)")</f>
        <v>0.0641864653122166</v>
      </c>
      <c r="H11" s="37" t="n">
        <v>5490272.1429</v>
      </c>
      <c r="I11" s="45" t="n">
        <v>0.0641596415914749</v>
      </c>
      <c r="J11" s="46" t="str">
        <f aca="false">IF(E11&gt;0,"Actual above budget",IF(E11&lt;0,"Actual below budget","On budget"))</f>
        <v>Actual above budget</v>
      </c>
    </row>
    <row r="12" customFormat="false" ht="15" hidden="false" customHeight="false" outlineLevel="0" collapsed="false">
      <c r="A12" s="23" t="s">
        <v>173</v>
      </c>
      <c r="B12" s="37" t="n">
        <v>2721</v>
      </c>
      <c r="C12" s="37" t="n">
        <v>38264640.1592</v>
      </c>
      <c r="D12" s="37" t="n">
        <v>35971789.9141</v>
      </c>
      <c r="E12" s="38" t="n">
        <f aca="false">C12-D12</f>
        <v>2292850.2451</v>
      </c>
      <c r="F12" s="45" t="n">
        <v>0.988677382529548</v>
      </c>
      <c r="G12" s="39" t="n">
        <f aca="false">IF(AND(F12&gt;=$D$5,D12&lt;&gt;0),E12/ABS(D12),"n/a (guard)")</f>
        <v>0.0637402322924516</v>
      </c>
      <c r="H12" s="37" t="n">
        <v>2333898.0265</v>
      </c>
      <c r="I12" s="45" t="n">
        <v>0.064146716008325</v>
      </c>
      <c r="J12" s="46" t="str">
        <f aca="false">IF(E12&gt;0,"Actual above budget",IF(E12&lt;0,"Actual below budget","On budget"))</f>
        <v>Actual above budget</v>
      </c>
    </row>
    <row r="13" customFormat="false" ht="15" hidden="false" customHeight="false" outlineLevel="0" collapsed="false">
      <c r="A13" s="23" t="s">
        <v>174</v>
      </c>
      <c r="B13" s="37" t="n">
        <v>7125</v>
      </c>
      <c r="C13" s="37" t="n">
        <v>41457348.0924001</v>
      </c>
      <c r="D13" s="37" t="n">
        <v>38958919.3514</v>
      </c>
      <c r="E13" s="38" t="n">
        <f aca="false">C13-D13</f>
        <v>2498428.74100005</v>
      </c>
      <c r="F13" s="45" t="n">
        <v>0.981756015250452</v>
      </c>
      <c r="G13" s="39" t="n">
        <f aca="false">IF(AND(F13&gt;=$D$5,D13&lt;&gt;0),E13/ABS(D13),"n/a (guard)")</f>
        <v>0.0641298265607633</v>
      </c>
      <c r="H13" s="37" t="n">
        <v>2564626.6378</v>
      </c>
      <c r="I13" s="45" t="n">
        <v>0.0646280151105168</v>
      </c>
      <c r="J13" s="46" t="str">
        <f aca="false">IF(E13&gt;0,"Actual above budget",IF(E13&lt;0,"Actual below budget","On budget"))</f>
        <v>Actual above budget</v>
      </c>
    </row>
    <row r="14" customFormat="false" ht="15" hidden="false" customHeight="false" outlineLevel="0" collapsed="false">
      <c r="A14" s="23" t="s">
        <v>175</v>
      </c>
      <c r="B14" s="37" t="n">
        <v>292</v>
      </c>
      <c r="C14" s="37" t="n">
        <v>1742110.0938</v>
      </c>
      <c r="D14" s="37" t="n">
        <v>1638237.8038</v>
      </c>
      <c r="E14" s="38" t="n">
        <f aca="false">C14-D14</f>
        <v>103872.29</v>
      </c>
      <c r="F14" s="45" t="n">
        <v>0.928769400513951</v>
      </c>
      <c r="G14" s="39" t="n">
        <f aca="false">IF(AND(F14&gt;=$D$5,D14&lt;&gt;0),E14/ABS(D14),"n/a (guard)")</f>
        <v>0.0634048913772234</v>
      </c>
      <c r="H14" s="37" t="n">
        <v>114022.1908</v>
      </c>
      <c r="I14" s="45" t="n">
        <v>0.0646428263033368</v>
      </c>
      <c r="J14" s="46" t="str">
        <f aca="false">IF(E14&gt;0,"Actual above budget",IF(E14&lt;0,"Actual below budget","On budget"))</f>
        <v>Actual above budget</v>
      </c>
    </row>
    <row r="15" customFormat="false" ht="15" hidden="false" customHeight="false" outlineLevel="0" collapsed="false">
      <c r="A15" s="23" t="s">
        <v>176</v>
      </c>
      <c r="B15" s="37" t="n">
        <v>589</v>
      </c>
      <c r="C15" s="37" t="n">
        <v>525074.4574</v>
      </c>
      <c r="D15" s="37" t="n">
        <v>493909.0152</v>
      </c>
      <c r="E15" s="38" t="n">
        <f aca="false">C15-D15</f>
        <v>31165.4422000001</v>
      </c>
      <c r="F15" s="45" t="n">
        <v>0.680973468844909</v>
      </c>
      <c r="G15" s="39" t="n">
        <f aca="false">IF(AND(F15&gt;=$D$5,D15&lt;&gt;0),E15/ABS(D15),"n/a (guard)")</f>
        <v>0.063099561337993</v>
      </c>
      <c r="H15" s="37" t="n">
        <v>47619.1202</v>
      </c>
      <c r="I15" s="45" t="n">
        <v>0.0656545162529698</v>
      </c>
      <c r="J15" s="46" t="str">
        <f aca="false">IF(E15&gt;0,"Actual above budget",IF(E15&lt;0,"Actual below budget","On budget"))</f>
        <v>Actual above budget</v>
      </c>
    </row>
    <row r="16" customFormat="false" ht="15" hidden="false" customHeight="false" outlineLevel="0" collapsed="false">
      <c r="A16" s="23" t="s">
        <v>177</v>
      </c>
      <c r="B16" s="37" t="n">
        <v>294</v>
      </c>
      <c r="C16" s="37" t="n">
        <v>2812303.9037</v>
      </c>
      <c r="D16" s="37" t="n">
        <v>2645687.7164</v>
      </c>
      <c r="E16" s="38" t="n">
        <f aca="false">C16-D16</f>
        <v>166616.187300001</v>
      </c>
      <c r="F16" s="45" t="n">
        <v>0.930565755979324</v>
      </c>
      <c r="G16" s="39" t="n">
        <f aca="false">IF(AND(F16&gt;=$D$5,D16&lt;&gt;0),E16/ABS(D16),"n/a (guard)")</f>
        <v>0.0629765131641148</v>
      </c>
      <c r="H16" s="37" t="n">
        <v>178286.1877</v>
      </c>
      <c r="I16" s="45" t="n">
        <v>0.0627084670686201</v>
      </c>
      <c r="J16" s="46" t="str">
        <f aca="false">IF(E16&gt;0,"Actual above budget",IF(E16&lt;0,"Actual below budget","On budget"))</f>
        <v>Actual above budget</v>
      </c>
    </row>
    <row r="19" customFormat="false" ht="15" hidden="false" customHeight="false" outlineLevel="0" collapsed="false">
      <c r="A19" s="20" t="s">
        <v>178</v>
      </c>
      <c r="B19" s="21"/>
      <c r="C19" s="21"/>
      <c r="D19" s="21"/>
      <c r="E19" s="21"/>
      <c r="F19" s="21"/>
      <c r="G19" s="21"/>
      <c r="H19" s="21"/>
      <c r="I19" s="21"/>
      <c r="J19" s="21"/>
      <c r="K19" s="21"/>
      <c r="L19" s="21"/>
      <c r="M19" s="21"/>
    </row>
    <row r="20" customFormat="false" ht="13.5" hidden="false" customHeight="true" outlineLevel="0" collapsed="false">
      <c r="A20" s="26" t="s">
        <v>161</v>
      </c>
      <c r="B20" s="26"/>
      <c r="C20" s="26"/>
      <c r="D20" s="26"/>
      <c r="E20" s="26"/>
      <c r="F20" s="26"/>
      <c r="G20" s="26"/>
      <c r="H20" s="26"/>
      <c r="I20" s="26"/>
      <c r="J20" s="26"/>
      <c r="K20" s="26"/>
      <c r="L20" s="26"/>
      <c r="M20" s="26"/>
    </row>
    <row r="21" customFormat="false" ht="43.5" hidden="false" customHeight="true" outlineLevel="0" collapsed="false">
      <c r="A21" s="22" t="s">
        <v>162</v>
      </c>
      <c r="B21" s="22" t="s">
        <v>92</v>
      </c>
      <c r="C21" s="22" t="s">
        <v>163</v>
      </c>
      <c r="D21" s="22" t="s">
        <v>164</v>
      </c>
      <c r="E21" s="22" t="s">
        <v>165</v>
      </c>
      <c r="F21" s="22" t="s">
        <v>166</v>
      </c>
      <c r="G21" s="22" t="s">
        <v>167</v>
      </c>
      <c r="H21" s="22" t="s">
        <v>168</v>
      </c>
      <c r="I21" s="22" t="s">
        <v>169</v>
      </c>
      <c r="J21" s="22" t="s">
        <v>170</v>
      </c>
    </row>
    <row r="22" customFormat="false" ht="15" hidden="false" customHeight="false" outlineLevel="0" collapsed="false">
      <c r="A22" s="23" t="s">
        <v>171</v>
      </c>
      <c r="B22" s="37" t="n">
        <v>30953</v>
      </c>
      <c r="C22" s="37" t="n">
        <v>191627864.9527</v>
      </c>
      <c r="D22" s="37" t="n">
        <v>196293772.4929</v>
      </c>
      <c r="E22" s="38" t="n">
        <f aca="false">C22-D22</f>
        <v>-4665907.54020008</v>
      </c>
      <c r="F22" s="45" t="n">
        <v>0.970332097869281</v>
      </c>
      <c r="G22" s="39" t="n">
        <f aca="false">IF(AND(F22&gt;=$D$5,D22&lt;&gt;0),E22/ABS(D22),"n/a (guard)")</f>
        <v>-0.023770023271466</v>
      </c>
      <c r="H22" s="37" t="n">
        <v>29639084.777</v>
      </c>
      <c r="I22" s="45" t="n">
        <v>0.146513844761082</v>
      </c>
      <c r="J22" s="46" t="str">
        <f aca="false">IF(E22&gt;0,"Actual above budget",IF(E22&lt;0,"Actual below budget","On budget"))</f>
        <v>Actual below budget</v>
      </c>
    </row>
    <row r="23" customFormat="false" ht="15" hidden="false" customHeight="false" outlineLevel="0" collapsed="false">
      <c r="A23" s="23" t="s">
        <v>172</v>
      </c>
      <c r="B23" s="37" t="n">
        <v>11517</v>
      </c>
      <c r="C23" s="37" t="n">
        <v>87563588.9843999</v>
      </c>
      <c r="D23" s="37" t="n">
        <v>82756589.5566999</v>
      </c>
      <c r="E23" s="38" t="n">
        <f aca="false">C23-D23</f>
        <v>4806999.42769995</v>
      </c>
      <c r="F23" s="45" t="n">
        <v>0.94122873961262</v>
      </c>
      <c r="G23" s="39" t="n">
        <f aca="false">IF(AND(F23&gt;=$D$5,D23&lt;&gt;0),E23/ABS(D23),"n/a (guard)")</f>
        <v>0.0580860020144557</v>
      </c>
      <c r="H23" s="37" t="n">
        <v>18631523.8703</v>
      </c>
      <c r="I23" s="45" t="n">
        <v>0.211904886649419</v>
      </c>
      <c r="J23" s="46" t="str">
        <f aca="false">IF(E23&gt;0,"Actual above budget",IF(E23&lt;0,"Actual below budget","On budget"))</f>
        <v>Actual above budget</v>
      </c>
    </row>
    <row r="24" customFormat="false" ht="15" hidden="false" customHeight="false" outlineLevel="0" collapsed="false">
      <c r="A24" s="23" t="s">
        <v>173</v>
      </c>
      <c r="B24" s="37" t="n">
        <v>3101</v>
      </c>
      <c r="C24" s="37" t="n">
        <v>37123067.6416</v>
      </c>
      <c r="D24" s="37" t="n">
        <v>37083623.9063</v>
      </c>
      <c r="E24" s="38" t="n">
        <f aca="false">C24-D24</f>
        <v>39443.7353000268</v>
      </c>
      <c r="F24" s="45" t="n">
        <v>0.983474318238797</v>
      </c>
      <c r="G24" s="39" t="n">
        <f aca="false">IF(AND(F24&gt;=$D$5,D24&lt;&gt;0),E24/ABS(D24),"n/a (guard)")</f>
        <v>0.00106364295462844</v>
      </c>
      <c r="H24" s="37" t="n">
        <v>11007527.7637</v>
      </c>
      <c r="I24" s="45" t="n">
        <v>0.291924567303692</v>
      </c>
      <c r="J24" s="46" t="str">
        <f aca="false">IF(E24&gt;0,"Actual above budget",IF(E24&lt;0,"Actual below budget","On budget"))</f>
        <v>Actual above budget</v>
      </c>
    </row>
    <row r="25" customFormat="false" ht="15" hidden="false" customHeight="false" outlineLevel="0" collapsed="false">
      <c r="A25" s="23" t="s">
        <v>174</v>
      </c>
      <c r="B25" s="37" t="n">
        <v>8153</v>
      </c>
      <c r="C25" s="37" t="n">
        <v>41160729.6026</v>
      </c>
      <c r="D25" s="37" t="n">
        <v>39236309.7375001</v>
      </c>
      <c r="E25" s="38" t="n">
        <f aca="false">C25-D25</f>
        <v>1924419.86509995</v>
      </c>
      <c r="F25" s="45" t="n">
        <v>0.964022031940627</v>
      </c>
      <c r="G25" s="39" t="n">
        <f aca="false">IF(AND(F25&gt;=$D$5,D25&lt;&gt;0),E25/ABS(D25),"n/a (guard)")</f>
        <v>0.0490469128716427</v>
      </c>
      <c r="H25" s="37" t="n">
        <v>13214431.1645</v>
      </c>
      <c r="I25" s="45" t="n">
        <v>0.324673825529661</v>
      </c>
      <c r="J25" s="46" t="str">
        <f aca="false">IF(E25&gt;0,"Actual above budget",IF(E25&lt;0,"Actual below budget","On budget"))</f>
        <v>Actual above budget</v>
      </c>
    </row>
    <row r="26" customFormat="false" ht="15" hidden="false" customHeight="false" outlineLevel="0" collapsed="false">
      <c r="A26" s="23" t="s">
        <v>175</v>
      </c>
      <c r="B26" s="37" t="n">
        <v>325</v>
      </c>
      <c r="C26" s="37" t="n">
        <v>1762454.7938</v>
      </c>
      <c r="D26" s="37" t="n">
        <v>1621481.0638</v>
      </c>
      <c r="E26" s="38" t="n">
        <f aca="false">C26-D26</f>
        <v>140973.73</v>
      </c>
      <c r="F26" s="45" t="n">
        <v>0.882518883160305</v>
      </c>
      <c r="G26" s="39" t="n">
        <f aca="false">IF(AND(F26&gt;=$D$5,D26&lt;&gt;0),E26/ABS(D26),"n/a (guard)")</f>
        <v>0.0869413360089592</v>
      </c>
      <c r="H26" s="37" t="n">
        <v>622029.6504</v>
      </c>
      <c r="I26" s="45" t="n">
        <v>0.338550307258669</v>
      </c>
      <c r="J26" s="46" t="str">
        <f aca="false">IF(E26&gt;0,"Actual above budget",IF(E26&lt;0,"Actual below budget","On budget"))</f>
        <v>Actual above budget</v>
      </c>
    </row>
    <row r="27" customFormat="false" ht="15" hidden="false" customHeight="false" outlineLevel="0" collapsed="false">
      <c r="A27" s="23" t="s">
        <v>176</v>
      </c>
      <c r="B27" s="37" t="n">
        <v>655</v>
      </c>
      <c r="C27" s="37" t="n">
        <v>539704.35</v>
      </c>
      <c r="D27" s="37" t="n">
        <v>481316.2704</v>
      </c>
      <c r="E27" s="38" t="n">
        <f aca="false">C27-D27</f>
        <v>58388.0796000002</v>
      </c>
      <c r="F27" s="45" t="n">
        <v>0.611139058297457</v>
      </c>
      <c r="G27" s="39" t="n">
        <f aca="false">IF(AND(F27&gt;=$D$5,D27&lt;&gt;0),E27/ABS(D27),"n/a (guard)")</f>
        <v>0.121309174841475</v>
      </c>
      <c r="H27" s="37" t="n">
        <v>288305.1298</v>
      </c>
      <c r="I27" s="45" t="n">
        <v>0.366068085298406</v>
      </c>
      <c r="J27" s="46" t="str">
        <f aca="false">IF(E27&gt;0,"Actual above budget",IF(E27&lt;0,"Actual below budget","On budget"))</f>
        <v>Actual above budget</v>
      </c>
    </row>
    <row r="28" customFormat="false" ht="15" hidden="false" customHeight="false" outlineLevel="0" collapsed="false">
      <c r="A28" s="23" t="s">
        <v>177</v>
      </c>
      <c r="B28" s="37" t="n">
        <v>339</v>
      </c>
      <c r="C28" s="37" t="n">
        <v>2715839.9306</v>
      </c>
      <c r="D28" s="37" t="n">
        <v>2750949.9664</v>
      </c>
      <c r="E28" s="38" t="n">
        <f aca="false">C28-D28</f>
        <v>-35110.0357999988</v>
      </c>
      <c r="F28" s="45" t="n">
        <v>0.901105688752061</v>
      </c>
      <c r="G28" s="39" t="n">
        <f aca="false">IF(AND(F28&gt;=$D$5,D28&lt;&gt;0),E28/ABS(D28),"n/a (guard)")</f>
        <v>-0.0127628769075525</v>
      </c>
      <c r="H28" s="37" t="n">
        <v>955020.0446</v>
      </c>
      <c r="I28" s="45" t="n">
        <v>0.312827934194488</v>
      </c>
      <c r="J28" s="46" t="str">
        <f aca="false">IF(E28&gt;0,"Actual above budget",IF(E28&lt;0,"Actual below budget","On budget"))</f>
        <v>Actual below budget</v>
      </c>
    </row>
    <row r="31" customFormat="false" ht="15" hidden="false" customHeight="false" outlineLevel="0" collapsed="false">
      <c r="A31" s="20" t="s">
        <v>179</v>
      </c>
      <c r="B31" s="21"/>
      <c r="C31" s="21"/>
      <c r="D31" s="21"/>
      <c r="E31" s="21"/>
      <c r="F31" s="21"/>
      <c r="G31" s="21"/>
      <c r="H31" s="21"/>
      <c r="I31" s="21"/>
      <c r="J31" s="21"/>
      <c r="K31" s="21"/>
      <c r="L31" s="21"/>
      <c r="M31" s="21"/>
    </row>
    <row r="32" customFormat="false" ht="27.75" hidden="false" customHeight="true" outlineLevel="0" collapsed="false">
      <c r="A32" s="26" t="s">
        <v>180</v>
      </c>
      <c r="B32" s="26"/>
      <c r="C32" s="26"/>
      <c r="D32" s="26"/>
      <c r="E32" s="26"/>
      <c r="F32" s="26"/>
      <c r="G32" s="26"/>
      <c r="H32" s="26"/>
      <c r="I32" s="26"/>
      <c r="J32" s="26"/>
      <c r="K32" s="26"/>
      <c r="L32" s="26"/>
      <c r="M32" s="26"/>
    </row>
    <row r="33" customFormat="false" ht="57.75" hidden="false" customHeight="true" outlineLevel="0" collapsed="false">
      <c r="A33" s="22" t="s">
        <v>162</v>
      </c>
      <c r="B33" s="22" t="s">
        <v>181</v>
      </c>
      <c r="C33" s="22" t="s">
        <v>182</v>
      </c>
      <c r="D33" s="22" t="s">
        <v>183</v>
      </c>
      <c r="E33" s="22" t="s">
        <v>184</v>
      </c>
      <c r="F33" s="22" t="s">
        <v>185</v>
      </c>
    </row>
    <row r="34" customFormat="false" ht="15" hidden="false" customHeight="false" outlineLevel="0" collapsed="false">
      <c r="A34" s="23" t="s">
        <v>171</v>
      </c>
      <c r="B34" s="37" t="n">
        <v>-4665907.5402</v>
      </c>
      <c r="C34" s="37" t="n">
        <v>-7023037.2615</v>
      </c>
      <c r="D34" s="37" t="n">
        <v>2361269.7213</v>
      </c>
      <c r="E34" s="37" t="n">
        <v>-4140</v>
      </c>
      <c r="F34" s="47" t="n">
        <f aca="false">B34-(C34+D34+E34)</f>
        <v>-7.45058059692383E-009</v>
      </c>
    </row>
    <row r="35" customFormat="false" ht="15" hidden="false" customHeight="false" outlineLevel="0" collapsed="false">
      <c r="A35" s="23" t="s">
        <v>172</v>
      </c>
      <c r="B35" s="37" t="n">
        <v>4806999.4277</v>
      </c>
      <c r="C35" s="37" t="n">
        <v>5295741.7991</v>
      </c>
      <c r="D35" s="37" t="n">
        <v>-453472.7214</v>
      </c>
      <c r="E35" s="37" t="n">
        <v>-35269.65</v>
      </c>
      <c r="F35" s="47" t="n">
        <f aca="false">B35-(C35+D35+E35)</f>
        <v>-9.31322574615479E-010</v>
      </c>
    </row>
    <row r="36" customFormat="false" ht="15" hidden="false" customHeight="false" outlineLevel="0" collapsed="false">
      <c r="A36" s="23" t="s">
        <v>173</v>
      </c>
      <c r="B36" s="37" t="n">
        <v>39443.7352999996</v>
      </c>
      <c r="C36" s="37" t="n">
        <v>2292850.2451</v>
      </c>
      <c r="D36" s="37" t="n">
        <v>-2264166.5098</v>
      </c>
      <c r="E36" s="37" t="n">
        <v>10760</v>
      </c>
      <c r="F36" s="47" t="n">
        <f aca="false">B36-(C36+D36+E36)</f>
        <v>-4.90399543195963E-009</v>
      </c>
    </row>
    <row r="37" customFormat="false" ht="15" hidden="false" customHeight="false" outlineLevel="0" collapsed="false">
      <c r="A37" s="23" t="s">
        <v>174</v>
      </c>
      <c r="B37" s="37" t="n">
        <v>1924419.8651</v>
      </c>
      <c r="C37" s="37" t="n">
        <v>2498428.74099999</v>
      </c>
      <c r="D37" s="37" t="n">
        <v>-610688.7959</v>
      </c>
      <c r="E37" s="37" t="n">
        <v>36679.92</v>
      </c>
      <c r="F37" s="47" t="n">
        <f aca="false">B37-(C37+D37+E37)</f>
        <v>9.54605638980866E-009</v>
      </c>
    </row>
    <row r="38" customFormat="false" ht="15" hidden="false" customHeight="false" outlineLevel="0" collapsed="false">
      <c r="A38" s="23" t="s">
        <v>175</v>
      </c>
      <c r="B38" s="37" t="n">
        <v>140973.73</v>
      </c>
      <c r="C38" s="37" t="n">
        <v>103872.29</v>
      </c>
      <c r="D38" s="37" t="n">
        <v>37101.44</v>
      </c>
      <c r="E38" s="37" t="n">
        <v>0</v>
      </c>
      <c r="F38" s="47" t="n">
        <f aca="false">B38-(C38+D38+E38)</f>
        <v>-2.91038304567337E-011</v>
      </c>
    </row>
    <row r="39" customFormat="false" ht="15" hidden="false" customHeight="false" outlineLevel="0" collapsed="false">
      <c r="A39" s="23" t="s">
        <v>176</v>
      </c>
      <c r="B39" s="37" t="n">
        <v>58388.0796</v>
      </c>
      <c r="C39" s="37" t="n">
        <v>31165.4422</v>
      </c>
      <c r="D39" s="37" t="n">
        <v>27222.6374</v>
      </c>
      <c r="E39" s="37" t="n">
        <v>0</v>
      </c>
      <c r="F39" s="47" t="n">
        <f aca="false">B39-(C39+D39+E39)</f>
        <v>0</v>
      </c>
    </row>
    <row r="40" customFormat="false" ht="15" hidden="false" customHeight="false" outlineLevel="0" collapsed="false">
      <c r="A40" s="23" t="s">
        <v>177</v>
      </c>
      <c r="B40" s="37" t="n">
        <v>-35110.0358</v>
      </c>
      <c r="C40" s="37" t="n">
        <v>166616.1873</v>
      </c>
      <c r="D40" s="37" t="n">
        <v>-217726.2231</v>
      </c>
      <c r="E40" s="37" t="n">
        <v>16000</v>
      </c>
      <c r="F40" s="47" t="n">
        <f aca="false">B40-(C40+D40+E40)</f>
        <v>-1.09139364212751E-010</v>
      </c>
    </row>
    <row r="43" customFormat="false" ht="15" hidden="false" customHeight="false" outlineLevel="0" collapsed="false">
      <c r="A43" s="20" t="s">
        <v>186</v>
      </c>
      <c r="B43" s="21"/>
      <c r="C43" s="21"/>
      <c r="D43" s="21"/>
      <c r="E43" s="21"/>
      <c r="F43" s="21"/>
      <c r="G43" s="21"/>
      <c r="H43" s="21"/>
      <c r="I43" s="21"/>
      <c r="J43" s="21"/>
      <c r="K43" s="21"/>
      <c r="L43" s="21"/>
      <c r="M43" s="21"/>
    </row>
    <row r="44" customFormat="false" ht="13.5" hidden="false" customHeight="true" outlineLevel="0" collapsed="false">
      <c r="A44" s="26" t="s">
        <v>187</v>
      </c>
      <c r="B44" s="26"/>
      <c r="C44" s="26"/>
      <c r="D44" s="26"/>
      <c r="E44" s="26"/>
      <c r="F44" s="26"/>
      <c r="G44" s="26"/>
      <c r="H44" s="26"/>
      <c r="I44" s="26"/>
      <c r="J44" s="26"/>
      <c r="K44" s="26"/>
      <c r="L44" s="26"/>
      <c r="M44" s="26"/>
    </row>
    <row r="45" customFormat="false" ht="43.5" hidden="false" customHeight="true" outlineLevel="0" collapsed="false">
      <c r="A45" s="22" t="s">
        <v>188</v>
      </c>
      <c r="B45" s="22" t="s">
        <v>162</v>
      </c>
      <c r="C45" s="22" t="s">
        <v>189</v>
      </c>
      <c r="D45" s="22" t="s">
        <v>190</v>
      </c>
      <c r="E45" s="22" t="s">
        <v>191</v>
      </c>
      <c r="F45" s="22" t="s">
        <v>163</v>
      </c>
      <c r="G45" s="22" t="s">
        <v>164</v>
      </c>
      <c r="H45" s="22" t="s">
        <v>192</v>
      </c>
      <c r="I45" s="22" t="s">
        <v>193</v>
      </c>
      <c r="J45" s="22" t="s">
        <v>194</v>
      </c>
      <c r="K45" s="22" t="s">
        <v>170</v>
      </c>
    </row>
    <row r="46" customFormat="false" ht="15" hidden="false" customHeight="false" outlineLevel="0" collapsed="false">
      <c r="A46" s="34" t="n">
        <v>1</v>
      </c>
      <c r="B46" s="23" t="s">
        <v>171</v>
      </c>
      <c r="C46" s="23" t="s">
        <v>195</v>
      </c>
      <c r="D46" s="34" t="n">
        <v>4100</v>
      </c>
      <c r="E46" s="23" t="s">
        <v>196</v>
      </c>
      <c r="F46" s="37" t="n">
        <v>45163683.9592</v>
      </c>
      <c r="G46" s="37" t="n">
        <v>46799585.5188</v>
      </c>
      <c r="H46" s="38" t="n">
        <f aca="false">F46-G46</f>
        <v>-1635901.55960008</v>
      </c>
      <c r="I46" s="45" t="n">
        <v>-0.0349554711108037</v>
      </c>
      <c r="J46" s="45" t="n">
        <v>0.232933629523503</v>
      </c>
      <c r="K46" s="46" t="str">
        <f aca="false">IF(H46&gt;0,"Actual above budget",IF(H46&lt;0,"Actual below budget","On budget"))</f>
        <v>Actual below budget</v>
      </c>
    </row>
    <row r="47" customFormat="false" ht="15" hidden="false" customHeight="false" outlineLevel="0" collapsed="false">
      <c r="A47" s="34" t="n">
        <v>2</v>
      </c>
      <c r="B47" s="23" t="s">
        <v>171</v>
      </c>
      <c r="C47" s="23" t="s">
        <v>197</v>
      </c>
      <c r="D47" s="34" t="n">
        <v>4100</v>
      </c>
      <c r="E47" s="23" t="s">
        <v>196</v>
      </c>
      <c r="F47" s="37" t="n">
        <v>39062315.7333999</v>
      </c>
      <c r="G47" s="37" t="n">
        <v>40431207.2525</v>
      </c>
      <c r="H47" s="38" t="n">
        <f aca="false">F47-G47</f>
        <v>-1368891.5191001</v>
      </c>
      <c r="I47" s="45" t="n">
        <v>-0.0338573001432045</v>
      </c>
      <c r="J47" s="45" t="n">
        <v>0.194914460528952</v>
      </c>
      <c r="K47" s="46" t="str">
        <f aca="false">IF(H47&gt;0,"Actual above budget",IF(H47&lt;0,"Actual below budget","On budget"))</f>
        <v>Actual below budget</v>
      </c>
    </row>
    <row r="48" customFormat="false" ht="15" hidden="false" customHeight="false" outlineLevel="0" collapsed="false">
      <c r="A48" s="34" t="n">
        <v>3</v>
      </c>
      <c r="B48" s="23" t="s">
        <v>172</v>
      </c>
      <c r="C48" s="23" t="s">
        <v>195</v>
      </c>
      <c r="D48" s="34" t="n">
        <v>5100</v>
      </c>
      <c r="E48" s="23" t="s">
        <v>198</v>
      </c>
      <c r="F48" s="37" t="n">
        <v>16784899.4949</v>
      </c>
      <c r="G48" s="37" t="n">
        <v>15775212.9353</v>
      </c>
      <c r="H48" s="38" t="n">
        <f aca="false">F48-G48</f>
        <v>1009686.55959998</v>
      </c>
      <c r="I48" s="45" t="n">
        <v>0.0640046231858231</v>
      </c>
      <c r="J48" s="45" t="n">
        <v>0.190618691278567</v>
      </c>
      <c r="K48" s="46" t="str">
        <f aca="false">IF(H48&gt;0,"Actual above budget",IF(H48&lt;0,"Actual below budget","On budget"))</f>
        <v>Actual above budget</v>
      </c>
    </row>
    <row r="49" customFormat="false" ht="15" hidden="false" customHeight="false" outlineLevel="0" collapsed="false">
      <c r="A49" s="34" t="n">
        <v>4</v>
      </c>
      <c r="B49" s="23" t="s">
        <v>172</v>
      </c>
      <c r="C49" s="23" t="s">
        <v>197</v>
      </c>
      <c r="D49" s="34" t="n">
        <v>5100</v>
      </c>
      <c r="E49" s="23" t="s">
        <v>198</v>
      </c>
      <c r="F49" s="37" t="n">
        <v>14552122.9058</v>
      </c>
      <c r="G49" s="37" t="n">
        <v>13687719.5735</v>
      </c>
      <c r="H49" s="38" t="n">
        <f aca="false">F49-G49</f>
        <v>864403.332299998</v>
      </c>
      <c r="I49" s="45" t="n">
        <v>0.063151741797335</v>
      </c>
      <c r="J49" s="45" t="n">
        <v>0.163190675733204</v>
      </c>
      <c r="K49" s="46" t="str">
        <f aca="false">IF(H49&gt;0,"Actual above budget",IF(H49&lt;0,"Actual below budget","On budget"))</f>
        <v>Actual above budget</v>
      </c>
    </row>
    <row r="50" customFormat="false" ht="15" hidden="false" customHeight="false" outlineLevel="0" collapsed="false">
      <c r="A50" s="34" t="n">
        <v>5</v>
      </c>
      <c r="B50" s="23" t="s">
        <v>171</v>
      </c>
      <c r="C50" s="23" t="s">
        <v>199</v>
      </c>
      <c r="D50" s="34" t="n">
        <v>4100</v>
      </c>
      <c r="E50" s="23" t="s">
        <v>196</v>
      </c>
      <c r="F50" s="37" t="n">
        <v>22882184.6045</v>
      </c>
      <c r="G50" s="37" t="n">
        <v>23743615.0525</v>
      </c>
      <c r="H50" s="38" t="n">
        <f aca="false">F50-G50</f>
        <v>-861430.44800001</v>
      </c>
      <c r="I50" s="45" t="n">
        <v>-0.0362805093535788</v>
      </c>
      <c r="J50" s="45" t="n">
        <v>0.122657821100043</v>
      </c>
      <c r="K50" s="46" t="str">
        <f aca="false">IF(H50&gt;0,"Actual above budget",IF(H50&lt;0,"Actual below budget","On budget"))</f>
        <v>Actual below budget</v>
      </c>
    </row>
    <row r="51" customFormat="false" ht="15" hidden="false" customHeight="false" outlineLevel="0" collapsed="false">
      <c r="A51" s="34" t="n">
        <v>6</v>
      </c>
      <c r="B51" s="23" t="s">
        <v>171</v>
      </c>
      <c r="C51" s="23" t="s">
        <v>200</v>
      </c>
      <c r="D51" s="34" t="n">
        <v>4100</v>
      </c>
      <c r="E51" s="23" t="s">
        <v>196</v>
      </c>
      <c r="F51" s="37" t="n">
        <v>23532210.7044</v>
      </c>
      <c r="G51" s="37" t="n">
        <v>24390095.5505</v>
      </c>
      <c r="H51" s="38" t="n">
        <f aca="false">F51-G51</f>
        <v>-857884.846100021</v>
      </c>
      <c r="I51" s="45" t="n">
        <v>-0.0351734926303892</v>
      </c>
      <c r="J51" s="45" t="n">
        <v>0.122152968033202</v>
      </c>
      <c r="K51" s="46" t="str">
        <f aca="false">IF(H51&gt;0,"Actual above budget",IF(H51&lt;0,"Actual below budget","On budget"))</f>
        <v>Actual below budget</v>
      </c>
    </row>
    <row r="52" customFormat="false" ht="15" hidden="false" customHeight="false" outlineLevel="0" collapsed="false">
      <c r="A52" s="34" t="n">
        <v>7</v>
      </c>
      <c r="B52" s="23" t="s">
        <v>172</v>
      </c>
      <c r="C52" s="23" t="s">
        <v>200</v>
      </c>
      <c r="D52" s="34" t="n">
        <v>5100</v>
      </c>
      <c r="E52" s="23" t="s">
        <v>198</v>
      </c>
      <c r="F52" s="37" t="n">
        <v>9983482.9736</v>
      </c>
      <c r="G52" s="37" t="n">
        <v>9378766.2398</v>
      </c>
      <c r="H52" s="38" t="n">
        <f aca="false">F52-G52</f>
        <v>604716.733800009</v>
      </c>
      <c r="I52" s="45" t="n">
        <v>0.0644772156953657</v>
      </c>
      <c r="J52" s="45" t="n">
        <v>0.114164451626325</v>
      </c>
      <c r="K52" s="46" t="str">
        <f aca="false">IF(H52&gt;0,"Actual above budget",IF(H52&lt;0,"Actual below budget","On budget"))</f>
        <v>Actual above budget</v>
      </c>
    </row>
    <row r="53" customFormat="false" ht="15" hidden="false" customHeight="false" outlineLevel="0" collapsed="false">
      <c r="A53" s="34" t="n">
        <v>8</v>
      </c>
      <c r="B53" s="23" t="s">
        <v>171</v>
      </c>
      <c r="C53" s="23" t="s">
        <v>201</v>
      </c>
      <c r="D53" s="34" t="n">
        <v>4100</v>
      </c>
      <c r="E53" s="23" t="s">
        <v>196</v>
      </c>
      <c r="F53" s="37" t="n">
        <v>16515292.5906</v>
      </c>
      <c r="G53" s="37" t="n">
        <v>17116952.7187</v>
      </c>
      <c r="H53" s="38" t="n">
        <f aca="false">F53-G53</f>
        <v>-601660.12810001</v>
      </c>
      <c r="I53" s="45" t="n">
        <v>-0.0351499556017757</v>
      </c>
      <c r="J53" s="45" t="n">
        <v>0.0856695053290227</v>
      </c>
      <c r="K53" s="46" t="str">
        <f aca="false">IF(H53&gt;0,"Actual above budget",IF(H53&lt;0,"Actual below budget","On budget"))</f>
        <v>Actual below budget</v>
      </c>
    </row>
    <row r="54" customFormat="false" ht="15" hidden="false" customHeight="false" outlineLevel="0" collapsed="false">
      <c r="A54" s="34" t="n">
        <v>9</v>
      </c>
      <c r="B54" s="23" t="s">
        <v>171</v>
      </c>
      <c r="C54" s="23" t="s">
        <v>202</v>
      </c>
      <c r="D54" s="34" t="n">
        <v>4100</v>
      </c>
      <c r="E54" s="23" t="s">
        <v>196</v>
      </c>
      <c r="F54" s="37" t="n">
        <v>16378411.5248</v>
      </c>
      <c r="G54" s="37" t="n">
        <v>16964616.433</v>
      </c>
      <c r="H54" s="38" t="n">
        <f aca="false">F54-G54</f>
        <v>-586204.908200016</v>
      </c>
      <c r="I54" s="45" t="n">
        <v>-0.0345545630527608</v>
      </c>
      <c r="J54" s="45" t="n">
        <v>0.0834688591805644</v>
      </c>
      <c r="K54" s="46" t="str">
        <f aca="false">IF(H54&gt;0,"Actual above budget",IF(H54&lt;0,"Actual below budget","On budget"))</f>
        <v>Actual below budget</v>
      </c>
    </row>
    <row r="55" customFormat="false" ht="15" hidden="false" customHeight="false" outlineLevel="0" collapsed="false">
      <c r="A55" s="34" t="n">
        <v>10</v>
      </c>
      <c r="B55" s="23" t="s">
        <v>172</v>
      </c>
      <c r="C55" s="23" t="s">
        <v>199</v>
      </c>
      <c r="D55" s="34" t="n">
        <v>5100</v>
      </c>
      <c r="E55" s="23" t="s">
        <v>198</v>
      </c>
      <c r="F55" s="37" t="n">
        <v>9110414.13120001</v>
      </c>
      <c r="G55" s="37" t="n">
        <v>8550728.71319999</v>
      </c>
      <c r="H55" s="38" t="n">
        <f aca="false">F55-G55</f>
        <v>559685.418000022</v>
      </c>
      <c r="I55" s="45" t="n">
        <v>0.065454704127848</v>
      </c>
      <c r="J55" s="45" t="n">
        <v>0.105662991046571</v>
      </c>
      <c r="K55" s="46" t="str">
        <f aca="false">IF(H55&gt;0,"Actual above budget",IF(H55&lt;0,"Actual below budget","On budget"))</f>
        <v>Actual above budget</v>
      </c>
    </row>
    <row r="56" customFormat="false" ht="15" hidden="false" customHeight="false" outlineLevel="0" collapsed="false">
      <c r="A56" s="34" t="n">
        <v>11</v>
      </c>
      <c r="B56" s="23" t="s">
        <v>172</v>
      </c>
      <c r="C56" s="23" t="s">
        <v>202</v>
      </c>
      <c r="D56" s="34" t="n">
        <v>5100</v>
      </c>
      <c r="E56" s="23" t="s">
        <v>198</v>
      </c>
      <c r="F56" s="37" t="n">
        <v>6386101.3962</v>
      </c>
      <c r="G56" s="37" t="n">
        <v>5993368.0814</v>
      </c>
      <c r="H56" s="38" t="n">
        <f aca="false">F56-G56</f>
        <v>392733.314800006</v>
      </c>
      <c r="I56" s="45" t="n">
        <v>0.0655279818402646</v>
      </c>
      <c r="J56" s="45" t="n">
        <v>0.0741441091563377</v>
      </c>
      <c r="K56" s="46" t="str">
        <f aca="false">IF(H56&gt;0,"Actual above budget",IF(H56&lt;0,"Actual below budget","On budget"))</f>
        <v>Actual above budget</v>
      </c>
    </row>
    <row r="57" customFormat="false" ht="15" hidden="false" customHeight="false" outlineLevel="0" collapsed="false">
      <c r="A57" s="34" t="n">
        <v>12</v>
      </c>
      <c r="B57" s="23" t="s">
        <v>173</v>
      </c>
      <c r="C57" s="23" t="s">
        <v>195</v>
      </c>
      <c r="D57" s="34" t="n">
        <v>6100</v>
      </c>
      <c r="E57" s="23" t="s">
        <v>203</v>
      </c>
      <c r="F57" s="37" t="n">
        <v>6326715.9236</v>
      </c>
      <c r="G57" s="37" t="n">
        <v>5944851.7999</v>
      </c>
      <c r="H57" s="38" t="n">
        <f aca="false">F57-G57</f>
        <v>381864.123700002</v>
      </c>
      <c r="I57" s="45" t="n">
        <v>0.0642344227498529</v>
      </c>
      <c r="J57" s="45" t="n">
        <v>0.16654560170952</v>
      </c>
      <c r="K57" s="46" t="str">
        <f aca="false">IF(H57&gt;0,"Actual above budget",IF(H57&lt;0,"Actual below budget","On budget"))</f>
        <v>Actual above budget</v>
      </c>
    </row>
    <row r="58" customFormat="false" ht="15" hidden="false" customHeight="false" outlineLevel="0" collapsed="false">
      <c r="A58" s="34" t="n">
        <v>13</v>
      </c>
      <c r="B58" s="23" t="s">
        <v>173</v>
      </c>
      <c r="C58" s="23" t="s">
        <v>197</v>
      </c>
      <c r="D58" s="34" t="n">
        <v>6100</v>
      </c>
      <c r="E58" s="23" t="s">
        <v>203</v>
      </c>
      <c r="F58" s="37" t="n">
        <v>6021845.7643</v>
      </c>
      <c r="G58" s="37" t="n">
        <v>5647605.339</v>
      </c>
      <c r="H58" s="38" t="n">
        <f aca="false">F58-G58</f>
        <v>374240.425299999</v>
      </c>
      <c r="I58" s="45" t="n">
        <v>0.066265328902438</v>
      </c>
      <c r="J58" s="45" t="n">
        <v>0.163220614211408</v>
      </c>
      <c r="K58" s="46" t="str">
        <f aca="false">IF(H58&gt;0,"Actual above budget",IF(H58&lt;0,"Actual below budget","On budget"))</f>
        <v>Actual above budget</v>
      </c>
    </row>
    <row r="59" customFormat="false" ht="15" hidden="false" customHeight="false" outlineLevel="0" collapsed="false">
      <c r="A59" s="34" t="n">
        <v>14</v>
      </c>
      <c r="B59" s="23" t="s">
        <v>172</v>
      </c>
      <c r="C59" s="23" t="s">
        <v>201</v>
      </c>
      <c r="D59" s="34" t="n">
        <v>5100</v>
      </c>
      <c r="E59" s="23" t="s">
        <v>198</v>
      </c>
      <c r="F59" s="37" t="n">
        <v>6121235.629</v>
      </c>
      <c r="G59" s="37" t="n">
        <v>5751685.7464</v>
      </c>
      <c r="H59" s="38" t="n">
        <f aca="false">F59-G59</f>
        <v>369549.882599997</v>
      </c>
      <c r="I59" s="45" t="n">
        <v>0.0642507082086851</v>
      </c>
      <c r="J59" s="45" t="n">
        <v>0.0697673097790534</v>
      </c>
      <c r="K59" s="46" t="str">
        <f aca="false">IF(H59&gt;0,"Actual above budget",IF(H59&lt;0,"Actual below budget","On budget"))</f>
        <v>Actual above budget</v>
      </c>
    </row>
    <row r="60" customFormat="false" ht="15" hidden="false" customHeight="false" outlineLevel="0" collapsed="false">
      <c r="A60" s="34" t="n">
        <v>15</v>
      </c>
      <c r="B60" s="23" t="s">
        <v>173</v>
      </c>
      <c r="C60" s="23" t="s">
        <v>200</v>
      </c>
      <c r="D60" s="34" t="n">
        <v>6100</v>
      </c>
      <c r="E60" s="23" t="s">
        <v>203</v>
      </c>
      <c r="F60" s="37" t="n">
        <v>4755118.851</v>
      </c>
      <c r="G60" s="37" t="n">
        <v>4458441.7807</v>
      </c>
      <c r="H60" s="38" t="n">
        <f aca="false">F60-G60</f>
        <v>296677.0703</v>
      </c>
      <c r="I60" s="45" t="n">
        <v>0.0665427709708525</v>
      </c>
      <c r="J60" s="45" t="n">
        <v>0.129392257926143</v>
      </c>
      <c r="K60" s="46" t="str">
        <f aca="false">IF(H60&gt;0,"Actual above budget",IF(H60&lt;0,"Actual below budget","On budget"))</f>
        <v>Actual above budget</v>
      </c>
    </row>
    <row r="61" customFormat="false" ht="15" hidden="false" customHeight="false" outlineLevel="0" collapsed="false">
      <c r="A61" s="34" t="n">
        <v>16</v>
      </c>
      <c r="B61" s="23" t="s">
        <v>173</v>
      </c>
      <c r="C61" s="23" t="s">
        <v>199</v>
      </c>
      <c r="D61" s="34" t="n">
        <v>6100</v>
      </c>
      <c r="E61" s="23" t="s">
        <v>203</v>
      </c>
      <c r="F61" s="37" t="n">
        <v>4321151.5628</v>
      </c>
      <c r="G61" s="37" t="n">
        <v>4073656.6233</v>
      </c>
      <c r="H61" s="38" t="n">
        <f aca="false">F61-G61</f>
        <v>247494.9395</v>
      </c>
      <c r="I61" s="45" t="n">
        <v>0.0607549831481644</v>
      </c>
      <c r="J61" s="45" t="n">
        <v>0.107942042891338</v>
      </c>
      <c r="K61" s="46" t="str">
        <f aca="false">IF(H61&gt;0,"Actual above budget",IF(H61&lt;0,"Actual below budget","On budget"))</f>
        <v>Actual above budget</v>
      </c>
    </row>
    <row r="62" customFormat="false" ht="15" hidden="false" customHeight="false" outlineLevel="0" collapsed="false">
      <c r="A62" s="34" t="n">
        <v>17</v>
      </c>
      <c r="B62" s="23" t="s">
        <v>171</v>
      </c>
      <c r="C62" s="23" t="s">
        <v>195</v>
      </c>
      <c r="D62" s="34" t="n">
        <v>4110</v>
      </c>
      <c r="E62" s="23" t="s">
        <v>204</v>
      </c>
      <c r="F62" s="37" t="n">
        <v>6581105.24449999</v>
      </c>
      <c r="G62" s="37" t="n">
        <v>6816998.04429999</v>
      </c>
      <c r="H62" s="38" t="n">
        <f aca="false">F62-G62</f>
        <v>-235892.7998</v>
      </c>
      <c r="I62" s="45" t="n">
        <v>-0.0346036185234409</v>
      </c>
      <c r="J62" s="45" t="n">
        <v>0.0335884306200616</v>
      </c>
      <c r="K62" s="46" t="str">
        <f aca="false">IF(H62&gt;0,"Actual above budget",IF(H62&lt;0,"Actual below budget","On budget"))</f>
        <v>Actual below budget</v>
      </c>
    </row>
    <row r="63" customFormat="false" ht="15" hidden="false" customHeight="false" outlineLevel="0" collapsed="false">
      <c r="A63" s="34" t="n">
        <v>18</v>
      </c>
      <c r="B63" s="23" t="s">
        <v>172</v>
      </c>
      <c r="C63" s="23" t="s">
        <v>195</v>
      </c>
      <c r="D63" s="34" t="n">
        <v>5200</v>
      </c>
      <c r="E63" s="23" t="s">
        <v>205</v>
      </c>
      <c r="F63" s="37" t="n">
        <v>3309972.6925</v>
      </c>
      <c r="G63" s="37" t="n">
        <v>3084330.81</v>
      </c>
      <c r="H63" s="38" t="n">
        <f aca="false">F63-G63</f>
        <v>225641.882499998</v>
      </c>
      <c r="I63" s="45" t="n">
        <v>0.0731574841999519</v>
      </c>
      <c r="J63" s="45" t="n">
        <v>0.0425989233300498</v>
      </c>
      <c r="K63" s="46" t="str">
        <f aca="false">IF(H63&gt;0,"Actual above budget",IF(H63&lt;0,"Actual below budget","On budget"))</f>
        <v>Actual above budget</v>
      </c>
    </row>
    <row r="64" customFormat="false" ht="15" hidden="false" customHeight="false" outlineLevel="0" collapsed="false">
      <c r="A64" s="34" t="n">
        <v>19</v>
      </c>
      <c r="B64" s="23" t="s">
        <v>171</v>
      </c>
      <c r="C64" s="23" t="s">
        <v>197</v>
      </c>
      <c r="D64" s="34" t="n">
        <v>4110</v>
      </c>
      <c r="E64" s="23" t="s">
        <v>204</v>
      </c>
      <c r="F64" s="37" t="n">
        <v>5707360.3489</v>
      </c>
      <c r="G64" s="37" t="n">
        <v>5912906.03610001</v>
      </c>
      <c r="H64" s="38" t="n">
        <f aca="false">F64-G64</f>
        <v>-205545.687200007</v>
      </c>
      <c r="I64" s="45" t="n">
        <v>-0.03476221099153</v>
      </c>
      <c r="J64" s="45" t="n">
        <v>0.0292673496589279</v>
      </c>
      <c r="K64" s="46" t="str">
        <f aca="false">IF(H64&gt;0,"Actual above budget",IF(H64&lt;0,"Actual below budget","On budget"))</f>
        <v>Actual below budget</v>
      </c>
    </row>
    <row r="65" customFormat="false" ht="15" hidden="false" customHeight="false" outlineLevel="0" collapsed="false">
      <c r="A65" s="34" t="n">
        <v>20</v>
      </c>
      <c r="B65" s="23" t="s">
        <v>173</v>
      </c>
      <c r="C65" s="23" t="s">
        <v>202</v>
      </c>
      <c r="D65" s="34" t="n">
        <v>6100</v>
      </c>
      <c r="E65" s="23" t="s">
        <v>203</v>
      </c>
      <c r="F65" s="37" t="n">
        <v>2999600.0052</v>
      </c>
      <c r="G65" s="37" t="n">
        <v>2831926.4837</v>
      </c>
      <c r="H65" s="38" t="n">
        <f aca="false">F65-G65</f>
        <v>167673.521499996</v>
      </c>
      <c r="I65" s="45" t="n">
        <v>0.0592082889386766</v>
      </c>
      <c r="J65" s="45" t="n">
        <v>0.0731288586589253</v>
      </c>
      <c r="K65" s="46" t="str">
        <f aca="false">IF(H65&gt;0,"Actual above budget",IF(H65&lt;0,"Actual below budget","On budget"))</f>
        <v>Actual above budget</v>
      </c>
    </row>
    <row r="68" customFormat="false" ht="15" hidden="false" customHeight="false" outlineLevel="0" collapsed="false">
      <c r="A68" s="20" t="s">
        <v>206</v>
      </c>
      <c r="B68" s="21"/>
      <c r="C68" s="21"/>
      <c r="D68" s="21"/>
      <c r="E68" s="21"/>
      <c r="F68" s="21"/>
      <c r="G68" s="21"/>
      <c r="H68" s="21"/>
      <c r="I68" s="21"/>
      <c r="J68" s="21"/>
      <c r="K68" s="21"/>
      <c r="L68" s="21"/>
      <c r="M68" s="21"/>
    </row>
    <row r="69" customFormat="false" ht="27.75" hidden="false" customHeight="true" outlineLevel="0" collapsed="false">
      <c r="A69" s="26" t="s">
        <v>207</v>
      </c>
      <c r="B69" s="26"/>
      <c r="C69" s="26"/>
      <c r="D69" s="26"/>
      <c r="E69" s="26"/>
      <c r="F69" s="26"/>
      <c r="G69" s="26"/>
      <c r="H69" s="26"/>
      <c r="I69" s="26"/>
      <c r="J69" s="26"/>
      <c r="K69" s="26"/>
      <c r="L69" s="26"/>
      <c r="M69" s="26"/>
    </row>
    <row r="70" customFormat="false" ht="43.5" hidden="false" customHeight="true" outlineLevel="0" collapsed="false">
      <c r="A70" s="22" t="s">
        <v>208</v>
      </c>
      <c r="B70" s="22" t="s">
        <v>209</v>
      </c>
      <c r="C70" s="22" t="s">
        <v>210</v>
      </c>
      <c r="D70" s="22" t="s">
        <v>211</v>
      </c>
      <c r="G70" s="22" t="s">
        <v>208</v>
      </c>
      <c r="H70" s="22" t="s">
        <v>212</v>
      </c>
      <c r="I70" s="22" t="s">
        <v>210</v>
      </c>
      <c r="J70" s="22" t="s">
        <v>213</v>
      </c>
      <c r="K70" s="22" t="s">
        <v>214</v>
      </c>
      <c r="L70" s="22" t="s">
        <v>215</v>
      </c>
    </row>
    <row r="71" customFormat="false" ht="15" hidden="false" customHeight="false" outlineLevel="0" collapsed="false">
      <c r="A71" s="23" t="s">
        <v>216</v>
      </c>
      <c r="B71" s="48" t="n">
        <v>0.0025</v>
      </c>
      <c r="C71" s="37" t="n">
        <v>69</v>
      </c>
      <c r="D71" s="45" t="n">
        <v>0.912511754929264</v>
      </c>
      <c r="G71" s="23" t="s">
        <v>216</v>
      </c>
      <c r="H71" s="45" t="n">
        <v>0.005</v>
      </c>
      <c r="I71" s="37" t="n">
        <v>138</v>
      </c>
      <c r="J71" s="37" t="n">
        <v>0</v>
      </c>
      <c r="K71" s="37" t="n">
        <v>144</v>
      </c>
      <c r="L71" s="45" t="n">
        <v>0.998373035536964</v>
      </c>
    </row>
    <row r="72" customFormat="false" ht="15" hidden="false" customHeight="false" outlineLevel="0" collapsed="false">
      <c r="A72" s="23" t="s">
        <v>216</v>
      </c>
      <c r="B72" s="48" t="n">
        <v>0.005</v>
      </c>
      <c r="C72" s="37" t="n">
        <v>38</v>
      </c>
      <c r="D72" s="45" t="n">
        <v>0.798609528122181</v>
      </c>
      <c r="G72" s="23" t="s">
        <v>216</v>
      </c>
      <c r="H72" s="45" t="n">
        <v>0.01</v>
      </c>
      <c r="I72" s="37" t="n">
        <v>133</v>
      </c>
      <c r="J72" s="37" t="n">
        <v>0</v>
      </c>
      <c r="K72" s="37" t="n">
        <v>144</v>
      </c>
      <c r="L72" s="45" t="n">
        <v>0.99635891962417</v>
      </c>
    </row>
    <row r="73" customFormat="false" ht="15" hidden="false" customHeight="false" outlineLevel="0" collapsed="false">
      <c r="A73" s="23" t="s">
        <v>216</v>
      </c>
      <c r="B73" s="48" t="n">
        <v>0.01</v>
      </c>
      <c r="C73" s="37" t="n">
        <v>19</v>
      </c>
      <c r="D73" s="45" t="n">
        <v>0.670627300696265</v>
      </c>
      <c r="G73" s="23" t="s">
        <v>216</v>
      </c>
      <c r="H73" s="45" t="n">
        <v>0.02</v>
      </c>
      <c r="I73" s="37" t="n">
        <v>130</v>
      </c>
      <c r="J73" s="37" t="n">
        <v>0</v>
      </c>
      <c r="K73" s="37" t="n">
        <v>144</v>
      </c>
      <c r="L73" s="45" t="n">
        <v>0.996138015334529</v>
      </c>
    </row>
    <row r="74" customFormat="false" ht="15" hidden="false" customHeight="false" outlineLevel="0" collapsed="false">
      <c r="A74" s="23" t="s">
        <v>216</v>
      </c>
      <c r="B74" s="48" t="n">
        <v>0.02</v>
      </c>
      <c r="C74" s="37" t="n">
        <v>14</v>
      </c>
      <c r="D74" s="45" t="n">
        <v>0.601081789473565</v>
      </c>
      <c r="G74" s="23" t="s">
        <v>216</v>
      </c>
      <c r="H74" s="45" t="n">
        <v>0.05</v>
      </c>
      <c r="I74" s="37" t="n">
        <v>86</v>
      </c>
      <c r="J74" s="37" t="n">
        <v>0</v>
      </c>
      <c r="K74" s="37" t="n">
        <v>144</v>
      </c>
      <c r="L74" s="45" t="n">
        <v>0.538673658985198</v>
      </c>
    </row>
    <row r="75" customFormat="false" ht="15" hidden="false" customHeight="false" outlineLevel="0" collapsed="false">
      <c r="A75" s="23" t="s">
        <v>216</v>
      </c>
      <c r="B75" s="48" t="n">
        <v>0.05</v>
      </c>
      <c r="C75" s="37" t="n">
        <v>3</v>
      </c>
      <c r="D75" s="45" t="n">
        <v>0.230496173638097</v>
      </c>
      <c r="G75" s="23" t="s">
        <v>216</v>
      </c>
      <c r="H75" s="45" t="n">
        <v>0.1</v>
      </c>
      <c r="I75" s="37" t="n">
        <v>0</v>
      </c>
      <c r="J75" s="37" t="n">
        <v>0</v>
      </c>
      <c r="K75" s="37" t="n">
        <v>144</v>
      </c>
      <c r="L75" s="45"/>
    </row>
    <row r="76" customFormat="false" ht="15" hidden="false" customHeight="false" outlineLevel="0" collapsed="false">
      <c r="A76" s="23" t="s">
        <v>217</v>
      </c>
      <c r="B76" s="48" t="n">
        <v>0.0025</v>
      </c>
      <c r="C76" s="37" t="n">
        <v>78</v>
      </c>
      <c r="D76" s="45" t="n">
        <v>0.939624602490067</v>
      </c>
      <c r="G76" s="23" t="s">
        <v>217</v>
      </c>
      <c r="H76" s="45" t="n">
        <v>0.005</v>
      </c>
      <c r="I76" s="37" t="n">
        <v>138</v>
      </c>
      <c r="J76" s="37" t="n">
        <v>0</v>
      </c>
      <c r="K76" s="37" t="n">
        <v>144</v>
      </c>
      <c r="L76" s="45" t="n">
        <v>0.993440267458822</v>
      </c>
    </row>
    <row r="77" customFormat="false" ht="15" hidden="false" customHeight="false" outlineLevel="0" collapsed="false">
      <c r="A77" s="23" t="s">
        <v>217</v>
      </c>
      <c r="B77" s="48" t="n">
        <v>0.005</v>
      </c>
      <c r="C77" s="37" t="n">
        <v>54</v>
      </c>
      <c r="D77" s="45" t="n">
        <v>0.85348105860362</v>
      </c>
      <c r="G77" s="23" t="s">
        <v>217</v>
      </c>
      <c r="H77" s="45" t="n">
        <v>0.01</v>
      </c>
      <c r="I77" s="37" t="n">
        <v>128</v>
      </c>
      <c r="J77" s="37" t="n">
        <v>0</v>
      </c>
      <c r="K77" s="37" t="n">
        <v>144</v>
      </c>
      <c r="L77" s="45" t="n">
        <v>0.990591258421077</v>
      </c>
    </row>
    <row r="78" customFormat="false" ht="15" hidden="false" customHeight="false" outlineLevel="0" collapsed="false">
      <c r="A78" s="23" t="s">
        <v>217</v>
      </c>
      <c r="B78" s="48" t="n">
        <v>0.01</v>
      </c>
      <c r="C78" s="37" t="n">
        <v>26</v>
      </c>
      <c r="D78" s="45" t="n">
        <v>0.655792584025715</v>
      </c>
      <c r="G78" s="23" t="s">
        <v>217</v>
      </c>
      <c r="H78" s="45" t="n">
        <v>0.02</v>
      </c>
      <c r="I78" s="37" t="n">
        <v>105</v>
      </c>
      <c r="J78" s="37" t="n">
        <v>0</v>
      </c>
      <c r="K78" s="37" t="n">
        <v>144</v>
      </c>
      <c r="L78" s="45" t="n">
        <v>0.90340766687276</v>
      </c>
    </row>
    <row r="79" customFormat="false" ht="15" hidden="false" customHeight="false" outlineLevel="0" collapsed="false">
      <c r="A79" s="23" t="s">
        <v>217</v>
      </c>
      <c r="B79" s="48" t="n">
        <v>0.02</v>
      </c>
      <c r="C79" s="37" t="n">
        <v>11</v>
      </c>
      <c r="D79" s="45" t="n">
        <v>0.444320992708864</v>
      </c>
      <c r="G79" s="23" t="s">
        <v>217</v>
      </c>
      <c r="H79" s="45" t="n">
        <v>0.05</v>
      </c>
      <c r="I79" s="37" t="n">
        <v>67</v>
      </c>
      <c r="J79" s="37" t="n">
        <v>0</v>
      </c>
      <c r="K79" s="37" t="n">
        <v>144</v>
      </c>
      <c r="L79" s="45" t="n">
        <v>0.515971088846559</v>
      </c>
    </row>
    <row r="80" customFormat="false" ht="15" hidden="false" customHeight="false" outlineLevel="0" collapsed="false">
      <c r="A80" s="23" t="s">
        <v>217</v>
      </c>
      <c r="B80" s="48" t="n">
        <v>0.05</v>
      </c>
      <c r="C80" s="37" t="n">
        <v>2</v>
      </c>
      <c r="D80" s="45" t="n">
        <v>0.163751112707731</v>
      </c>
      <c r="G80" s="23" t="s">
        <v>217</v>
      </c>
      <c r="H80" s="45" t="n">
        <v>0.1</v>
      </c>
      <c r="I80" s="37" t="n">
        <v>31</v>
      </c>
      <c r="J80" s="37" t="n">
        <v>0</v>
      </c>
      <c r="K80" s="37" t="n">
        <v>144</v>
      </c>
      <c r="L80" s="45" t="n">
        <v>0.243276158853795</v>
      </c>
    </row>
    <row r="82" customFormat="false" ht="27.75" hidden="false" customHeight="true" outlineLevel="0" collapsed="false">
      <c r="A82" s="49" t="s">
        <v>218</v>
      </c>
      <c r="B82" s="49"/>
      <c r="C82" s="49"/>
      <c r="D82" s="49"/>
      <c r="E82" s="49"/>
      <c r="F82" s="49"/>
      <c r="G82" s="49"/>
      <c r="H82" s="49"/>
      <c r="I82" s="49"/>
      <c r="J82" s="49"/>
      <c r="K82" s="49"/>
      <c r="L82" s="49"/>
      <c r="M82" s="49"/>
    </row>
    <row r="85" customFormat="false" ht="15" hidden="false" customHeight="false" outlineLevel="0" collapsed="false">
      <c r="A85" s="20" t="s">
        <v>219</v>
      </c>
      <c r="B85" s="21"/>
      <c r="C85" s="21"/>
      <c r="D85" s="21"/>
      <c r="E85" s="21"/>
      <c r="F85" s="21"/>
      <c r="G85" s="21"/>
      <c r="H85" s="21"/>
      <c r="I85" s="21"/>
      <c r="J85" s="21"/>
      <c r="K85" s="21"/>
      <c r="L85" s="21"/>
      <c r="M85" s="21"/>
    </row>
    <row r="86" customFormat="false" ht="27.75" hidden="false" customHeight="true" outlineLevel="0" collapsed="false">
      <c r="A86" s="26" t="s">
        <v>220</v>
      </c>
      <c r="B86" s="26"/>
      <c r="C86" s="26"/>
      <c r="D86" s="26"/>
      <c r="E86" s="26"/>
      <c r="F86" s="26"/>
      <c r="G86" s="26"/>
      <c r="H86" s="26"/>
      <c r="I86" s="26"/>
      <c r="J86" s="26"/>
      <c r="K86" s="26"/>
      <c r="L86" s="26"/>
      <c r="M86" s="26"/>
    </row>
    <row r="87" customFormat="false" ht="43.5" hidden="false" customHeight="true" outlineLevel="0" collapsed="false">
      <c r="A87" s="22" t="s">
        <v>208</v>
      </c>
      <c r="B87" s="22" t="s">
        <v>162</v>
      </c>
      <c r="C87" s="22" t="s">
        <v>134</v>
      </c>
      <c r="D87" s="22" t="s">
        <v>92</v>
      </c>
      <c r="E87" s="22" t="s">
        <v>163</v>
      </c>
      <c r="F87" s="22" t="s">
        <v>164</v>
      </c>
      <c r="G87" s="22" t="s">
        <v>192</v>
      </c>
      <c r="H87" s="22" t="s">
        <v>221</v>
      </c>
      <c r="I87" s="22" t="s">
        <v>222</v>
      </c>
      <c r="J87" s="22" t="s">
        <v>223</v>
      </c>
    </row>
    <row r="88" customFormat="false" ht="15" hidden="false" customHeight="false" outlineLevel="0" collapsed="false">
      <c r="A88" s="23" t="s">
        <v>216</v>
      </c>
      <c r="B88" s="23" t="s">
        <v>224</v>
      </c>
      <c r="C88" s="36" t="n">
        <v>44927</v>
      </c>
      <c r="D88" s="37" t="n">
        <v>770</v>
      </c>
      <c r="E88" s="37" t="n">
        <v>4006977.0992</v>
      </c>
      <c r="F88" s="37" t="n">
        <v>4145927.6234</v>
      </c>
      <c r="G88" s="38" t="n">
        <f aca="false">E88-F88</f>
        <v>-138950.524200004</v>
      </c>
      <c r="H88" s="45" t="n">
        <v>-0.0335149420881711</v>
      </c>
      <c r="I88" s="39" t="n">
        <f aca="false">IF(F88&lt;&gt;0,G88/ABS(F88),"n/a")</f>
        <v>-0.033514942088172</v>
      </c>
      <c r="J88" s="46" t="str">
        <f aca="false">IF(H88="","guard",IF(ABS(H88-I88)&lt;0.000001,"OK","DIFF"))</f>
        <v>OK</v>
      </c>
    </row>
    <row r="89" customFormat="false" ht="15" hidden="false" customHeight="false" outlineLevel="0" collapsed="false">
      <c r="A89" s="23" t="s">
        <v>216</v>
      </c>
      <c r="B89" s="23" t="s">
        <v>224</v>
      </c>
      <c r="C89" s="36" t="n">
        <v>44958</v>
      </c>
      <c r="D89" s="37" t="n">
        <v>785</v>
      </c>
      <c r="E89" s="37" t="n">
        <v>4750459.6866</v>
      </c>
      <c r="F89" s="37" t="n">
        <v>4932440.7062</v>
      </c>
      <c r="G89" s="38" t="n">
        <f aca="false">E89-F89</f>
        <v>-181981.019599997</v>
      </c>
      <c r="H89" s="45" t="n">
        <v>-0.0368947201678984</v>
      </c>
      <c r="I89" s="39" t="n">
        <f aca="false">IF(F89&lt;&gt;0,G89/ABS(F89),"n/a")</f>
        <v>-0.0368947201678977</v>
      </c>
      <c r="J89" s="46" t="str">
        <f aca="false">IF(H89="","guard",IF(ABS(H89-I89)&lt;0.000001,"OK","DIFF"))</f>
        <v>OK</v>
      </c>
    </row>
    <row r="90" customFormat="false" ht="15" hidden="false" customHeight="false" outlineLevel="0" collapsed="false">
      <c r="A90" s="23" t="s">
        <v>216</v>
      </c>
      <c r="B90" s="23" t="s">
        <v>224</v>
      </c>
      <c r="C90" s="36" t="n">
        <v>44986</v>
      </c>
      <c r="D90" s="37" t="n">
        <v>754</v>
      </c>
      <c r="E90" s="37" t="n">
        <v>4184101.1434</v>
      </c>
      <c r="F90" s="37" t="n">
        <v>4347648.5944</v>
      </c>
      <c r="G90" s="38" t="n">
        <f aca="false">E90-F90</f>
        <v>-163547.450999996</v>
      </c>
      <c r="H90" s="45" t="n">
        <v>-0.0376174493979707</v>
      </c>
      <c r="I90" s="39" t="n">
        <f aca="false">IF(F90&lt;&gt;0,G90/ABS(F90),"n/a")</f>
        <v>-0.0376174493979697</v>
      </c>
      <c r="J90" s="46" t="str">
        <f aca="false">IF(H90="","guard",IF(ABS(H90-I90)&lt;0.000001,"OK","DIFF"))</f>
        <v>OK</v>
      </c>
    </row>
    <row r="91" customFormat="false" ht="15" hidden="false" customHeight="false" outlineLevel="0" collapsed="false">
      <c r="A91" s="23" t="s">
        <v>216</v>
      </c>
      <c r="B91" s="23" t="s">
        <v>224</v>
      </c>
      <c r="C91" s="36" t="n">
        <v>45017</v>
      </c>
      <c r="D91" s="37" t="n">
        <v>765</v>
      </c>
      <c r="E91" s="37" t="n">
        <v>5151502.1326</v>
      </c>
      <c r="F91" s="37" t="n">
        <v>5337284.9624</v>
      </c>
      <c r="G91" s="38" t="n">
        <f aca="false">E91-F91</f>
        <v>-185782.829799998</v>
      </c>
      <c r="H91" s="45" t="n">
        <v>-0.0348084899174017</v>
      </c>
      <c r="I91" s="39" t="n">
        <f aca="false">IF(F91&lt;&gt;0,G91/ABS(F91),"n/a")</f>
        <v>-0.0348084899174012</v>
      </c>
      <c r="J91" s="46" t="str">
        <f aca="false">IF(H91="","guard",IF(ABS(H91-I91)&lt;0.000001,"OK","DIFF"))</f>
        <v>OK</v>
      </c>
    </row>
    <row r="92" customFormat="false" ht="15" hidden="false" customHeight="false" outlineLevel="0" collapsed="false">
      <c r="A92" s="23" t="s">
        <v>216</v>
      </c>
      <c r="B92" s="23" t="s">
        <v>224</v>
      </c>
      <c r="C92" s="36" t="n">
        <v>45047</v>
      </c>
      <c r="D92" s="37" t="n">
        <v>756</v>
      </c>
      <c r="E92" s="37" t="n">
        <v>5138693.15239999</v>
      </c>
      <c r="F92" s="37" t="n">
        <v>5335455.4121</v>
      </c>
      <c r="G92" s="38" t="n">
        <f aca="false">E92-F92</f>
        <v>-196762.259700004</v>
      </c>
      <c r="H92" s="45" t="n">
        <v>-0.0368782502153</v>
      </c>
      <c r="I92" s="39" t="n">
        <f aca="false">IF(F92&lt;&gt;0,G92/ABS(F92),"n/a")</f>
        <v>-0.0368782502153007</v>
      </c>
      <c r="J92" s="46" t="str">
        <f aca="false">IF(H92="","guard",IF(ABS(H92-I92)&lt;0.000001,"OK","DIFF"))</f>
        <v>OK</v>
      </c>
    </row>
    <row r="93" customFormat="false" ht="15" hidden="false" customHeight="false" outlineLevel="0" collapsed="false">
      <c r="A93" s="23" t="s">
        <v>216</v>
      </c>
      <c r="B93" s="23" t="s">
        <v>224</v>
      </c>
      <c r="C93" s="36" t="n">
        <v>45078</v>
      </c>
      <c r="D93" s="37" t="n">
        <v>768</v>
      </c>
      <c r="E93" s="37" t="n">
        <v>5317946.4424</v>
      </c>
      <c r="F93" s="37" t="n">
        <v>5513478.14869999</v>
      </c>
      <c r="G93" s="38" t="n">
        <f aca="false">E93-F93</f>
        <v>-195531.706299985</v>
      </c>
      <c r="H93" s="45" t="n">
        <v>-0.035464311461197</v>
      </c>
      <c r="I93" s="39" t="n">
        <f aca="false">IF(F93&lt;&gt;0,G93/ABS(F93),"n/a")</f>
        <v>-0.0354643114611942</v>
      </c>
      <c r="J93" s="46" t="str">
        <f aca="false">IF(H93="","guard",IF(ABS(H93-I93)&lt;0.000001,"OK","DIFF"))</f>
        <v>OK</v>
      </c>
    </row>
    <row r="94" customFormat="false" ht="15" hidden="false" customHeight="false" outlineLevel="0" collapsed="false">
      <c r="A94" s="23" t="s">
        <v>216</v>
      </c>
      <c r="B94" s="23" t="s">
        <v>224</v>
      </c>
      <c r="C94" s="36" t="n">
        <v>45108</v>
      </c>
      <c r="D94" s="37" t="n">
        <v>791</v>
      </c>
      <c r="E94" s="37" t="n">
        <v>6012950.1062</v>
      </c>
      <c r="F94" s="37" t="n">
        <v>6248757.75370001</v>
      </c>
      <c r="G94" s="38" t="n">
        <f aca="false">E94-F94</f>
        <v>-235807.647500007</v>
      </c>
      <c r="H94" s="45" t="n">
        <v>-0.0377367241289477</v>
      </c>
      <c r="I94" s="39" t="n">
        <f aca="false">IF(F94&lt;&gt;0,G94/ABS(F94),"n/a")</f>
        <v>-0.0377367241289489</v>
      </c>
      <c r="J94" s="46" t="str">
        <f aca="false">IF(H94="","guard",IF(ABS(H94-I94)&lt;0.000001,"OK","DIFF"))</f>
        <v>OK</v>
      </c>
    </row>
    <row r="95" customFormat="false" ht="15" hidden="false" customHeight="false" outlineLevel="0" collapsed="false">
      <c r="A95" s="23" t="s">
        <v>216</v>
      </c>
      <c r="B95" s="23" t="s">
        <v>224</v>
      </c>
      <c r="C95" s="36" t="n">
        <v>45139</v>
      </c>
      <c r="D95" s="37" t="n">
        <v>756</v>
      </c>
      <c r="E95" s="37" t="n">
        <v>4877792.3774</v>
      </c>
      <c r="F95" s="37" t="n">
        <v>5048531.0308</v>
      </c>
      <c r="G95" s="38" t="n">
        <f aca="false">E95-F95</f>
        <v>-170738.653400002</v>
      </c>
      <c r="H95" s="45" t="n">
        <v>-0.0338194719133863</v>
      </c>
      <c r="I95" s="39" t="n">
        <f aca="false">IF(F95&lt;&gt;0,G95/ABS(F95),"n/a")</f>
        <v>-0.0338194719133867</v>
      </c>
      <c r="J95" s="46" t="str">
        <f aca="false">IF(H95="","guard",IF(ABS(H95-I95)&lt;0.000001,"OK","DIFF"))</f>
        <v>OK</v>
      </c>
    </row>
    <row r="96" customFormat="false" ht="15" hidden="false" customHeight="false" outlineLevel="0" collapsed="false">
      <c r="A96" s="23" t="s">
        <v>216</v>
      </c>
      <c r="B96" s="23" t="s">
        <v>224</v>
      </c>
      <c r="C96" s="36" t="n">
        <v>45170</v>
      </c>
      <c r="D96" s="37" t="n">
        <v>739</v>
      </c>
      <c r="E96" s="37" t="n">
        <v>4745365.5746</v>
      </c>
      <c r="F96" s="37" t="n">
        <v>4925483.7731</v>
      </c>
      <c r="G96" s="38" t="n">
        <f aca="false">E96-F96</f>
        <v>-180118.198499999</v>
      </c>
      <c r="H96" s="45" t="n">
        <v>-0.0365686309807163</v>
      </c>
      <c r="I96" s="39" t="n">
        <f aca="false">IF(F96&lt;&gt;0,G96/ABS(F96),"n/a")</f>
        <v>-0.0365686309807161</v>
      </c>
      <c r="J96" s="46" t="str">
        <f aca="false">IF(H96="","guard",IF(ABS(H96-I96)&lt;0.000001,"OK","DIFF"))</f>
        <v>OK</v>
      </c>
    </row>
    <row r="97" customFormat="false" ht="15" hidden="false" customHeight="false" outlineLevel="0" collapsed="false">
      <c r="A97" s="23" t="s">
        <v>216</v>
      </c>
      <c r="B97" s="23" t="s">
        <v>224</v>
      </c>
      <c r="C97" s="36" t="n">
        <v>45200</v>
      </c>
      <c r="D97" s="37" t="n">
        <v>754</v>
      </c>
      <c r="E97" s="37" t="n">
        <v>4591634.0238</v>
      </c>
      <c r="F97" s="37" t="n">
        <v>4759171.6837</v>
      </c>
      <c r="G97" s="38" t="n">
        <f aca="false">E97-F97</f>
        <v>-167537.659900001</v>
      </c>
      <c r="H97" s="45" t="n">
        <v>-0.0352031132799454</v>
      </c>
      <c r="I97" s="39" t="n">
        <f aca="false">IF(F97&lt;&gt;0,G97/ABS(F97),"n/a")</f>
        <v>-0.0352031132799457</v>
      </c>
      <c r="J97" s="46" t="str">
        <f aca="false">IF(H97="","guard",IF(ABS(H97-I97)&lt;0.000001,"OK","DIFF"))</f>
        <v>OK</v>
      </c>
    </row>
    <row r="98" customFormat="false" ht="15" hidden="false" customHeight="false" outlineLevel="0" collapsed="false">
      <c r="A98" s="23" t="s">
        <v>216</v>
      </c>
      <c r="B98" s="23" t="s">
        <v>224</v>
      </c>
      <c r="C98" s="36" t="n">
        <v>45231</v>
      </c>
      <c r="D98" s="37" t="n">
        <v>747</v>
      </c>
      <c r="E98" s="37" t="n">
        <v>4639978.96980001</v>
      </c>
      <c r="F98" s="37" t="n">
        <v>4804950.38979999</v>
      </c>
      <c r="G98" s="38" t="n">
        <f aca="false">E98-F98</f>
        <v>-164971.419999987</v>
      </c>
      <c r="H98" s="45" t="n">
        <v>-0.0343336364825334</v>
      </c>
      <c r="I98" s="39" t="n">
        <f aca="false">IF(F98&lt;&gt;0,G98/ABS(F98),"n/a")</f>
        <v>-0.0343336364825306</v>
      </c>
      <c r="J98" s="46" t="str">
        <f aca="false">IF(H98="","guard",IF(ABS(H98-I98)&lt;0.000001,"OK","DIFF"))</f>
        <v>OK</v>
      </c>
    </row>
    <row r="99" customFormat="false" ht="15" hidden="false" customHeight="false" outlineLevel="0" collapsed="false">
      <c r="A99" s="23" t="s">
        <v>216</v>
      </c>
      <c r="B99" s="23" t="s">
        <v>224</v>
      </c>
      <c r="C99" s="36" t="n">
        <v>45261</v>
      </c>
      <c r="D99" s="37" t="n">
        <v>763</v>
      </c>
      <c r="E99" s="37" t="n">
        <v>4305996.1371</v>
      </c>
      <c r="F99" s="37" t="n">
        <v>4468705.3448</v>
      </c>
      <c r="G99" s="38" t="n">
        <f aca="false">E99-F99</f>
        <v>-162709.207699996</v>
      </c>
      <c r="H99" s="45" t="n">
        <v>-0.0364108159177101</v>
      </c>
      <c r="I99" s="39" t="n">
        <f aca="false">IF(F99&lt;&gt;0,G99/ABS(F99),"n/a")</f>
        <v>-0.0364108159177091</v>
      </c>
      <c r="J99" s="46" t="str">
        <f aca="false">IF(H99="","guard",IF(ABS(H99-I99)&lt;0.000001,"OK","DIFF"))</f>
        <v>OK</v>
      </c>
    </row>
    <row r="100" customFormat="false" ht="15" hidden="false" customHeight="false" outlineLevel="0" collapsed="false">
      <c r="A100" s="23" t="s">
        <v>216</v>
      </c>
      <c r="B100" s="23" t="s">
        <v>224</v>
      </c>
      <c r="C100" s="36" t="n">
        <v>45292</v>
      </c>
      <c r="D100" s="37" t="n">
        <v>734</v>
      </c>
      <c r="E100" s="37" t="n">
        <v>4564701.0881</v>
      </c>
      <c r="F100" s="37" t="n">
        <v>4738744.5578</v>
      </c>
      <c r="G100" s="38" t="n">
        <f aca="false">E100-F100</f>
        <v>-174043.469699999</v>
      </c>
      <c r="H100" s="45" t="n">
        <v>-0.0367277593415588</v>
      </c>
      <c r="I100" s="39" t="n">
        <f aca="false">IF(F100&lt;&gt;0,G100/ABS(F100),"n/a")</f>
        <v>-0.0367277593415587</v>
      </c>
      <c r="J100" s="46" t="str">
        <f aca="false">IF(H100="","guard",IF(ABS(H100-I100)&lt;0.000001,"OK","DIFF"))</f>
        <v>OK</v>
      </c>
    </row>
    <row r="101" customFormat="false" ht="15" hidden="false" customHeight="false" outlineLevel="0" collapsed="false">
      <c r="A101" s="23" t="s">
        <v>216</v>
      </c>
      <c r="B101" s="23" t="s">
        <v>224</v>
      </c>
      <c r="C101" s="36" t="n">
        <v>45323</v>
      </c>
      <c r="D101" s="37" t="n">
        <v>757</v>
      </c>
      <c r="E101" s="37" t="n">
        <v>5718790.5058</v>
      </c>
      <c r="F101" s="37" t="n">
        <v>5930206.02310001</v>
      </c>
      <c r="G101" s="38" t="n">
        <f aca="false">E101-F101</f>
        <v>-211415.517300007</v>
      </c>
      <c r="H101" s="45" t="n">
        <v>-0.0356506192999822</v>
      </c>
      <c r="I101" s="39" t="n">
        <f aca="false">IF(F101&lt;&gt;0,G101/ABS(F101),"n/a")</f>
        <v>-0.0356506192999834</v>
      </c>
      <c r="J101" s="46" t="str">
        <f aca="false">IF(H101="","guard",IF(ABS(H101-I101)&lt;0.000001,"OK","DIFF"))</f>
        <v>OK</v>
      </c>
    </row>
    <row r="102" customFormat="false" ht="15" hidden="false" customHeight="false" outlineLevel="0" collapsed="false">
      <c r="A102" s="23" t="s">
        <v>216</v>
      </c>
      <c r="B102" s="23" t="s">
        <v>224</v>
      </c>
      <c r="C102" s="36" t="n">
        <v>45352</v>
      </c>
      <c r="D102" s="37" t="n">
        <v>725</v>
      </c>
      <c r="E102" s="37" t="n">
        <v>5188799.0055</v>
      </c>
      <c r="F102" s="37" t="n">
        <v>5381925.4002</v>
      </c>
      <c r="G102" s="38" t="n">
        <f aca="false">E102-F102</f>
        <v>-193126.394699998</v>
      </c>
      <c r="H102" s="45" t="n">
        <v>-0.0358842570900041</v>
      </c>
      <c r="I102" s="39" t="n">
        <f aca="false">IF(F102&lt;&gt;0,G102/ABS(F102),"n/a")</f>
        <v>-0.0358842570900038</v>
      </c>
      <c r="J102" s="46" t="str">
        <f aca="false">IF(H102="","guard",IF(ABS(H102-I102)&lt;0.000001,"OK","DIFF"))</f>
        <v>OK</v>
      </c>
    </row>
    <row r="103" customFormat="false" ht="15" hidden="false" customHeight="false" outlineLevel="0" collapsed="false">
      <c r="A103" s="23" t="s">
        <v>216</v>
      </c>
      <c r="B103" s="23" t="s">
        <v>224</v>
      </c>
      <c r="C103" s="36" t="n">
        <v>45383</v>
      </c>
      <c r="D103" s="37" t="n">
        <v>790</v>
      </c>
      <c r="E103" s="37" t="n">
        <v>5723701.0599</v>
      </c>
      <c r="F103" s="37" t="n">
        <v>5929331.7703</v>
      </c>
      <c r="G103" s="38" t="n">
        <f aca="false">E103-F103</f>
        <v>-205630.710399997</v>
      </c>
      <c r="H103" s="45" t="n">
        <v>-0.0346802503833574</v>
      </c>
      <c r="I103" s="39" t="n">
        <f aca="false">IF(F103&lt;&gt;0,G103/ABS(F103),"n/a")</f>
        <v>-0.0346802503833569</v>
      </c>
      <c r="J103" s="46" t="str">
        <f aca="false">IF(H103="","guard",IF(ABS(H103-I103)&lt;0.000001,"OK","DIFF"))</f>
        <v>OK</v>
      </c>
    </row>
    <row r="104" customFormat="false" ht="15" hidden="false" customHeight="false" outlineLevel="0" collapsed="false">
      <c r="A104" s="23" t="s">
        <v>216</v>
      </c>
      <c r="B104" s="23" t="s">
        <v>224</v>
      </c>
      <c r="C104" s="36" t="n">
        <v>45413</v>
      </c>
      <c r="D104" s="37" t="n">
        <v>750</v>
      </c>
      <c r="E104" s="37" t="n">
        <v>5628937.8316</v>
      </c>
      <c r="F104" s="37" t="n">
        <v>5851416.7704</v>
      </c>
      <c r="G104" s="38" t="n">
        <f aca="false">E104-F104</f>
        <v>-222478.938800003</v>
      </c>
      <c r="H104" s="45" t="n">
        <v>-0.0380213796982353</v>
      </c>
      <c r="I104" s="39" t="n">
        <f aca="false">IF(F104&lt;&gt;0,G104/ABS(F104),"n/a")</f>
        <v>-0.0380213796982358</v>
      </c>
      <c r="J104" s="46" t="str">
        <f aca="false">IF(H104="","guard",IF(ABS(H104-I104)&lt;0.000001,"OK","DIFF"))</f>
        <v>OK</v>
      </c>
    </row>
    <row r="105" customFormat="false" ht="15" hidden="false" customHeight="false" outlineLevel="0" collapsed="false">
      <c r="A105" s="23" t="s">
        <v>216</v>
      </c>
      <c r="B105" s="23" t="s">
        <v>224</v>
      </c>
      <c r="C105" s="36" t="n">
        <v>45444</v>
      </c>
      <c r="D105" s="37" t="n">
        <v>776</v>
      </c>
      <c r="E105" s="37" t="n">
        <v>6278700.18480001</v>
      </c>
      <c r="F105" s="37" t="n">
        <v>6525928.52199999</v>
      </c>
      <c r="G105" s="38" t="n">
        <f aca="false">E105-F105</f>
        <v>-247228.337199989</v>
      </c>
      <c r="H105" s="45" t="n">
        <v>-0.0378840093584464</v>
      </c>
      <c r="I105" s="39" t="n">
        <f aca="false">IF(F105&lt;&gt;0,G105/ABS(F105),"n/a")</f>
        <v>-0.0378840093584447</v>
      </c>
      <c r="J105" s="46" t="str">
        <f aca="false">IF(H105="","guard",IF(ABS(H105-I105)&lt;0.000001,"OK","DIFF"))</f>
        <v>OK</v>
      </c>
    </row>
    <row r="106" customFormat="false" ht="15" hidden="false" customHeight="false" outlineLevel="0" collapsed="false">
      <c r="A106" s="23" t="s">
        <v>216</v>
      </c>
      <c r="B106" s="23" t="s">
        <v>224</v>
      </c>
      <c r="C106" s="36" t="n">
        <v>45474</v>
      </c>
      <c r="D106" s="37" t="n">
        <v>778</v>
      </c>
      <c r="E106" s="37" t="n">
        <v>5926636.7336</v>
      </c>
      <c r="F106" s="37" t="n">
        <v>6164112.1907</v>
      </c>
      <c r="G106" s="38" t="n">
        <f aca="false">E106-F106</f>
        <v>-237475.457099996</v>
      </c>
      <c r="H106" s="45" t="n">
        <v>-0.0385254923585407</v>
      </c>
      <c r="I106" s="39" t="n">
        <f aca="false">IF(F106&lt;&gt;0,G106/ABS(F106),"n/a")</f>
        <v>-0.0385254923585399</v>
      </c>
      <c r="J106" s="46" t="str">
        <f aca="false">IF(H106="","guard",IF(ABS(H106-I106)&lt;0.000001,"OK","DIFF"))</f>
        <v>OK</v>
      </c>
    </row>
    <row r="107" customFormat="false" ht="15" hidden="false" customHeight="false" outlineLevel="0" collapsed="false">
      <c r="A107" s="23" t="s">
        <v>216</v>
      </c>
      <c r="B107" s="23" t="s">
        <v>224</v>
      </c>
      <c r="C107" s="36" t="n">
        <v>45505</v>
      </c>
      <c r="D107" s="37" t="n">
        <v>781</v>
      </c>
      <c r="E107" s="37" t="n">
        <v>5474742.60720001</v>
      </c>
      <c r="F107" s="37" t="n">
        <v>5681537.5326</v>
      </c>
      <c r="G107" s="38" t="n">
        <f aca="false">E107-F107</f>
        <v>-206794.925399994</v>
      </c>
      <c r="H107" s="45" t="n">
        <v>-0.0363977047081771</v>
      </c>
      <c r="I107" s="39" t="n">
        <f aca="false">IF(F107&lt;&gt;0,G107/ABS(F107),"n/a")</f>
        <v>-0.036397704708176</v>
      </c>
      <c r="J107" s="46" t="str">
        <f aca="false">IF(H107="","guard",IF(ABS(H107-I107)&lt;0.000001,"OK","DIFF"))</f>
        <v>OK</v>
      </c>
    </row>
    <row r="108" customFormat="false" ht="15" hidden="false" customHeight="false" outlineLevel="0" collapsed="false">
      <c r="A108" s="23" t="s">
        <v>216</v>
      </c>
      <c r="B108" s="23" t="s">
        <v>224</v>
      </c>
      <c r="C108" s="36" t="n">
        <v>45536</v>
      </c>
      <c r="D108" s="37" t="n">
        <v>810</v>
      </c>
      <c r="E108" s="37" t="n">
        <v>5649684.3177</v>
      </c>
      <c r="F108" s="37" t="n">
        <v>5868004.4109</v>
      </c>
      <c r="G108" s="38" t="n">
        <f aca="false">E108-F108</f>
        <v>-218320.093199999</v>
      </c>
      <c r="H108" s="45" t="n">
        <v>-0.0372051685568715</v>
      </c>
      <c r="I108" s="39" t="n">
        <f aca="false">IF(F108&lt;&gt;0,G108/ABS(F108),"n/a")</f>
        <v>-0.0372051685568713</v>
      </c>
      <c r="J108" s="46" t="str">
        <f aca="false">IF(H108="","guard",IF(ABS(H108-I108)&lt;0.000001,"OK","DIFF"))</f>
        <v>OK</v>
      </c>
    </row>
    <row r="109" customFormat="false" ht="15" hidden="false" customHeight="false" outlineLevel="0" collapsed="false">
      <c r="A109" s="23" t="s">
        <v>216</v>
      </c>
      <c r="B109" s="23" t="s">
        <v>224</v>
      </c>
      <c r="C109" s="36" t="n">
        <v>45566</v>
      </c>
      <c r="D109" s="37" t="n">
        <v>764</v>
      </c>
      <c r="E109" s="37" t="n">
        <v>5372375.6222</v>
      </c>
      <c r="F109" s="37" t="n">
        <v>5557858.1773</v>
      </c>
      <c r="G109" s="38" t="n">
        <f aca="false">E109-F109</f>
        <v>-185482.5551</v>
      </c>
      <c r="H109" s="45" t="n">
        <v>-0.0333730277353186</v>
      </c>
      <c r="I109" s="39" t="n">
        <f aca="false">IF(F109&lt;&gt;0,G109/ABS(F109),"n/a")</f>
        <v>-0.0333730277353185</v>
      </c>
      <c r="J109" s="46" t="str">
        <f aca="false">IF(H109="","guard",IF(ABS(H109-I109)&lt;0.000001,"OK","DIFF"))</f>
        <v>OK</v>
      </c>
    </row>
    <row r="110" customFormat="false" ht="15" hidden="false" customHeight="false" outlineLevel="0" collapsed="false">
      <c r="A110" s="23" t="s">
        <v>216</v>
      </c>
      <c r="B110" s="23" t="s">
        <v>224</v>
      </c>
      <c r="C110" s="36" t="n">
        <v>45597</v>
      </c>
      <c r="D110" s="37" t="n">
        <v>803</v>
      </c>
      <c r="E110" s="37" t="n">
        <v>5507851.84649999</v>
      </c>
      <c r="F110" s="37" t="n">
        <v>5699734.4594</v>
      </c>
      <c r="G110" s="38" t="n">
        <f aca="false">E110-F110</f>
        <v>-191882.612900007</v>
      </c>
      <c r="H110" s="45" t="n">
        <v>-0.0336651846268991</v>
      </c>
      <c r="I110" s="39" t="n">
        <f aca="false">IF(F110&lt;&gt;0,G110/ABS(F110),"n/a")</f>
        <v>-0.0336651846269003</v>
      </c>
      <c r="J110" s="46" t="str">
        <f aca="false">IF(H110="","guard",IF(ABS(H110-I110)&lt;0.000001,"OK","DIFF"))</f>
        <v>OK</v>
      </c>
    </row>
    <row r="111" customFormat="false" ht="15" hidden="false" customHeight="false" outlineLevel="0" collapsed="false">
      <c r="A111" s="23" t="s">
        <v>216</v>
      </c>
      <c r="B111" s="23" t="s">
        <v>224</v>
      </c>
      <c r="C111" s="36" t="n">
        <v>45627</v>
      </c>
      <c r="D111" s="37" t="n">
        <v>786</v>
      </c>
      <c r="E111" s="37" t="n">
        <v>5183182.88509999</v>
      </c>
      <c r="F111" s="37" t="n">
        <v>5366768.8189</v>
      </c>
      <c r="G111" s="38" t="n">
        <f aca="false">E111-F111</f>
        <v>-183585.933800008</v>
      </c>
      <c r="H111" s="45" t="n">
        <v>-0.0342079079600878</v>
      </c>
      <c r="I111" s="39" t="n">
        <f aca="false">IF(F111&lt;&gt;0,G111/ABS(F111),"n/a")</f>
        <v>-0.0342079079600893</v>
      </c>
      <c r="J111" s="46" t="str">
        <f aca="false">IF(H111="","guard",IF(ABS(H111-I111)&lt;0.000001,"OK","DIFF"))</f>
        <v>OK</v>
      </c>
    </row>
    <row r="112" customFormat="false" ht="15" hidden="false" customHeight="false" outlineLevel="0" collapsed="false">
      <c r="A112" s="23" t="s">
        <v>216</v>
      </c>
      <c r="B112" s="23" t="s">
        <v>224</v>
      </c>
      <c r="C112" s="36" t="n">
        <v>45658</v>
      </c>
      <c r="D112" s="37" t="n">
        <v>774</v>
      </c>
      <c r="E112" s="37" t="n">
        <v>4906612.2119</v>
      </c>
      <c r="F112" s="37" t="n">
        <v>5087043.29409999</v>
      </c>
      <c r="G112" s="38" t="n">
        <f aca="false">E112-F112</f>
        <v>-180431.082199989</v>
      </c>
      <c r="H112" s="45" t="n">
        <v>-0.0354687530199057</v>
      </c>
      <c r="I112" s="39" t="n">
        <f aca="false">IF(F112&lt;&gt;0,G112/ABS(F112),"n/a")</f>
        <v>-0.0354687530199035</v>
      </c>
      <c r="J112" s="46" t="str">
        <f aca="false">IF(H112="","guard",IF(ABS(H112-I112)&lt;0.000001,"OK","DIFF"))</f>
        <v>OK</v>
      </c>
    </row>
    <row r="113" customFormat="false" ht="15" hidden="false" customHeight="false" outlineLevel="0" collapsed="false">
      <c r="A113" s="23" t="s">
        <v>216</v>
      </c>
      <c r="B113" s="23" t="s">
        <v>224</v>
      </c>
      <c r="C113" s="36" t="n">
        <v>45689</v>
      </c>
      <c r="D113" s="37" t="n">
        <v>752</v>
      </c>
      <c r="E113" s="37" t="n">
        <v>5421525.202</v>
      </c>
      <c r="F113" s="37" t="n">
        <v>5611122.1876</v>
      </c>
      <c r="G113" s="38" t="n">
        <f aca="false">E113-F113</f>
        <v>-189596.985599998</v>
      </c>
      <c r="H113" s="45" t="n">
        <v>-0.033789495088699</v>
      </c>
      <c r="I113" s="39" t="n">
        <f aca="false">IF(F113&lt;&gt;0,G113/ABS(F113),"n/a")</f>
        <v>-0.0337894950886987</v>
      </c>
      <c r="J113" s="46" t="str">
        <f aca="false">IF(H113="","guard",IF(ABS(H113-I113)&lt;0.000001,"OK","DIFF"))</f>
        <v>OK</v>
      </c>
    </row>
    <row r="114" customFormat="false" ht="15" hidden="false" customHeight="false" outlineLevel="0" collapsed="false">
      <c r="A114" s="23" t="s">
        <v>216</v>
      </c>
      <c r="B114" s="23" t="s">
        <v>224</v>
      </c>
      <c r="C114" s="36" t="n">
        <v>45717</v>
      </c>
      <c r="D114" s="37" t="n">
        <v>780</v>
      </c>
      <c r="E114" s="37" t="n">
        <v>5388352.6816</v>
      </c>
      <c r="F114" s="37" t="n">
        <v>5578964.2709</v>
      </c>
      <c r="G114" s="38" t="n">
        <f aca="false">E114-F114</f>
        <v>-190611.589300003</v>
      </c>
      <c r="H114" s="45" t="n">
        <v>-0.0341661247580011</v>
      </c>
      <c r="I114" s="39" t="n">
        <f aca="false">IF(F114&lt;&gt;0,G114/ABS(F114),"n/a")</f>
        <v>-0.0341661247580016</v>
      </c>
      <c r="J114" s="46" t="str">
        <f aca="false">IF(H114="","guard",IF(ABS(H114-I114)&lt;0.000001,"OK","DIFF"))</f>
        <v>OK</v>
      </c>
    </row>
    <row r="115" customFormat="false" ht="15" hidden="false" customHeight="false" outlineLevel="0" collapsed="false">
      <c r="A115" s="23" t="s">
        <v>216</v>
      </c>
      <c r="B115" s="23" t="s">
        <v>224</v>
      </c>
      <c r="C115" s="36" t="n">
        <v>45748</v>
      </c>
      <c r="D115" s="37" t="n">
        <v>796</v>
      </c>
      <c r="E115" s="37" t="n">
        <v>6052697.5702</v>
      </c>
      <c r="F115" s="37" t="n">
        <v>6257387.8709</v>
      </c>
      <c r="G115" s="38" t="n">
        <f aca="false">E115-F115</f>
        <v>-204690.300699992</v>
      </c>
      <c r="H115" s="45" t="n">
        <v>-0.0327117808457924</v>
      </c>
      <c r="I115" s="39" t="n">
        <f aca="false">IF(F115&lt;&gt;0,G115/ABS(F115),"n/a")</f>
        <v>-0.0327117808457911</v>
      </c>
      <c r="J115" s="46" t="str">
        <f aca="false">IF(H115="","guard",IF(ABS(H115-I115)&lt;0.000001,"OK","DIFF"))</f>
        <v>OK</v>
      </c>
    </row>
    <row r="116" customFormat="false" ht="15" hidden="false" customHeight="false" outlineLevel="0" collapsed="false">
      <c r="A116" s="23" t="s">
        <v>216</v>
      </c>
      <c r="B116" s="23" t="s">
        <v>224</v>
      </c>
      <c r="C116" s="36" t="n">
        <v>45778</v>
      </c>
      <c r="D116" s="37" t="n">
        <v>708</v>
      </c>
      <c r="E116" s="37" t="n">
        <v>5684459.02900001</v>
      </c>
      <c r="F116" s="37" t="n">
        <v>5890357.2452</v>
      </c>
      <c r="G116" s="38" t="n">
        <f aca="false">E116-F116</f>
        <v>-205898.216199996</v>
      </c>
      <c r="H116" s="45" t="n">
        <v>-0.0349551321980996</v>
      </c>
      <c r="I116" s="39" t="n">
        <f aca="false">IF(F116&lt;&gt;0,G116/ABS(F116),"n/a")</f>
        <v>-0.0349551321980989</v>
      </c>
      <c r="J116" s="46" t="str">
        <f aca="false">IF(H116="","guard",IF(ABS(H116-I116)&lt;0.000001,"OK","DIFF"))</f>
        <v>OK</v>
      </c>
    </row>
    <row r="117" customFormat="false" ht="15" hidden="false" customHeight="false" outlineLevel="0" collapsed="false">
      <c r="A117" s="23" t="s">
        <v>216</v>
      </c>
      <c r="B117" s="23" t="s">
        <v>224</v>
      </c>
      <c r="C117" s="36" t="n">
        <v>45809</v>
      </c>
      <c r="D117" s="37" t="n">
        <v>790</v>
      </c>
      <c r="E117" s="37" t="n">
        <v>6812712.961</v>
      </c>
      <c r="F117" s="37" t="n">
        <v>7056877.0407</v>
      </c>
      <c r="G117" s="38" t="n">
        <f aca="false">E117-F117</f>
        <v>-244164.079699995</v>
      </c>
      <c r="H117" s="45" t="n">
        <v>-0.0345994521786057</v>
      </c>
      <c r="I117" s="39" t="n">
        <f aca="false">IF(F117&lt;&gt;0,G117/ABS(F117),"n/a")</f>
        <v>-0.034599452178605</v>
      </c>
      <c r="J117" s="46" t="str">
        <f aca="false">IF(H117="","guard",IF(ABS(H117-I117)&lt;0.000001,"OK","DIFF"))</f>
        <v>OK</v>
      </c>
    </row>
    <row r="118" customFormat="false" ht="15" hidden="false" customHeight="false" outlineLevel="0" collapsed="false">
      <c r="A118" s="23" t="s">
        <v>216</v>
      </c>
      <c r="B118" s="23" t="s">
        <v>224</v>
      </c>
      <c r="C118" s="36" t="n">
        <v>45839</v>
      </c>
      <c r="D118" s="37" t="n">
        <v>760</v>
      </c>
      <c r="E118" s="37" t="n">
        <v>6466413.7289</v>
      </c>
      <c r="F118" s="37" t="n">
        <v>6685597.892</v>
      </c>
      <c r="G118" s="38" t="n">
        <f aca="false">E118-F118</f>
        <v>-219184.163099997</v>
      </c>
      <c r="H118" s="45" t="n">
        <v>-0.0327845267754251</v>
      </c>
      <c r="I118" s="39" t="n">
        <f aca="false">IF(F118&lt;&gt;0,G118/ABS(F118),"n/a")</f>
        <v>-0.0327845267754247</v>
      </c>
      <c r="J118" s="46" t="str">
        <f aca="false">IF(H118="","guard",IF(ABS(H118-I118)&lt;0.000001,"OK","DIFF"))</f>
        <v>OK</v>
      </c>
    </row>
    <row r="119" customFormat="false" ht="15" hidden="false" customHeight="false" outlineLevel="0" collapsed="false">
      <c r="A119" s="23" t="s">
        <v>216</v>
      </c>
      <c r="B119" s="23" t="s">
        <v>224</v>
      </c>
      <c r="C119" s="36" t="n">
        <v>45870</v>
      </c>
      <c r="D119" s="37" t="n">
        <v>724</v>
      </c>
      <c r="E119" s="37" t="n">
        <v>5326384.7601</v>
      </c>
      <c r="F119" s="37" t="n">
        <v>5536399.5832</v>
      </c>
      <c r="G119" s="38" t="n">
        <f aca="false">E119-F119</f>
        <v>-210014.823100005</v>
      </c>
      <c r="H119" s="45" t="n">
        <v>-0.037933465593286</v>
      </c>
      <c r="I119" s="39" t="n">
        <f aca="false">IF(F119&lt;&gt;0,G119/ABS(F119),"n/a")</f>
        <v>-0.0379334655932869</v>
      </c>
      <c r="J119" s="46" t="str">
        <f aca="false">IF(H119="","guard",IF(ABS(H119-I119)&lt;0.000001,"OK","DIFF"))</f>
        <v>OK</v>
      </c>
    </row>
    <row r="120" customFormat="false" ht="15" hidden="false" customHeight="false" outlineLevel="0" collapsed="false">
      <c r="A120" s="23" t="s">
        <v>216</v>
      </c>
      <c r="B120" s="23" t="s">
        <v>224</v>
      </c>
      <c r="C120" s="36" t="n">
        <v>45901</v>
      </c>
      <c r="D120" s="37" t="n">
        <v>762</v>
      </c>
      <c r="E120" s="37" t="n">
        <v>5077673.9038</v>
      </c>
      <c r="F120" s="37" t="n">
        <v>5267307.39250001</v>
      </c>
      <c r="G120" s="38" t="n">
        <f aca="false">E120-F120</f>
        <v>-189633.488700007</v>
      </c>
      <c r="H120" s="45" t="n">
        <v>-0.0360019787282615</v>
      </c>
      <c r="I120" s="39" t="n">
        <f aca="false">IF(F120&lt;&gt;0,G120/ABS(F120),"n/a")</f>
        <v>-0.0360019787282629</v>
      </c>
      <c r="J120" s="46" t="str">
        <f aca="false">IF(H120="","guard",IF(ABS(H120-I120)&lt;0.000001,"OK","DIFF"))</f>
        <v>OK</v>
      </c>
    </row>
    <row r="121" customFormat="false" ht="15" hidden="false" customHeight="false" outlineLevel="0" collapsed="false">
      <c r="A121" s="23" t="s">
        <v>216</v>
      </c>
      <c r="B121" s="23" t="s">
        <v>224</v>
      </c>
      <c r="C121" s="36" t="n">
        <v>45931</v>
      </c>
      <c r="D121" s="37" t="n">
        <v>757</v>
      </c>
      <c r="E121" s="37" t="n">
        <v>5428515.034</v>
      </c>
      <c r="F121" s="37" t="n">
        <v>5637159.06969999</v>
      </c>
      <c r="G121" s="38" t="n">
        <f aca="false">E121-F121</f>
        <v>-208644.035699994</v>
      </c>
      <c r="H121" s="45" t="n">
        <v>-0.0370122668387117</v>
      </c>
      <c r="I121" s="39" t="n">
        <f aca="false">IF(F121&lt;&gt;0,G121/ABS(F121),"n/a")</f>
        <v>-0.0370122668387107</v>
      </c>
      <c r="J121" s="46" t="str">
        <f aca="false">IF(H121="","guard",IF(ABS(H121-I121)&lt;0.000001,"OK","DIFF"))</f>
        <v>OK</v>
      </c>
    </row>
    <row r="122" customFormat="false" ht="15" hidden="false" customHeight="false" outlineLevel="0" collapsed="false">
      <c r="A122" s="23" t="s">
        <v>216</v>
      </c>
      <c r="B122" s="23" t="s">
        <v>224</v>
      </c>
      <c r="C122" s="36" t="n">
        <v>45962</v>
      </c>
      <c r="D122" s="37" t="n">
        <v>749</v>
      </c>
      <c r="E122" s="37" t="n">
        <v>5127230.4014</v>
      </c>
      <c r="F122" s="37" t="n">
        <v>5318644.27949999</v>
      </c>
      <c r="G122" s="38" t="n">
        <f aca="false">E122-F122</f>
        <v>-191413.878099998</v>
      </c>
      <c r="H122" s="45" t="n">
        <v>-0.035989223576726</v>
      </c>
      <c r="I122" s="39" t="n">
        <f aca="false">IF(F122&lt;&gt;0,G122/ABS(F122),"n/a")</f>
        <v>-0.0359892235767255</v>
      </c>
      <c r="J122" s="46" t="str">
        <f aca="false">IF(H122="","guard",IF(ABS(H122-I122)&lt;0.000001,"OK","DIFF"))</f>
        <v>OK</v>
      </c>
    </row>
    <row r="123" customFormat="false" ht="15" hidden="false" customHeight="false" outlineLevel="0" collapsed="false">
      <c r="A123" s="23" t="s">
        <v>216</v>
      </c>
      <c r="B123" s="23" t="s">
        <v>224</v>
      </c>
      <c r="C123" s="36" t="n">
        <v>45992</v>
      </c>
      <c r="D123" s="37" t="n">
        <v>783</v>
      </c>
      <c r="E123" s="37" t="n">
        <v>4762637.6112</v>
      </c>
      <c r="F123" s="37" t="n">
        <v>4929488.7071</v>
      </c>
      <c r="G123" s="38" t="n">
        <f aca="false">E123-F123</f>
        <v>-166851.095899998</v>
      </c>
      <c r="H123" s="45" t="n">
        <v>-0.0338475460263622</v>
      </c>
      <c r="I123" s="39" t="n">
        <f aca="false">IF(F123&lt;&gt;0,G123/ABS(F123),"n/a")</f>
        <v>-0.0338475460263619</v>
      </c>
      <c r="J123" s="46" t="str">
        <f aca="false">IF(H123="","guard",IF(ABS(H123-I123)&lt;0.000001,"OK","DIFF"))</f>
        <v>OK</v>
      </c>
    </row>
    <row r="124" customFormat="false" ht="15" hidden="false" customHeight="false" outlineLevel="0" collapsed="false">
      <c r="A124" s="23" t="s">
        <v>216</v>
      </c>
      <c r="B124" s="23" t="s">
        <v>172</v>
      </c>
      <c r="C124" s="36" t="n">
        <v>44927</v>
      </c>
      <c r="D124" s="37" t="n">
        <v>299</v>
      </c>
      <c r="E124" s="37" t="n">
        <v>2069612.9289</v>
      </c>
      <c r="F124" s="37" t="n">
        <v>1951923.0944</v>
      </c>
      <c r="G124" s="38" t="n">
        <f aca="false">E124-F124</f>
        <v>117689.834499999</v>
      </c>
      <c r="H124" s="45" t="n">
        <v>0.0602942989084191</v>
      </c>
      <c r="I124" s="39" t="n">
        <f aca="false">IF(F124&lt;&gt;0,G124/ABS(F124),"n/a")</f>
        <v>0.0602942989084187</v>
      </c>
      <c r="J124" s="46" t="str">
        <f aca="false">IF(H124="","guard",IF(ABS(H124-I124)&lt;0.000001,"OK","DIFF"))</f>
        <v>OK</v>
      </c>
    </row>
    <row r="125" customFormat="false" ht="15" hidden="false" customHeight="false" outlineLevel="0" collapsed="false">
      <c r="A125" s="23" t="s">
        <v>216</v>
      </c>
      <c r="B125" s="23" t="s">
        <v>172</v>
      </c>
      <c r="C125" s="36" t="n">
        <v>44958</v>
      </c>
      <c r="D125" s="37" t="n">
        <v>258</v>
      </c>
      <c r="E125" s="37" t="n">
        <v>2135740.6901</v>
      </c>
      <c r="F125" s="37" t="n">
        <v>2010232.2692</v>
      </c>
      <c r="G125" s="38" t="n">
        <f aca="false">E125-F125</f>
        <v>125508.4209</v>
      </c>
      <c r="H125" s="45" t="n">
        <v>0.0624347856827251</v>
      </c>
      <c r="I125" s="39" t="n">
        <f aca="false">IF(F125&lt;&gt;0,G125/ABS(F125),"n/a")</f>
        <v>0.062434785682725</v>
      </c>
      <c r="J125" s="46" t="str">
        <f aca="false">IF(H125="","guard",IF(ABS(H125-I125)&lt;0.000001,"OK","DIFF"))</f>
        <v>OK</v>
      </c>
    </row>
    <row r="126" customFormat="false" ht="15" hidden="false" customHeight="false" outlineLevel="0" collapsed="false">
      <c r="A126" s="23" t="s">
        <v>216</v>
      </c>
      <c r="B126" s="23" t="s">
        <v>172</v>
      </c>
      <c r="C126" s="36" t="n">
        <v>44986</v>
      </c>
      <c r="D126" s="37" t="n">
        <v>253</v>
      </c>
      <c r="E126" s="37" t="n">
        <v>2139642.4945</v>
      </c>
      <c r="F126" s="37" t="n">
        <v>2014805.8501</v>
      </c>
      <c r="G126" s="38" t="n">
        <f aca="false">E126-F126</f>
        <v>124836.644400001</v>
      </c>
      <c r="H126" s="45" t="n">
        <v>0.0619596396316816</v>
      </c>
      <c r="I126" s="39" t="n">
        <f aca="false">IF(F126&lt;&gt;0,G126/ABS(F126),"n/a")</f>
        <v>0.0619596396316822</v>
      </c>
      <c r="J126" s="46" t="str">
        <f aca="false">IF(H126="","guard",IF(ABS(H126-I126)&lt;0.000001,"OK","DIFF"))</f>
        <v>OK</v>
      </c>
    </row>
    <row r="127" customFormat="false" ht="15" hidden="false" customHeight="false" outlineLevel="0" collapsed="false">
      <c r="A127" s="23" t="s">
        <v>216</v>
      </c>
      <c r="B127" s="23" t="s">
        <v>172</v>
      </c>
      <c r="C127" s="36" t="n">
        <v>45017</v>
      </c>
      <c r="D127" s="37" t="n">
        <v>289</v>
      </c>
      <c r="E127" s="37" t="n">
        <v>2243634.2204</v>
      </c>
      <c r="F127" s="37" t="n">
        <v>2123817.6744</v>
      </c>
      <c r="G127" s="38" t="n">
        <f aca="false">E127-F127</f>
        <v>119816.545999999</v>
      </c>
      <c r="H127" s="45" t="n">
        <v>0.0564156459588036</v>
      </c>
      <c r="I127" s="39" t="n">
        <f aca="false">IF(F127&lt;&gt;0,G127/ABS(F127),"n/a")</f>
        <v>0.056415645958803</v>
      </c>
      <c r="J127" s="46" t="str">
        <f aca="false">IF(H127="","guard",IF(ABS(H127-I127)&lt;0.000001,"OK","DIFF"))</f>
        <v>OK</v>
      </c>
    </row>
    <row r="128" customFormat="false" ht="15" hidden="false" customHeight="false" outlineLevel="0" collapsed="false">
      <c r="A128" s="23" t="s">
        <v>216</v>
      </c>
      <c r="B128" s="23" t="s">
        <v>172</v>
      </c>
      <c r="C128" s="36" t="n">
        <v>45047</v>
      </c>
      <c r="D128" s="37" t="n">
        <v>331</v>
      </c>
      <c r="E128" s="37" t="n">
        <v>2637259.1264</v>
      </c>
      <c r="F128" s="37" t="n">
        <v>2473938.1862</v>
      </c>
      <c r="G128" s="38" t="n">
        <f aca="false">E128-F128</f>
        <v>163320.940199999</v>
      </c>
      <c r="H128" s="45" t="n">
        <v>0.0660165808147628</v>
      </c>
      <c r="I128" s="39" t="n">
        <f aca="false">IF(F128&lt;&gt;0,G128/ABS(F128),"n/a")</f>
        <v>0.0660165808147623</v>
      </c>
      <c r="J128" s="46" t="str">
        <f aca="false">IF(H128="","guard",IF(ABS(H128-I128)&lt;0.000001,"OK","DIFF"))</f>
        <v>OK</v>
      </c>
    </row>
    <row r="129" customFormat="false" ht="15" hidden="false" customHeight="false" outlineLevel="0" collapsed="false">
      <c r="A129" s="23" t="s">
        <v>216</v>
      </c>
      <c r="B129" s="23" t="s">
        <v>172</v>
      </c>
      <c r="C129" s="36" t="n">
        <v>45078</v>
      </c>
      <c r="D129" s="37" t="n">
        <v>283</v>
      </c>
      <c r="E129" s="37" t="n">
        <v>2281354.9535</v>
      </c>
      <c r="F129" s="37" t="n">
        <v>2148807.769</v>
      </c>
      <c r="G129" s="38" t="n">
        <f aca="false">E129-F129</f>
        <v>132547.184499998</v>
      </c>
      <c r="H129" s="45" t="n">
        <v>0.0616840586730027</v>
      </c>
      <c r="I129" s="39" t="n">
        <f aca="false">IF(F129&lt;&gt;0,G129/ABS(F129),"n/a")</f>
        <v>0.0616840586730018</v>
      </c>
      <c r="J129" s="46" t="str">
        <f aca="false">IF(H129="","guard",IF(ABS(H129-I129)&lt;0.000001,"OK","DIFF"))</f>
        <v>OK</v>
      </c>
    </row>
    <row r="130" customFormat="false" ht="15" hidden="false" customHeight="false" outlineLevel="0" collapsed="false">
      <c r="A130" s="23" t="s">
        <v>216</v>
      </c>
      <c r="B130" s="23" t="s">
        <v>172</v>
      </c>
      <c r="C130" s="36" t="n">
        <v>45108</v>
      </c>
      <c r="D130" s="37" t="n">
        <v>309</v>
      </c>
      <c r="E130" s="37" t="n">
        <v>2430819.9617</v>
      </c>
      <c r="F130" s="37" t="n">
        <v>2273806.6769</v>
      </c>
      <c r="G130" s="38" t="n">
        <f aca="false">E130-F130</f>
        <v>157013.284800002</v>
      </c>
      <c r="H130" s="45" t="n">
        <v>0.0690530494061459</v>
      </c>
      <c r="I130" s="39" t="n">
        <f aca="false">IF(F130&lt;&gt;0,G130/ABS(F130),"n/a")</f>
        <v>0.0690530494061467</v>
      </c>
      <c r="J130" s="46" t="str">
        <f aca="false">IF(H130="","guard",IF(ABS(H130-I130)&lt;0.000001,"OK","DIFF"))</f>
        <v>OK</v>
      </c>
    </row>
    <row r="131" customFormat="false" ht="15" hidden="false" customHeight="false" outlineLevel="0" collapsed="false">
      <c r="A131" s="23" t="s">
        <v>216</v>
      </c>
      <c r="B131" s="23" t="s">
        <v>172</v>
      </c>
      <c r="C131" s="36" t="n">
        <v>45139</v>
      </c>
      <c r="D131" s="37" t="n">
        <v>301</v>
      </c>
      <c r="E131" s="37" t="n">
        <v>2507462.1367</v>
      </c>
      <c r="F131" s="37" t="n">
        <v>2343806.6246</v>
      </c>
      <c r="G131" s="38" t="n">
        <f aca="false">E131-F131</f>
        <v>163655.512099999</v>
      </c>
      <c r="H131" s="45" t="n">
        <v>0.0698246648773466</v>
      </c>
      <c r="I131" s="39" t="n">
        <f aca="false">IF(F131&lt;&gt;0,G131/ABS(F131),"n/a")</f>
        <v>0.0698246648773462</v>
      </c>
      <c r="J131" s="46" t="str">
        <f aca="false">IF(H131="","guard",IF(ABS(H131-I131)&lt;0.000001,"OK","DIFF"))</f>
        <v>OK</v>
      </c>
    </row>
    <row r="132" customFormat="false" ht="15" hidden="false" customHeight="false" outlineLevel="0" collapsed="false">
      <c r="A132" s="23" t="s">
        <v>216</v>
      </c>
      <c r="B132" s="23" t="s">
        <v>172</v>
      </c>
      <c r="C132" s="36" t="n">
        <v>45170</v>
      </c>
      <c r="D132" s="37" t="n">
        <v>276</v>
      </c>
      <c r="E132" s="37" t="n">
        <v>2144951.7772</v>
      </c>
      <c r="F132" s="37" t="n">
        <v>2019589.9422</v>
      </c>
      <c r="G132" s="38" t="n">
        <f aca="false">E132-F132</f>
        <v>125361.835</v>
      </c>
      <c r="H132" s="45" t="n">
        <v>0.0620729150905949</v>
      </c>
      <c r="I132" s="39" t="n">
        <f aca="false">IF(F132&lt;&gt;0,G132/ABS(F132),"n/a")</f>
        <v>0.0620729150905951</v>
      </c>
      <c r="J132" s="46" t="str">
        <f aca="false">IF(H132="","guard",IF(ABS(H132-I132)&lt;0.000001,"OK","DIFF"))</f>
        <v>OK</v>
      </c>
    </row>
    <row r="133" customFormat="false" ht="15" hidden="false" customHeight="false" outlineLevel="0" collapsed="false">
      <c r="A133" s="23" t="s">
        <v>216</v>
      </c>
      <c r="B133" s="23" t="s">
        <v>172</v>
      </c>
      <c r="C133" s="36" t="n">
        <v>45200</v>
      </c>
      <c r="D133" s="37" t="n">
        <v>294</v>
      </c>
      <c r="E133" s="37" t="n">
        <v>1892153.6316</v>
      </c>
      <c r="F133" s="37" t="n">
        <v>1782882.5811</v>
      </c>
      <c r="G133" s="38" t="n">
        <f aca="false">E133-F133</f>
        <v>109271.050499998</v>
      </c>
      <c r="H133" s="45" t="n">
        <v>0.0612889775571099</v>
      </c>
      <c r="I133" s="39" t="n">
        <f aca="false">IF(F133&lt;&gt;0,G133/ABS(F133),"n/a")</f>
        <v>0.0612889775571088</v>
      </c>
      <c r="J133" s="46" t="str">
        <f aca="false">IF(H133="","guard",IF(ABS(H133-I133)&lt;0.000001,"OK","DIFF"))</f>
        <v>OK</v>
      </c>
    </row>
    <row r="134" customFormat="false" ht="15" hidden="false" customHeight="false" outlineLevel="0" collapsed="false">
      <c r="A134" s="23" t="s">
        <v>216</v>
      </c>
      <c r="B134" s="23" t="s">
        <v>172</v>
      </c>
      <c r="C134" s="36" t="n">
        <v>45231</v>
      </c>
      <c r="D134" s="37" t="n">
        <v>293</v>
      </c>
      <c r="E134" s="37" t="n">
        <v>2279509.5735</v>
      </c>
      <c r="F134" s="37" t="n">
        <v>2143659.2328</v>
      </c>
      <c r="G134" s="38" t="n">
        <f aca="false">E134-F134</f>
        <v>135850.340700003</v>
      </c>
      <c r="H134" s="45" t="n">
        <v>0.0633731045594198</v>
      </c>
      <c r="I134" s="39" t="n">
        <f aca="false">IF(F134&lt;&gt;0,G134/ABS(F134),"n/a")</f>
        <v>0.0633731045594211</v>
      </c>
      <c r="J134" s="46" t="str">
        <f aca="false">IF(H134="","guard",IF(ABS(H134-I134)&lt;0.000001,"OK","DIFF"))</f>
        <v>OK</v>
      </c>
    </row>
    <row r="135" customFormat="false" ht="15" hidden="false" customHeight="false" outlineLevel="0" collapsed="false">
      <c r="A135" s="23" t="s">
        <v>216</v>
      </c>
      <c r="B135" s="23" t="s">
        <v>172</v>
      </c>
      <c r="C135" s="36" t="n">
        <v>45261</v>
      </c>
      <c r="D135" s="37" t="n">
        <v>272</v>
      </c>
      <c r="E135" s="37" t="n">
        <v>2544726.7272</v>
      </c>
      <c r="F135" s="37" t="n">
        <v>2385367.789</v>
      </c>
      <c r="G135" s="38" t="n">
        <f aca="false">E135-F135</f>
        <v>159358.938200003</v>
      </c>
      <c r="H135" s="45" t="n">
        <v>0.0668068626292665</v>
      </c>
      <c r="I135" s="39" t="n">
        <f aca="false">IF(F135&lt;&gt;0,G135/ABS(F135),"n/a")</f>
        <v>0.0668068626292679</v>
      </c>
      <c r="J135" s="46" t="str">
        <f aca="false">IF(H135="","guard",IF(ABS(H135-I135)&lt;0.000001,"OK","DIFF"))</f>
        <v>OK</v>
      </c>
    </row>
    <row r="136" customFormat="false" ht="15" hidden="false" customHeight="false" outlineLevel="0" collapsed="false">
      <c r="A136" s="23" t="s">
        <v>216</v>
      </c>
      <c r="B136" s="23" t="s">
        <v>172</v>
      </c>
      <c r="C136" s="36" t="n">
        <v>45292</v>
      </c>
      <c r="D136" s="37" t="n">
        <v>276</v>
      </c>
      <c r="E136" s="37" t="n">
        <v>1730891.5033</v>
      </c>
      <c r="F136" s="37" t="n">
        <v>1618253.9229</v>
      </c>
      <c r="G136" s="38" t="n">
        <f aca="false">E136-F136</f>
        <v>112637.580400001</v>
      </c>
      <c r="H136" s="45" t="n">
        <v>0.0696043919968673</v>
      </c>
      <c r="I136" s="39" t="n">
        <f aca="false">IF(F136&lt;&gt;0,G136/ABS(F136),"n/a")</f>
        <v>0.0696043919968683</v>
      </c>
      <c r="J136" s="46" t="str">
        <f aca="false">IF(H136="","guard",IF(ABS(H136-I136)&lt;0.000001,"OK","DIFF"))</f>
        <v>OK</v>
      </c>
    </row>
    <row r="137" customFormat="false" ht="15" hidden="false" customHeight="false" outlineLevel="0" collapsed="false">
      <c r="A137" s="23" t="s">
        <v>216</v>
      </c>
      <c r="B137" s="23" t="s">
        <v>172</v>
      </c>
      <c r="C137" s="36" t="n">
        <v>45323</v>
      </c>
      <c r="D137" s="37" t="n">
        <v>284</v>
      </c>
      <c r="E137" s="37" t="n">
        <v>2564614.7075</v>
      </c>
      <c r="F137" s="37" t="n">
        <v>2423407.7922</v>
      </c>
      <c r="G137" s="38" t="n">
        <f aca="false">E137-F137</f>
        <v>141206.915300004</v>
      </c>
      <c r="H137" s="45" t="n">
        <v>0.0582679133716124</v>
      </c>
      <c r="I137" s="39" t="n">
        <f aca="false">IF(F137&lt;&gt;0,G137/ABS(F137),"n/a")</f>
        <v>0.058267913371614</v>
      </c>
      <c r="J137" s="46" t="str">
        <f aca="false">IF(H137="","guard",IF(ABS(H137-I137)&lt;0.000001,"OK","DIFF"))</f>
        <v>OK</v>
      </c>
    </row>
    <row r="138" customFormat="false" ht="15" hidden="false" customHeight="false" outlineLevel="0" collapsed="false">
      <c r="A138" s="23" t="s">
        <v>216</v>
      </c>
      <c r="B138" s="23" t="s">
        <v>172</v>
      </c>
      <c r="C138" s="36" t="n">
        <v>45352</v>
      </c>
      <c r="D138" s="37" t="n">
        <v>274</v>
      </c>
      <c r="E138" s="37" t="n">
        <v>2443602.2193</v>
      </c>
      <c r="F138" s="37" t="n">
        <v>2306331.7217</v>
      </c>
      <c r="G138" s="38" t="n">
        <f aca="false">E138-F138</f>
        <v>137270.4976</v>
      </c>
      <c r="H138" s="45" t="n">
        <v>0.0595189739222846</v>
      </c>
      <c r="I138" s="39" t="n">
        <f aca="false">IF(F138&lt;&gt;0,G138/ABS(F138),"n/a")</f>
        <v>0.0595189739222846</v>
      </c>
      <c r="J138" s="46" t="str">
        <f aca="false">IF(H138="","guard",IF(ABS(H138-I138)&lt;0.000001,"OK","DIFF"))</f>
        <v>OK</v>
      </c>
    </row>
    <row r="139" customFormat="false" ht="15" hidden="false" customHeight="false" outlineLevel="0" collapsed="false">
      <c r="A139" s="23" t="s">
        <v>216</v>
      </c>
      <c r="B139" s="23" t="s">
        <v>172</v>
      </c>
      <c r="C139" s="36" t="n">
        <v>45383</v>
      </c>
      <c r="D139" s="37" t="n">
        <v>311</v>
      </c>
      <c r="E139" s="37" t="n">
        <v>2753062.9294</v>
      </c>
      <c r="F139" s="37" t="n">
        <v>2586304.7755</v>
      </c>
      <c r="G139" s="38" t="n">
        <f aca="false">E139-F139</f>
        <v>166758.153899998</v>
      </c>
      <c r="H139" s="45" t="n">
        <v>0.0644773792631463</v>
      </c>
      <c r="I139" s="39" t="n">
        <f aca="false">IF(F139&lt;&gt;0,G139/ABS(F139),"n/a")</f>
        <v>0.0644773792631457</v>
      </c>
      <c r="J139" s="46" t="str">
        <f aca="false">IF(H139="","guard",IF(ABS(H139-I139)&lt;0.000001,"OK","DIFF"))</f>
        <v>OK</v>
      </c>
    </row>
    <row r="140" customFormat="false" ht="15" hidden="false" customHeight="false" outlineLevel="0" collapsed="false">
      <c r="A140" s="23" t="s">
        <v>216</v>
      </c>
      <c r="B140" s="23" t="s">
        <v>172</v>
      </c>
      <c r="C140" s="36" t="n">
        <v>45413</v>
      </c>
      <c r="D140" s="37" t="n">
        <v>288</v>
      </c>
      <c r="E140" s="37" t="n">
        <v>2983715.9657</v>
      </c>
      <c r="F140" s="37" t="n">
        <v>2802561.7486</v>
      </c>
      <c r="G140" s="38" t="n">
        <f aca="false">E140-F140</f>
        <v>181154.2171</v>
      </c>
      <c r="H140" s="45" t="n">
        <v>0.0646387959838867</v>
      </c>
      <c r="I140" s="39" t="n">
        <f aca="false">IF(F140&lt;&gt;0,G140/ABS(F140),"n/a")</f>
        <v>0.0646387959838865</v>
      </c>
      <c r="J140" s="46" t="str">
        <f aca="false">IF(H140="","guard",IF(ABS(H140-I140)&lt;0.000001,"OK","DIFF"))</f>
        <v>OK</v>
      </c>
    </row>
    <row r="141" customFormat="false" ht="15" hidden="false" customHeight="false" outlineLevel="0" collapsed="false">
      <c r="A141" s="23" t="s">
        <v>216</v>
      </c>
      <c r="B141" s="23" t="s">
        <v>172</v>
      </c>
      <c r="C141" s="36" t="n">
        <v>45444</v>
      </c>
      <c r="D141" s="37" t="n">
        <v>261</v>
      </c>
      <c r="E141" s="37" t="n">
        <v>2767901.2751</v>
      </c>
      <c r="F141" s="37" t="n">
        <v>2586129.6839</v>
      </c>
      <c r="G141" s="38" t="n">
        <f aca="false">E141-F141</f>
        <v>181771.591200002</v>
      </c>
      <c r="H141" s="45" t="n">
        <v>0.0702871137250474</v>
      </c>
      <c r="I141" s="39" t="n">
        <f aca="false">IF(F141&lt;&gt;0,G141/ABS(F141),"n/a")</f>
        <v>0.0702871137250483</v>
      </c>
      <c r="J141" s="46" t="str">
        <f aca="false">IF(H141="","guard",IF(ABS(H141-I141)&lt;0.000001,"OK","DIFF"))</f>
        <v>OK</v>
      </c>
    </row>
    <row r="142" customFormat="false" ht="15" hidden="false" customHeight="false" outlineLevel="0" collapsed="false">
      <c r="A142" s="23" t="s">
        <v>216</v>
      </c>
      <c r="B142" s="23" t="s">
        <v>172</v>
      </c>
      <c r="C142" s="36" t="n">
        <v>45474</v>
      </c>
      <c r="D142" s="37" t="n">
        <v>281</v>
      </c>
      <c r="E142" s="37" t="n">
        <v>2468190.0837</v>
      </c>
      <c r="F142" s="37" t="n">
        <v>2332987.0297</v>
      </c>
      <c r="G142" s="38" t="n">
        <f aca="false">E142-F142</f>
        <v>135203.054</v>
      </c>
      <c r="H142" s="45" t="n">
        <v>0.0579527671087764</v>
      </c>
      <c r="I142" s="39" t="n">
        <f aca="false">IF(F142&lt;&gt;0,G142/ABS(F142),"n/a")</f>
        <v>0.0579527671087764</v>
      </c>
      <c r="J142" s="46" t="str">
        <f aca="false">IF(H142="","guard",IF(ABS(H142-I142)&lt;0.000001,"OK","DIFF"))</f>
        <v>OK</v>
      </c>
    </row>
    <row r="143" customFormat="false" ht="15" hidden="false" customHeight="false" outlineLevel="0" collapsed="false">
      <c r="A143" s="23" t="s">
        <v>216</v>
      </c>
      <c r="B143" s="23" t="s">
        <v>172</v>
      </c>
      <c r="C143" s="36" t="n">
        <v>45505</v>
      </c>
      <c r="D143" s="37" t="n">
        <v>281</v>
      </c>
      <c r="E143" s="37" t="n">
        <v>2269305.9191</v>
      </c>
      <c r="F143" s="37" t="n">
        <v>2126751.2896</v>
      </c>
      <c r="G143" s="38" t="n">
        <f aca="false">E143-F143</f>
        <v>142554.629499999</v>
      </c>
      <c r="H143" s="45" t="n">
        <v>0.0670292902593287</v>
      </c>
      <c r="I143" s="39" t="n">
        <f aca="false">IF(F143&lt;&gt;0,G143/ABS(F143),"n/a")</f>
        <v>0.0670292902593284</v>
      </c>
      <c r="J143" s="46" t="str">
        <f aca="false">IF(H143="","guard",IF(ABS(H143-I143)&lt;0.000001,"OK","DIFF"))</f>
        <v>OK</v>
      </c>
    </row>
    <row r="144" customFormat="false" ht="15" hidden="false" customHeight="false" outlineLevel="0" collapsed="false">
      <c r="A144" s="23" t="s">
        <v>216</v>
      </c>
      <c r="B144" s="23" t="s">
        <v>172</v>
      </c>
      <c r="C144" s="36" t="n">
        <v>45536</v>
      </c>
      <c r="D144" s="37" t="n">
        <v>278</v>
      </c>
      <c r="E144" s="37" t="n">
        <v>2509484.8959</v>
      </c>
      <c r="F144" s="37" t="n">
        <v>2361353.7188</v>
      </c>
      <c r="G144" s="38" t="n">
        <f aca="false">E144-F144</f>
        <v>148131.177100001</v>
      </c>
      <c r="H144" s="45" t="n">
        <v>0.0627314645496135</v>
      </c>
      <c r="I144" s="39" t="n">
        <f aca="false">IF(F144&lt;&gt;0,G144/ABS(F144),"n/a")</f>
        <v>0.0627314645496138</v>
      </c>
      <c r="J144" s="46" t="str">
        <f aca="false">IF(H144="","guard",IF(ABS(H144-I144)&lt;0.000001,"OK","DIFF"))</f>
        <v>OK</v>
      </c>
    </row>
    <row r="145" customFormat="false" ht="15" hidden="false" customHeight="false" outlineLevel="0" collapsed="false">
      <c r="A145" s="23" t="s">
        <v>216</v>
      </c>
      <c r="B145" s="23" t="s">
        <v>172</v>
      </c>
      <c r="C145" s="36" t="n">
        <v>45566</v>
      </c>
      <c r="D145" s="37" t="n">
        <v>266</v>
      </c>
      <c r="E145" s="37" t="n">
        <v>2389735.3398</v>
      </c>
      <c r="F145" s="37" t="n">
        <v>2242976.9374</v>
      </c>
      <c r="G145" s="38" t="n">
        <f aca="false">E145-F145</f>
        <v>146758.402400002</v>
      </c>
      <c r="H145" s="45" t="n">
        <v>0.0654301878690374</v>
      </c>
      <c r="I145" s="39" t="n">
        <f aca="false">IF(F145&lt;&gt;0,G145/ABS(F145),"n/a")</f>
        <v>0.0654301878690382</v>
      </c>
      <c r="J145" s="46" t="str">
        <f aca="false">IF(H145="","guard",IF(ABS(H145-I145)&lt;0.000001,"OK","DIFF"))</f>
        <v>OK</v>
      </c>
    </row>
    <row r="146" customFormat="false" ht="15" hidden="false" customHeight="false" outlineLevel="0" collapsed="false">
      <c r="A146" s="23" t="s">
        <v>216</v>
      </c>
      <c r="B146" s="23" t="s">
        <v>172</v>
      </c>
      <c r="C146" s="36" t="n">
        <v>45597</v>
      </c>
      <c r="D146" s="37" t="n">
        <v>276</v>
      </c>
      <c r="E146" s="37" t="n">
        <v>2246463.1826</v>
      </c>
      <c r="F146" s="37" t="n">
        <v>2114617.9522</v>
      </c>
      <c r="G146" s="38" t="n">
        <f aca="false">E146-F146</f>
        <v>131845.230399998</v>
      </c>
      <c r="H146" s="45" t="n">
        <v>0.0623494330324923</v>
      </c>
      <c r="I146" s="39" t="n">
        <f aca="false">IF(F146&lt;&gt;0,G146/ABS(F146),"n/a")</f>
        <v>0.0623494330324913</v>
      </c>
      <c r="J146" s="46" t="str">
        <f aca="false">IF(H146="","guard",IF(ABS(H146-I146)&lt;0.000001,"OK","DIFF"))</f>
        <v>OK</v>
      </c>
    </row>
    <row r="147" customFormat="false" ht="15" hidden="false" customHeight="false" outlineLevel="0" collapsed="false">
      <c r="A147" s="23" t="s">
        <v>216</v>
      </c>
      <c r="B147" s="23" t="s">
        <v>172</v>
      </c>
      <c r="C147" s="36" t="n">
        <v>45627</v>
      </c>
      <c r="D147" s="37" t="n">
        <v>269</v>
      </c>
      <c r="E147" s="37" t="n">
        <v>2058147.837</v>
      </c>
      <c r="F147" s="37" t="n">
        <v>1932755.9233</v>
      </c>
      <c r="G147" s="38" t="n">
        <f aca="false">E147-F147</f>
        <v>125391.913699999</v>
      </c>
      <c r="H147" s="45" t="n">
        <v>0.0648772626633088</v>
      </c>
      <c r="I147" s="39" t="n">
        <f aca="false">IF(F147&lt;&gt;0,G147/ABS(F147),"n/a")</f>
        <v>0.0648772626633084</v>
      </c>
      <c r="J147" s="46" t="str">
        <f aca="false">IF(H147="","guard",IF(ABS(H147-I147)&lt;0.000001,"OK","DIFF"))</f>
        <v>OK</v>
      </c>
    </row>
    <row r="148" customFormat="false" ht="15" hidden="false" customHeight="false" outlineLevel="0" collapsed="false">
      <c r="A148" s="23" t="s">
        <v>216</v>
      </c>
      <c r="B148" s="23" t="s">
        <v>172</v>
      </c>
      <c r="C148" s="36" t="n">
        <v>45658</v>
      </c>
      <c r="D148" s="37" t="n">
        <v>267</v>
      </c>
      <c r="E148" s="37" t="n">
        <v>2583244.6122</v>
      </c>
      <c r="F148" s="37" t="n">
        <v>2417219.5214</v>
      </c>
      <c r="G148" s="38" t="n">
        <f aca="false">E148-F148</f>
        <v>166025.090799997</v>
      </c>
      <c r="H148" s="45" t="n">
        <v>0.0686843248327905</v>
      </c>
      <c r="I148" s="39" t="n">
        <f aca="false">IF(F148&lt;&gt;0,G148/ABS(F148),"n/a")</f>
        <v>0.0686843248327891</v>
      </c>
      <c r="J148" s="46" t="str">
        <f aca="false">IF(H148="","guard",IF(ABS(H148-I148)&lt;0.000001,"OK","DIFF"))</f>
        <v>OK</v>
      </c>
    </row>
    <row r="149" customFormat="false" ht="15" hidden="false" customHeight="false" outlineLevel="0" collapsed="false">
      <c r="A149" s="23" t="s">
        <v>216</v>
      </c>
      <c r="B149" s="23" t="s">
        <v>172</v>
      </c>
      <c r="C149" s="36" t="n">
        <v>45689</v>
      </c>
      <c r="D149" s="37" t="n">
        <v>286</v>
      </c>
      <c r="E149" s="37" t="n">
        <v>2247182.233</v>
      </c>
      <c r="F149" s="37" t="n">
        <v>2103719.271</v>
      </c>
      <c r="G149" s="38" t="n">
        <f aca="false">E149-F149</f>
        <v>143462.961999999</v>
      </c>
      <c r="H149" s="45" t="n">
        <v>0.0681949174386776</v>
      </c>
      <c r="I149" s="39" t="n">
        <f aca="false">IF(F149&lt;&gt;0,G149/ABS(F149),"n/a")</f>
        <v>0.0681949174386773</v>
      </c>
      <c r="J149" s="46" t="str">
        <f aca="false">IF(H149="","guard",IF(ABS(H149-I149)&lt;0.000001,"OK","DIFF"))</f>
        <v>OK</v>
      </c>
    </row>
    <row r="150" customFormat="false" ht="15" hidden="false" customHeight="false" outlineLevel="0" collapsed="false">
      <c r="A150" s="23" t="s">
        <v>216</v>
      </c>
      <c r="B150" s="23" t="s">
        <v>172</v>
      </c>
      <c r="C150" s="36" t="n">
        <v>45717</v>
      </c>
      <c r="D150" s="37" t="n">
        <v>257</v>
      </c>
      <c r="E150" s="37" t="n">
        <v>2336908.773</v>
      </c>
      <c r="F150" s="37" t="n">
        <v>2199679.7043</v>
      </c>
      <c r="G150" s="38" t="n">
        <f aca="false">E150-F150</f>
        <v>137229.068700001</v>
      </c>
      <c r="H150" s="45" t="n">
        <v>0.0623859321117254</v>
      </c>
      <c r="I150" s="39" t="n">
        <f aca="false">IF(F150&lt;&gt;0,G150/ABS(F150),"n/a")</f>
        <v>0.0623859321117259</v>
      </c>
      <c r="J150" s="46" t="str">
        <f aca="false">IF(H150="","guard",IF(ABS(H150-I150)&lt;0.000001,"OK","DIFF"))</f>
        <v>OK</v>
      </c>
    </row>
    <row r="151" customFormat="false" ht="15" hidden="false" customHeight="false" outlineLevel="0" collapsed="false">
      <c r="A151" s="23" t="s">
        <v>216</v>
      </c>
      <c r="B151" s="23" t="s">
        <v>172</v>
      </c>
      <c r="C151" s="36" t="n">
        <v>45748</v>
      </c>
      <c r="D151" s="37" t="n">
        <v>280</v>
      </c>
      <c r="E151" s="37" t="n">
        <v>2371261.1455</v>
      </c>
      <c r="F151" s="37" t="n">
        <v>2234932.4158</v>
      </c>
      <c r="G151" s="38" t="n">
        <f aca="false">E151-F151</f>
        <v>136328.7297</v>
      </c>
      <c r="H151" s="45" t="n">
        <v>0.0609990390475413</v>
      </c>
      <c r="I151" s="39" t="n">
        <f aca="false">IF(F151&lt;&gt;0,G151/ABS(F151),"n/a")</f>
        <v>0.0609990390475411</v>
      </c>
      <c r="J151" s="46" t="str">
        <f aca="false">IF(H151="","guard",IF(ABS(H151-I151)&lt;0.000001,"OK","DIFF"))</f>
        <v>OK</v>
      </c>
    </row>
    <row r="152" customFormat="false" ht="15" hidden="false" customHeight="false" outlineLevel="0" collapsed="false">
      <c r="A152" s="23" t="s">
        <v>216</v>
      </c>
      <c r="B152" s="23" t="s">
        <v>172</v>
      </c>
      <c r="C152" s="36" t="n">
        <v>45778</v>
      </c>
      <c r="D152" s="37" t="n">
        <v>273</v>
      </c>
      <c r="E152" s="37" t="n">
        <v>2910696.7645</v>
      </c>
      <c r="F152" s="37" t="n">
        <v>2729868.6983</v>
      </c>
      <c r="G152" s="38" t="n">
        <f aca="false">E152-F152</f>
        <v>180828.066199997</v>
      </c>
      <c r="H152" s="45" t="n">
        <v>0.0662405727838152</v>
      </c>
      <c r="I152" s="39" t="n">
        <f aca="false">IF(F152&lt;&gt;0,G152/ABS(F152),"n/a")</f>
        <v>0.0662405727838142</v>
      </c>
      <c r="J152" s="46" t="str">
        <f aca="false">IF(H152="","guard",IF(ABS(H152-I152)&lt;0.000001,"OK","DIFF"))</f>
        <v>OK</v>
      </c>
    </row>
    <row r="153" customFormat="false" ht="15" hidden="false" customHeight="false" outlineLevel="0" collapsed="false">
      <c r="A153" s="23" t="s">
        <v>216</v>
      </c>
      <c r="B153" s="23" t="s">
        <v>172</v>
      </c>
      <c r="C153" s="36" t="n">
        <v>45809</v>
      </c>
      <c r="D153" s="37" t="n">
        <v>246</v>
      </c>
      <c r="E153" s="37" t="n">
        <v>2663857.8503</v>
      </c>
      <c r="F153" s="37" t="n">
        <v>2497181.0143</v>
      </c>
      <c r="G153" s="38" t="n">
        <f aca="false">E153-F153</f>
        <v>166676.836000001</v>
      </c>
      <c r="H153" s="45" t="n">
        <v>0.0667459968042093</v>
      </c>
      <c r="I153" s="39" t="n">
        <f aca="false">IF(F153&lt;&gt;0,G153/ABS(F153),"n/a")</f>
        <v>0.0667459968042098</v>
      </c>
      <c r="J153" s="46" t="str">
        <f aca="false">IF(H153="","guard",IF(ABS(H153-I153)&lt;0.000001,"OK","DIFF"))</f>
        <v>OK</v>
      </c>
    </row>
    <row r="154" customFormat="false" ht="15" hidden="false" customHeight="false" outlineLevel="0" collapsed="false">
      <c r="A154" s="23" t="s">
        <v>216</v>
      </c>
      <c r="B154" s="23" t="s">
        <v>172</v>
      </c>
      <c r="C154" s="36" t="n">
        <v>45839</v>
      </c>
      <c r="D154" s="37" t="n">
        <v>256</v>
      </c>
      <c r="E154" s="37" t="n">
        <v>2610094.566</v>
      </c>
      <c r="F154" s="37" t="n">
        <v>2457723.3822</v>
      </c>
      <c r="G154" s="38" t="n">
        <f aca="false">E154-F154</f>
        <v>152371.183799998</v>
      </c>
      <c r="H154" s="45" t="n">
        <v>0.0619968808953621</v>
      </c>
      <c r="I154" s="39" t="n">
        <f aca="false">IF(F154&lt;&gt;0,G154/ABS(F154),"n/a")</f>
        <v>0.0619968808953614</v>
      </c>
      <c r="J154" s="46" t="str">
        <f aca="false">IF(H154="","guard",IF(ABS(H154-I154)&lt;0.000001,"OK","DIFF"))</f>
        <v>OK</v>
      </c>
    </row>
    <row r="155" customFormat="false" ht="15" hidden="false" customHeight="false" outlineLevel="0" collapsed="false">
      <c r="A155" s="23" t="s">
        <v>216</v>
      </c>
      <c r="B155" s="23" t="s">
        <v>172</v>
      </c>
      <c r="C155" s="36" t="n">
        <v>45870</v>
      </c>
      <c r="D155" s="37" t="n">
        <v>306</v>
      </c>
      <c r="E155" s="37" t="n">
        <v>2988206.0438</v>
      </c>
      <c r="F155" s="37" t="n">
        <v>2793315.8255</v>
      </c>
      <c r="G155" s="38" t="n">
        <f aca="false">E155-F155</f>
        <v>194890.218299998</v>
      </c>
      <c r="H155" s="45" t="n">
        <v>0.0697702051879919</v>
      </c>
      <c r="I155" s="39" t="n">
        <f aca="false">IF(F155&lt;&gt;0,G155/ABS(F155),"n/a")</f>
        <v>0.0697702051879912</v>
      </c>
      <c r="J155" s="46" t="str">
        <f aca="false">IF(H155="","guard",IF(ABS(H155-I155)&lt;0.000001,"OK","DIFF"))</f>
        <v>OK</v>
      </c>
    </row>
    <row r="156" customFormat="false" ht="15" hidden="false" customHeight="false" outlineLevel="0" collapsed="false">
      <c r="A156" s="23" t="s">
        <v>216</v>
      </c>
      <c r="B156" s="23" t="s">
        <v>172</v>
      </c>
      <c r="C156" s="36" t="n">
        <v>45901</v>
      </c>
      <c r="D156" s="37" t="n">
        <v>311</v>
      </c>
      <c r="E156" s="37" t="n">
        <v>2837340.67</v>
      </c>
      <c r="F156" s="37" t="n">
        <v>2664692.6358</v>
      </c>
      <c r="G156" s="38" t="n">
        <f aca="false">E156-F156</f>
        <v>172648.0342</v>
      </c>
      <c r="H156" s="45" t="n">
        <v>0.0647909750942691</v>
      </c>
      <c r="I156" s="39" t="n">
        <f aca="false">IF(F156&lt;&gt;0,G156/ABS(F156),"n/a")</f>
        <v>0.0647909750942689</v>
      </c>
      <c r="J156" s="46" t="str">
        <f aca="false">IF(H156="","guard",IF(ABS(H156-I156)&lt;0.000001,"OK","DIFF"))</f>
        <v>OK</v>
      </c>
    </row>
    <row r="157" customFormat="false" ht="15" hidden="false" customHeight="false" outlineLevel="0" collapsed="false">
      <c r="A157" s="23" t="s">
        <v>216</v>
      </c>
      <c r="B157" s="23" t="s">
        <v>172</v>
      </c>
      <c r="C157" s="36" t="n">
        <v>45931</v>
      </c>
      <c r="D157" s="37" t="n">
        <v>305</v>
      </c>
      <c r="E157" s="37" t="n">
        <v>2874904.4623</v>
      </c>
      <c r="F157" s="37" t="n">
        <v>2701014.0438</v>
      </c>
      <c r="G157" s="38" t="n">
        <f aca="false">E157-F157</f>
        <v>173890.418500003</v>
      </c>
      <c r="H157" s="45" t="n">
        <v>0.0643796795130163</v>
      </c>
      <c r="I157" s="39" t="n">
        <f aca="false">IF(F157&lt;&gt;0,G157/ABS(F157),"n/a")</f>
        <v>0.0643796795130174</v>
      </c>
      <c r="J157" s="46" t="str">
        <f aca="false">IF(H157="","guard",IF(ABS(H157-I157)&lt;0.000001,"OK","DIFF"))</f>
        <v>OK</v>
      </c>
    </row>
    <row r="158" customFormat="false" ht="15" hidden="false" customHeight="false" outlineLevel="0" collapsed="false">
      <c r="A158" s="23" t="s">
        <v>216</v>
      </c>
      <c r="B158" s="23" t="s">
        <v>172</v>
      </c>
      <c r="C158" s="36" t="n">
        <v>45962</v>
      </c>
      <c r="D158" s="37" t="n">
        <v>280</v>
      </c>
      <c r="E158" s="37" t="n">
        <v>2624466.6376</v>
      </c>
      <c r="F158" s="37" t="n">
        <v>2478321.0355</v>
      </c>
      <c r="G158" s="38" t="n">
        <f aca="false">E158-F158</f>
        <v>146145.602099999</v>
      </c>
      <c r="H158" s="45" t="n">
        <v>0.0589696007928671</v>
      </c>
      <c r="I158" s="39" t="n">
        <f aca="false">IF(F158&lt;&gt;0,G158/ABS(F158),"n/a")</f>
        <v>0.0589696007928666</v>
      </c>
      <c r="J158" s="46" t="str">
        <f aca="false">IF(H158="","guard",IF(ABS(H158-I158)&lt;0.000001,"OK","DIFF"))</f>
        <v>OK</v>
      </c>
    </row>
    <row r="159" customFormat="false" ht="15" hidden="false" customHeight="false" outlineLevel="0" collapsed="false">
      <c r="A159" s="23" t="s">
        <v>216</v>
      </c>
      <c r="B159" s="23" t="s">
        <v>172</v>
      </c>
      <c r="C159" s="36" t="n">
        <v>45992</v>
      </c>
      <c r="D159" s="37" t="n">
        <v>272</v>
      </c>
      <c r="E159" s="37" t="n">
        <v>2261177.8614</v>
      </c>
      <c r="F159" s="37" t="n">
        <v>2120846.167</v>
      </c>
      <c r="G159" s="38" t="n">
        <f aca="false">E159-F159</f>
        <v>140331.694399999</v>
      </c>
      <c r="H159" s="45" t="n">
        <v>0.0661677855676366</v>
      </c>
      <c r="I159" s="39" t="n">
        <f aca="false">IF(F159&lt;&gt;0,G159/ABS(F159),"n/a")</f>
        <v>0.0661677855676359</v>
      </c>
      <c r="J159" s="46" t="str">
        <f aca="false">IF(H159="","guard",IF(ABS(H159-I159)&lt;0.000001,"OK","DIFF"))</f>
        <v>OK</v>
      </c>
    </row>
    <row r="160" customFormat="false" ht="15" hidden="false" customHeight="false" outlineLevel="0" collapsed="false">
      <c r="A160" s="23" t="s">
        <v>216</v>
      </c>
      <c r="B160" s="23" t="s">
        <v>225</v>
      </c>
      <c r="C160" s="36" t="n">
        <v>44927</v>
      </c>
      <c r="D160" s="37" t="n">
        <v>89</v>
      </c>
      <c r="E160" s="37" t="n">
        <v>1174622.3751</v>
      </c>
      <c r="F160" s="37" t="n">
        <v>1101812.3652</v>
      </c>
      <c r="G160" s="38" t="n">
        <f aca="false">E160-F160</f>
        <v>72810.0098999997</v>
      </c>
      <c r="H160" s="45" t="n">
        <v>0.0660820410077569</v>
      </c>
      <c r="I160" s="39" t="n">
        <f aca="false">IF(F160&lt;&gt;0,G160/ABS(F160),"n/a")</f>
        <v>0.0660820410077566</v>
      </c>
      <c r="J160" s="46" t="str">
        <f aca="false">IF(H160="","guard",IF(ABS(H160-I160)&lt;0.000001,"OK","DIFF"))</f>
        <v>OK</v>
      </c>
    </row>
    <row r="161" customFormat="false" ht="15" hidden="false" customHeight="false" outlineLevel="0" collapsed="false">
      <c r="A161" s="23" t="s">
        <v>216</v>
      </c>
      <c r="B161" s="23" t="s">
        <v>225</v>
      </c>
      <c r="C161" s="36" t="n">
        <v>44958</v>
      </c>
      <c r="D161" s="37" t="n">
        <v>76</v>
      </c>
      <c r="E161" s="37" t="n">
        <v>1080246.5088</v>
      </c>
      <c r="F161" s="37" t="n">
        <v>1019618.8786</v>
      </c>
      <c r="G161" s="38" t="n">
        <f aca="false">E161-F161</f>
        <v>60627.6301999996</v>
      </c>
      <c r="H161" s="45" t="n">
        <v>0.0594610706730396</v>
      </c>
      <c r="I161" s="39" t="n">
        <f aca="false">IF(F161&lt;&gt;0,G161/ABS(F161),"n/a")</f>
        <v>0.0594610706730392</v>
      </c>
      <c r="J161" s="46" t="str">
        <f aca="false">IF(H161="","guard",IF(ABS(H161-I161)&lt;0.000001,"OK","DIFF"))</f>
        <v>OK</v>
      </c>
    </row>
    <row r="162" customFormat="false" ht="15" hidden="false" customHeight="false" outlineLevel="0" collapsed="false">
      <c r="A162" s="23" t="s">
        <v>216</v>
      </c>
      <c r="B162" s="23" t="s">
        <v>225</v>
      </c>
      <c r="C162" s="36" t="n">
        <v>44986</v>
      </c>
      <c r="D162" s="37" t="n">
        <v>81</v>
      </c>
      <c r="E162" s="37" t="n">
        <v>1129320.1225</v>
      </c>
      <c r="F162" s="37" t="n">
        <v>1065272.7451</v>
      </c>
      <c r="G162" s="38" t="n">
        <f aca="false">E162-F162</f>
        <v>64047.3774000001</v>
      </c>
      <c r="H162" s="45" t="n">
        <v>0.0601229851177575</v>
      </c>
      <c r="I162" s="39" t="n">
        <f aca="false">IF(F162&lt;&gt;0,G162/ABS(F162),"n/a")</f>
        <v>0.0601229851177576</v>
      </c>
      <c r="J162" s="46" t="str">
        <f aca="false">IF(H162="","guard",IF(ABS(H162-I162)&lt;0.000001,"OK","DIFF"))</f>
        <v>OK</v>
      </c>
    </row>
    <row r="163" customFormat="false" ht="15" hidden="false" customHeight="false" outlineLevel="0" collapsed="false">
      <c r="A163" s="23" t="s">
        <v>216</v>
      </c>
      <c r="B163" s="23" t="s">
        <v>225</v>
      </c>
      <c r="C163" s="36" t="n">
        <v>45017</v>
      </c>
      <c r="D163" s="37" t="n">
        <v>84</v>
      </c>
      <c r="E163" s="37" t="n">
        <v>811925.1168</v>
      </c>
      <c r="F163" s="37" t="n">
        <v>759355.1969</v>
      </c>
      <c r="G163" s="38" t="n">
        <f aca="false">E163-F163</f>
        <v>52569.9199000002</v>
      </c>
      <c r="H163" s="45" t="n">
        <v>0.069229683440124</v>
      </c>
      <c r="I163" s="39" t="n">
        <f aca="false">IF(F163&lt;&gt;0,G163/ABS(F163),"n/a")</f>
        <v>0.0692296834401243</v>
      </c>
      <c r="J163" s="46" t="str">
        <f aca="false">IF(H163="","guard",IF(ABS(H163-I163)&lt;0.000001,"OK","DIFF"))</f>
        <v>OK</v>
      </c>
    </row>
    <row r="164" customFormat="false" ht="15" hidden="false" customHeight="false" outlineLevel="0" collapsed="false">
      <c r="A164" s="23" t="s">
        <v>216</v>
      </c>
      <c r="B164" s="23" t="s">
        <v>225</v>
      </c>
      <c r="C164" s="36" t="n">
        <v>45047</v>
      </c>
      <c r="D164" s="37" t="n">
        <v>64</v>
      </c>
      <c r="E164" s="37" t="n">
        <v>1095426.8915</v>
      </c>
      <c r="F164" s="37" t="n">
        <v>1027527.7836</v>
      </c>
      <c r="G164" s="38" t="n">
        <f aca="false">E164-F164</f>
        <v>67899.1078999999</v>
      </c>
      <c r="H164" s="45" t="n">
        <v>0.0660800700318893</v>
      </c>
      <c r="I164" s="39" t="n">
        <f aca="false">IF(F164&lt;&gt;0,G164/ABS(F164),"n/a")</f>
        <v>0.0660800700318893</v>
      </c>
      <c r="J164" s="46" t="str">
        <f aca="false">IF(H164="","guard",IF(ABS(H164-I164)&lt;0.000001,"OK","DIFF"))</f>
        <v>OK</v>
      </c>
    </row>
    <row r="165" customFormat="false" ht="15" hidden="false" customHeight="false" outlineLevel="0" collapsed="false">
      <c r="A165" s="23" t="s">
        <v>216</v>
      </c>
      <c r="B165" s="23" t="s">
        <v>225</v>
      </c>
      <c r="C165" s="36" t="n">
        <v>45078</v>
      </c>
      <c r="D165" s="37" t="n">
        <v>67</v>
      </c>
      <c r="E165" s="37" t="n">
        <v>864121.8574</v>
      </c>
      <c r="F165" s="37" t="n">
        <v>810584.0239</v>
      </c>
      <c r="G165" s="38" t="n">
        <f aca="false">E165-F165</f>
        <v>53537.8335000002</v>
      </c>
      <c r="H165" s="45" t="n">
        <v>0.0660484686614115</v>
      </c>
      <c r="I165" s="39" t="n">
        <f aca="false">IF(F165&lt;&gt;0,G165/ABS(F165),"n/a")</f>
        <v>0.0660484686614117</v>
      </c>
      <c r="J165" s="46" t="str">
        <f aca="false">IF(H165="","guard",IF(ABS(H165-I165)&lt;0.000001,"OK","DIFF"))</f>
        <v>OK</v>
      </c>
    </row>
    <row r="166" customFormat="false" ht="15" hidden="false" customHeight="false" outlineLevel="0" collapsed="false">
      <c r="A166" s="23" t="s">
        <v>216</v>
      </c>
      <c r="B166" s="23" t="s">
        <v>225</v>
      </c>
      <c r="C166" s="36" t="n">
        <v>45108</v>
      </c>
      <c r="D166" s="37" t="n">
        <v>75</v>
      </c>
      <c r="E166" s="37" t="n">
        <v>1363861.0318</v>
      </c>
      <c r="F166" s="37" t="n">
        <v>1288146.2959</v>
      </c>
      <c r="G166" s="38" t="n">
        <f aca="false">E166-F166</f>
        <v>75714.7358999995</v>
      </c>
      <c r="H166" s="45" t="n">
        <v>0.0587780566081586</v>
      </c>
      <c r="I166" s="39" t="n">
        <f aca="false">IF(F166&lt;&gt;0,G166/ABS(F166),"n/a")</f>
        <v>0.0587780566081582</v>
      </c>
      <c r="J166" s="46" t="str">
        <f aca="false">IF(H166="","guard",IF(ABS(H166-I166)&lt;0.000001,"OK","DIFF"))</f>
        <v>OK</v>
      </c>
    </row>
    <row r="167" customFormat="false" ht="15" hidden="false" customHeight="false" outlineLevel="0" collapsed="false">
      <c r="A167" s="23" t="s">
        <v>216</v>
      </c>
      <c r="B167" s="23" t="s">
        <v>225</v>
      </c>
      <c r="C167" s="36" t="n">
        <v>45139</v>
      </c>
      <c r="D167" s="37" t="n">
        <v>79</v>
      </c>
      <c r="E167" s="37" t="n">
        <v>1291698.158</v>
      </c>
      <c r="F167" s="37" t="n">
        <v>1218809.5958</v>
      </c>
      <c r="G167" s="38" t="n">
        <f aca="false">E167-F167</f>
        <v>72888.5621999998</v>
      </c>
      <c r="H167" s="45" t="n">
        <v>0.0598030754362067</v>
      </c>
      <c r="I167" s="39" t="n">
        <f aca="false">IF(F167&lt;&gt;0,G167/ABS(F167),"n/a")</f>
        <v>0.0598030754362065</v>
      </c>
      <c r="J167" s="46" t="str">
        <f aca="false">IF(H167="","guard",IF(ABS(H167-I167)&lt;0.000001,"OK","DIFF"))</f>
        <v>OK</v>
      </c>
    </row>
    <row r="168" customFormat="false" ht="15" hidden="false" customHeight="false" outlineLevel="0" collapsed="false">
      <c r="A168" s="23" t="s">
        <v>216</v>
      </c>
      <c r="B168" s="23" t="s">
        <v>225</v>
      </c>
      <c r="C168" s="36" t="n">
        <v>45170</v>
      </c>
      <c r="D168" s="37" t="n">
        <v>68</v>
      </c>
      <c r="E168" s="37" t="n">
        <v>1042106.675</v>
      </c>
      <c r="F168" s="37" t="n">
        <v>981523.1769</v>
      </c>
      <c r="G168" s="38" t="n">
        <f aca="false">E168-F168</f>
        <v>60583.4980999996</v>
      </c>
      <c r="H168" s="45" t="n">
        <v>0.061723960804822</v>
      </c>
      <c r="I168" s="39" t="n">
        <f aca="false">IF(F168&lt;&gt;0,G168/ABS(F168),"n/a")</f>
        <v>0.0617239608048216</v>
      </c>
      <c r="J168" s="46" t="str">
        <f aca="false">IF(H168="","guard",IF(ABS(H168-I168)&lt;0.000001,"OK","DIFF"))</f>
        <v>OK</v>
      </c>
    </row>
    <row r="169" customFormat="false" ht="15" hidden="false" customHeight="false" outlineLevel="0" collapsed="false">
      <c r="A169" s="23" t="s">
        <v>216</v>
      </c>
      <c r="B169" s="23" t="s">
        <v>225</v>
      </c>
      <c r="C169" s="36" t="n">
        <v>45200</v>
      </c>
      <c r="D169" s="37" t="n">
        <v>77</v>
      </c>
      <c r="E169" s="37" t="n">
        <v>1244397.4468</v>
      </c>
      <c r="F169" s="37" t="n">
        <v>1175045.8633</v>
      </c>
      <c r="G169" s="38" t="n">
        <f aca="false">E169-F169</f>
        <v>69351.5835000009</v>
      </c>
      <c r="H169" s="45" t="n">
        <v>0.0590203205390069</v>
      </c>
      <c r="I169" s="39" t="n">
        <f aca="false">IF(F169&lt;&gt;0,G169/ABS(F169),"n/a")</f>
        <v>0.0590203205390076</v>
      </c>
      <c r="J169" s="46" t="str">
        <f aca="false">IF(H169="","guard",IF(ABS(H169-I169)&lt;0.000001,"OK","DIFF"))</f>
        <v>OK</v>
      </c>
    </row>
    <row r="170" customFormat="false" ht="15" hidden="false" customHeight="false" outlineLevel="0" collapsed="false">
      <c r="A170" s="23" t="s">
        <v>216</v>
      </c>
      <c r="B170" s="23" t="s">
        <v>225</v>
      </c>
      <c r="C170" s="36" t="n">
        <v>45231</v>
      </c>
      <c r="D170" s="37" t="n">
        <v>88</v>
      </c>
      <c r="E170" s="37" t="n">
        <v>930689.2491</v>
      </c>
      <c r="F170" s="37" t="n">
        <v>876348.9786</v>
      </c>
      <c r="G170" s="38" t="n">
        <f aca="false">E170-F170</f>
        <v>54340.2704999998</v>
      </c>
      <c r="H170" s="45" t="n">
        <v>0.0620075698459883</v>
      </c>
      <c r="I170" s="39" t="n">
        <f aca="false">IF(F170&lt;&gt;0,G170/ABS(F170),"n/a")</f>
        <v>0.062007569845988</v>
      </c>
      <c r="J170" s="46" t="str">
        <f aca="false">IF(H170="","guard",IF(ABS(H170-I170)&lt;0.000001,"OK","DIFF"))</f>
        <v>OK</v>
      </c>
    </row>
    <row r="171" customFormat="false" ht="15" hidden="false" customHeight="false" outlineLevel="0" collapsed="false">
      <c r="A171" s="23" t="s">
        <v>216</v>
      </c>
      <c r="B171" s="23" t="s">
        <v>225</v>
      </c>
      <c r="C171" s="36" t="n">
        <v>45261</v>
      </c>
      <c r="D171" s="37" t="n">
        <v>79</v>
      </c>
      <c r="E171" s="37" t="n">
        <v>983288.623</v>
      </c>
      <c r="F171" s="37" t="n">
        <v>931791.7021</v>
      </c>
      <c r="G171" s="38" t="n">
        <f aca="false">E171-F171</f>
        <v>51496.9208999999</v>
      </c>
      <c r="H171" s="45" t="n">
        <v>0.0552665588070169</v>
      </c>
      <c r="I171" s="39" t="n">
        <f aca="false">IF(F171&lt;&gt;0,G171/ABS(F171),"n/a")</f>
        <v>0.0552665588070168</v>
      </c>
      <c r="J171" s="46" t="str">
        <f aca="false">IF(H171="","guard",IF(ABS(H171-I171)&lt;0.000001,"OK","DIFF"))</f>
        <v>OK</v>
      </c>
    </row>
    <row r="172" customFormat="false" ht="15" hidden="false" customHeight="false" outlineLevel="0" collapsed="false">
      <c r="A172" s="23" t="s">
        <v>216</v>
      </c>
      <c r="B172" s="23" t="s">
        <v>225</v>
      </c>
      <c r="C172" s="36" t="n">
        <v>45292</v>
      </c>
      <c r="D172" s="37" t="n">
        <v>73</v>
      </c>
      <c r="E172" s="37" t="n">
        <v>822222.0424</v>
      </c>
      <c r="F172" s="37" t="n">
        <v>771278.9016</v>
      </c>
      <c r="G172" s="38" t="n">
        <f aca="false">E172-F172</f>
        <v>50943.1408000002</v>
      </c>
      <c r="H172" s="45" t="n">
        <v>0.0660502195694964</v>
      </c>
      <c r="I172" s="39" t="n">
        <f aca="false">IF(F172&lt;&gt;0,G172/ABS(F172),"n/a")</f>
        <v>0.0660502195694966</v>
      </c>
      <c r="J172" s="46" t="str">
        <f aca="false">IF(H172="","guard",IF(ABS(H172-I172)&lt;0.000001,"OK","DIFF"))</f>
        <v>OK</v>
      </c>
    </row>
    <row r="173" customFormat="false" ht="15" hidden="false" customHeight="false" outlineLevel="0" collapsed="false">
      <c r="A173" s="23" t="s">
        <v>216</v>
      </c>
      <c r="B173" s="23" t="s">
        <v>225</v>
      </c>
      <c r="C173" s="36" t="n">
        <v>45323</v>
      </c>
      <c r="D173" s="37" t="n">
        <v>88</v>
      </c>
      <c r="E173" s="37" t="n">
        <v>1046955.1486</v>
      </c>
      <c r="F173" s="37" t="n">
        <v>986442.152200001</v>
      </c>
      <c r="G173" s="38" t="n">
        <f aca="false">E173-F173</f>
        <v>60512.9963999996</v>
      </c>
      <c r="H173" s="45" t="n">
        <v>0.0613446984854019</v>
      </c>
      <c r="I173" s="39" t="n">
        <f aca="false">IF(F173&lt;&gt;0,G173/ABS(F173),"n/a")</f>
        <v>0.0613446984854015</v>
      </c>
      <c r="J173" s="46" t="str">
        <f aca="false">IF(H173="","guard",IF(ABS(H173-I173)&lt;0.000001,"OK","DIFF"))</f>
        <v>OK</v>
      </c>
    </row>
    <row r="174" customFormat="false" ht="15" hidden="false" customHeight="false" outlineLevel="0" collapsed="false">
      <c r="A174" s="23" t="s">
        <v>216</v>
      </c>
      <c r="B174" s="23" t="s">
        <v>225</v>
      </c>
      <c r="C174" s="36" t="n">
        <v>45352</v>
      </c>
      <c r="D174" s="37" t="n">
        <v>82</v>
      </c>
      <c r="E174" s="37" t="n">
        <v>1107462.7316</v>
      </c>
      <c r="F174" s="37" t="n">
        <v>1034410.549</v>
      </c>
      <c r="G174" s="38" t="n">
        <f aca="false">E174-F174</f>
        <v>73052.1825999994</v>
      </c>
      <c r="H174" s="45" t="n">
        <v>0.0706220394509917</v>
      </c>
      <c r="I174" s="39" t="n">
        <f aca="false">IF(F174&lt;&gt;0,G174/ABS(F174),"n/a")</f>
        <v>0.0706220394509911</v>
      </c>
      <c r="J174" s="46" t="str">
        <f aca="false">IF(H174="","guard",IF(ABS(H174-I174)&lt;0.000001,"OK","DIFF"))</f>
        <v>OK</v>
      </c>
    </row>
    <row r="175" customFormat="false" ht="15" hidden="false" customHeight="false" outlineLevel="0" collapsed="false">
      <c r="A175" s="23" t="s">
        <v>216</v>
      </c>
      <c r="B175" s="23" t="s">
        <v>225</v>
      </c>
      <c r="C175" s="36" t="n">
        <v>45383</v>
      </c>
      <c r="D175" s="37" t="n">
        <v>76</v>
      </c>
      <c r="E175" s="37" t="n">
        <v>1259467.5334</v>
      </c>
      <c r="F175" s="37" t="n">
        <v>1177578.1599</v>
      </c>
      <c r="G175" s="38" t="n">
        <f aca="false">E175-F175</f>
        <v>81889.3735000002</v>
      </c>
      <c r="H175" s="45" t="n">
        <v>0.0695404995511755</v>
      </c>
      <c r="I175" s="39" t="n">
        <f aca="false">IF(F175&lt;&gt;0,G175/ABS(F175),"n/a")</f>
        <v>0.0695404995511757</v>
      </c>
      <c r="J175" s="46" t="str">
        <f aca="false">IF(H175="","guard",IF(ABS(H175-I175)&lt;0.000001,"OK","DIFF"))</f>
        <v>OK</v>
      </c>
    </row>
    <row r="176" customFormat="false" ht="15" hidden="false" customHeight="false" outlineLevel="0" collapsed="false">
      <c r="A176" s="23" t="s">
        <v>216</v>
      </c>
      <c r="B176" s="23" t="s">
        <v>225</v>
      </c>
      <c r="C176" s="36" t="n">
        <v>45413</v>
      </c>
      <c r="D176" s="37" t="n">
        <v>72</v>
      </c>
      <c r="E176" s="37" t="n">
        <v>1033387.5422</v>
      </c>
      <c r="F176" s="37" t="n">
        <v>960094.3022</v>
      </c>
      <c r="G176" s="38" t="n">
        <f aca="false">E176-F176</f>
        <v>73293.24</v>
      </c>
      <c r="H176" s="45" t="n">
        <v>0.0763396260472048</v>
      </c>
      <c r="I176" s="39" t="n">
        <f aca="false">IF(F176&lt;&gt;0,G176/ABS(F176),"n/a")</f>
        <v>0.0763396260472048</v>
      </c>
      <c r="J176" s="46" t="str">
        <f aca="false">IF(H176="","guard",IF(ABS(H176-I176)&lt;0.000001,"OK","DIFF"))</f>
        <v>OK</v>
      </c>
    </row>
    <row r="177" customFormat="false" ht="15" hidden="false" customHeight="false" outlineLevel="0" collapsed="false">
      <c r="A177" s="23" t="s">
        <v>216</v>
      </c>
      <c r="B177" s="23" t="s">
        <v>225</v>
      </c>
      <c r="C177" s="36" t="n">
        <v>45444</v>
      </c>
      <c r="D177" s="37" t="n">
        <v>70</v>
      </c>
      <c r="E177" s="37" t="n">
        <v>1331901.4222</v>
      </c>
      <c r="F177" s="37" t="n">
        <v>1240691.7519</v>
      </c>
      <c r="G177" s="38" t="n">
        <f aca="false">E177-F177</f>
        <v>91209.6703000001</v>
      </c>
      <c r="H177" s="45" t="n">
        <v>0.0735151742246382</v>
      </c>
      <c r="I177" s="39" t="n">
        <f aca="false">IF(F177&lt;&gt;0,G177/ABS(F177),"n/a")</f>
        <v>0.0735151742246382</v>
      </c>
      <c r="J177" s="46" t="str">
        <f aca="false">IF(H177="","guard",IF(ABS(H177-I177)&lt;0.000001,"OK","DIFF"))</f>
        <v>OK</v>
      </c>
    </row>
    <row r="178" customFormat="false" ht="15" hidden="false" customHeight="false" outlineLevel="0" collapsed="false">
      <c r="A178" s="23" t="s">
        <v>216</v>
      </c>
      <c r="B178" s="23" t="s">
        <v>225</v>
      </c>
      <c r="C178" s="36" t="n">
        <v>45474</v>
      </c>
      <c r="D178" s="37" t="n">
        <v>72</v>
      </c>
      <c r="E178" s="37" t="n">
        <v>1165597.9271</v>
      </c>
      <c r="F178" s="37" t="n">
        <v>1099828.8913</v>
      </c>
      <c r="G178" s="38" t="n">
        <f aca="false">E178-F178</f>
        <v>65769.0358000002</v>
      </c>
      <c r="H178" s="45" t="n">
        <v>0.0597993345330844</v>
      </c>
      <c r="I178" s="39" t="n">
        <f aca="false">IF(F178&lt;&gt;0,G178/ABS(F178),"n/a")</f>
        <v>0.0597993345330846</v>
      </c>
      <c r="J178" s="46" t="str">
        <f aca="false">IF(H178="","guard",IF(ABS(H178-I178)&lt;0.000001,"OK","DIFF"))</f>
        <v>OK</v>
      </c>
    </row>
    <row r="179" customFormat="false" ht="15" hidden="false" customHeight="false" outlineLevel="0" collapsed="false">
      <c r="A179" s="23" t="s">
        <v>216</v>
      </c>
      <c r="B179" s="23" t="s">
        <v>225</v>
      </c>
      <c r="C179" s="36" t="n">
        <v>45505</v>
      </c>
      <c r="D179" s="37" t="n">
        <v>85</v>
      </c>
      <c r="E179" s="37" t="n">
        <v>1137329.2586</v>
      </c>
      <c r="F179" s="37" t="n">
        <v>1073766.8403</v>
      </c>
      <c r="G179" s="38" t="n">
        <f aca="false">E179-F179</f>
        <v>63562.4182999998</v>
      </c>
      <c r="H179" s="45" t="n">
        <v>0.0591957359031885</v>
      </c>
      <c r="I179" s="39" t="n">
        <f aca="false">IF(F179&lt;&gt;0,G179/ABS(F179),"n/a")</f>
        <v>0.0591957359031883</v>
      </c>
      <c r="J179" s="46" t="str">
        <f aca="false">IF(H179="","guard",IF(ABS(H179-I179)&lt;0.000001,"OK","DIFF"))</f>
        <v>OK</v>
      </c>
    </row>
    <row r="180" customFormat="false" ht="15" hidden="false" customHeight="false" outlineLevel="0" collapsed="false">
      <c r="A180" s="23" t="s">
        <v>216</v>
      </c>
      <c r="B180" s="23" t="s">
        <v>225</v>
      </c>
      <c r="C180" s="36" t="n">
        <v>45536</v>
      </c>
      <c r="D180" s="37" t="n">
        <v>61</v>
      </c>
      <c r="E180" s="37" t="n">
        <v>987553.961</v>
      </c>
      <c r="F180" s="37" t="n">
        <v>939170.0365</v>
      </c>
      <c r="G180" s="38" t="n">
        <f aca="false">E180-F180</f>
        <v>48383.9245000003</v>
      </c>
      <c r="H180" s="45" t="n">
        <v>0.051517747180598</v>
      </c>
      <c r="I180" s="39" t="n">
        <f aca="false">IF(F180&lt;&gt;0,G180/ABS(F180),"n/a")</f>
        <v>0.0515177471805984</v>
      </c>
      <c r="J180" s="46" t="str">
        <f aca="false">IF(H180="","guard",IF(ABS(H180-I180)&lt;0.000001,"OK","DIFF"))</f>
        <v>OK</v>
      </c>
    </row>
    <row r="181" customFormat="false" ht="15" hidden="false" customHeight="false" outlineLevel="0" collapsed="false">
      <c r="A181" s="23" t="s">
        <v>216</v>
      </c>
      <c r="B181" s="23" t="s">
        <v>225</v>
      </c>
      <c r="C181" s="36" t="n">
        <v>45566</v>
      </c>
      <c r="D181" s="37" t="n">
        <v>74</v>
      </c>
      <c r="E181" s="37" t="n">
        <v>1217346.5833</v>
      </c>
      <c r="F181" s="37" t="n">
        <v>1145513.9425</v>
      </c>
      <c r="G181" s="38" t="n">
        <f aca="false">E181-F181</f>
        <v>71832.6407999999</v>
      </c>
      <c r="H181" s="45" t="n">
        <v>0.0627077839342842</v>
      </c>
      <c r="I181" s="39" t="n">
        <f aca="false">IF(F181&lt;&gt;0,G181/ABS(F181),"n/a")</f>
        <v>0.0627077839342841</v>
      </c>
      <c r="J181" s="46" t="str">
        <f aca="false">IF(H181="","guard",IF(ABS(H181-I181)&lt;0.000001,"OK","DIFF"))</f>
        <v>OK</v>
      </c>
    </row>
    <row r="182" customFormat="false" ht="15" hidden="false" customHeight="false" outlineLevel="0" collapsed="false">
      <c r="A182" s="23" t="s">
        <v>216</v>
      </c>
      <c r="B182" s="23" t="s">
        <v>225</v>
      </c>
      <c r="C182" s="36" t="n">
        <v>45597</v>
      </c>
      <c r="D182" s="37" t="n">
        <v>74</v>
      </c>
      <c r="E182" s="37" t="n">
        <v>1109680.2609</v>
      </c>
      <c r="F182" s="37" t="n">
        <v>1042516.0224</v>
      </c>
      <c r="G182" s="38" t="n">
        <f aca="false">E182-F182</f>
        <v>67164.2384999996</v>
      </c>
      <c r="H182" s="45" t="n">
        <v>0.0644251378941685</v>
      </c>
      <c r="I182" s="39" t="n">
        <f aca="false">IF(F182&lt;&gt;0,G182/ABS(F182),"n/a")</f>
        <v>0.0644251378941681</v>
      </c>
      <c r="J182" s="46" t="str">
        <f aca="false">IF(H182="","guard",IF(ABS(H182-I182)&lt;0.000001,"OK","DIFF"))</f>
        <v>OK</v>
      </c>
    </row>
    <row r="183" customFormat="false" ht="15" hidden="false" customHeight="false" outlineLevel="0" collapsed="false">
      <c r="A183" s="23" t="s">
        <v>216</v>
      </c>
      <c r="B183" s="23" t="s">
        <v>225</v>
      </c>
      <c r="C183" s="36" t="n">
        <v>45627</v>
      </c>
      <c r="D183" s="37" t="n">
        <v>60</v>
      </c>
      <c r="E183" s="37" t="n">
        <v>482802.0876</v>
      </c>
      <c r="F183" s="37" t="n">
        <v>452403.6994</v>
      </c>
      <c r="G183" s="38" t="n">
        <f aca="false">E183-F183</f>
        <v>30398.3881999998</v>
      </c>
      <c r="H183" s="45" t="n">
        <v>0.0671930584129083</v>
      </c>
      <c r="I183" s="39" t="n">
        <f aca="false">IF(F183&lt;&gt;0,G183/ABS(F183),"n/a")</f>
        <v>0.0671930584129079</v>
      </c>
      <c r="J183" s="46" t="str">
        <f aca="false">IF(H183="","guard",IF(ABS(H183-I183)&lt;0.000001,"OK","DIFF"))</f>
        <v>OK</v>
      </c>
    </row>
    <row r="184" customFormat="false" ht="15" hidden="false" customHeight="false" outlineLevel="0" collapsed="false">
      <c r="A184" s="23" t="s">
        <v>216</v>
      </c>
      <c r="B184" s="23" t="s">
        <v>225</v>
      </c>
      <c r="C184" s="36" t="n">
        <v>45658</v>
      </c>
      <c r="D184" s="37" t="n">
        <v>79</v>
      </c>
      <c r="E184" s="37" t="n">
        <v>1319282.2189</v>
      </c>
      <c r="F184" s="37" t="n">
        <v>1234132.2199</v>
      </c>
      <c r="G184" s="38" t="n">
        <f aca="false">E184-F184</f>
        <v>85149.9989999998</v>
      </c>
      <c r="H184" s="45" t="n">
        <v>0.0689958479545244</v>
      </c>
      <c r="I184" s="39" t="n">
        <f aca="false">IF(F184&lt;&gt;0,G184/ABS(F184),"n/a")</f>
        <v>0.0689958479545242</v>
      </c>
      <c r="J184" s="46" t="str">
        <f aca="false">IF(H184="","guard",IF(ABS(H184-I184)&lt;0.000001,"OK","DIFF"))</f>
        <v>OK</v>
      </c>
    </row>
    <row r="185" customFormat="false" ht="15" hidden="false" customHeight="false" outlineLevel="0" collapsed="false">
      <c r="A185" s="23" t="s">
        <v>216</v>
      </c>
      <c r="B185" s="23" t="s">
        <v>225</v>
      </c>
      <c r="C185" s="36" t="n">
        <v>45689</v>
      </c>
      <c r="D185" s="37" t="n">
        <v>74</v>
      </c>
      <c r="E185" s="37" t="n">
        <v>664196.14</v>
      </c>
      <c r="F185" s="37" t="n">
        <v>626574.7183</v>
      </c>
      <c r="G185" s="38" t="n">
        <f aca="false">E185-F185</f>
        <v>37621.4216999998</v>
      </c>
      <c r="H185" s="45" t="n">
        <v>0.0600429934391114</v>
      </c>
      <c r="I185" s="39" t="n">
        <f aca="false">IF(F185&lt;&gt;0,G185/ABS(F185),"n/a")</f>
        <v>0.0600429934391112</v>
      </c>
      <c r="J185" s="46" t="str">
        <f aca="false">IF(H185="","guard",IF(ABS(H185-I185)&lt;0.000001,"OK","DIFF"))</f>
        <v>OK</v>
      </c>
    </row>
    <row r="186" customFormat="false" ht="15" hidden="false" customHeight="false" outlineLevel="0" collapsed="false">
      <c r="A186" s="23" t="s">
        <v>216</v>
      </c>
      <c r="B186" s="23" t="s">
        <v>225</v>
      </c>
      <c r="C186" s="36" t="n">
        <v>45717</v>
      </c>
      <c r="D186" s="37" t="n">
        <v>65</v>
      </c>
      <c r="E186" s="37" t="n">
        <v>695360.1831</v>
      </c>
      <c r="F186" s="37" t="n">
        <v>656360.5627</v>
      </c>
      <c r="G186" s="38" t="n">
        <f aca="false">E186-F186</f>
        <v>38999.6204000003</v>
      </c>
      <c r="H186" s="45" t="n">
        <v>0.0594179824570377</v>
      </c>
      <c r="I186" s="39" t="n">
        <f aca="false">IF(F186&lt;&gt;0,G186/ABS(F186),"n/a")</f>
        <v>0.0594179824570381</v>
      </c>
      <c r="J186" s="46" t="str">
        <f aca="false">IF(H186="","guard",IF(ABS(H186-I186)&lt;0.000001,"OK","DIFF"))</f>
        <v>OK</v>
      </c>
    </row>
    <row r="187" customFormat="false" ht="15" hidden="false" customHeight="false" outlineLevel="0" collapsed="false">
      <c r="A187" s="23" t="s">
        <v>216</v>
      </c>
      <c r="B187" s="23" t="s">
        <v>225</v>
      </c>
      <c r="C187" s="36" t="n">
        <v>45748</v>
      </c>
      <c r="D187" s="37" t="n">
        <v>72</v>
      </c>
      <c r="E187" s="37" t="n">
        <v>985619.844</v>
      </c>
      <c r="F187" s="37" t="n">
        <v>929138.101</v>
      </c>
      <c r="G187" s="38" t="n">
        <f aca="false">E187-F187</f>
        <v>56481.7429999994</v>
      </c>
      <c r="H187" s="45" t="n">
        <v>0.0607893949663786</v>
      </c>
      <c r="I187" s="39" t="n">
        <f aca="false">IF(F187&lt;&gt;0,G187/ABS(F187),"n/a")</f>
        <v>0.060789394966378</v>
      </c>
      <c r="J187" s="46" t="str">
        <f aca="false">IF(H187="","guard",IF(ABS(H187-I187)&lt;0.000001,"OK","DIFF"))</f>
        <v>OK</v>
      </c>
    </row>
    <row r="188" customFormat="false" ht="15" hidden="false" customHeight="false" outlineLevel="0" collapsed="false">
      <c r="A188" s="23" t="s">
        <v>216</v>
      </c>
      <c r="B188" s="23" t="s">
        <v>225</v>
      </c>
      <c r="C188" s="36" t="n">
        <v>45778</v>
      </c>
      <c r="D188" s="37" t="n">
        <v>75</v>
      </c>
      <c r="E188" s="37" t="n">
        <v>1383605.9843</v>
      </c>
      <c r="F188" s="37" t="n">
        <v>1299132.0073</v>
      </c>
      <c r="G188" s="38" t="n">
        <f aca="false">E188-F188</f>
        <v>84473.9770000007</v>
      </c>
      <c r="H188" s="45" t="n">
        <v>0.0650233975649351</v>
      </c>
      <c r="I188" s="39" t="n">
        <f aca="false">IF(F188&lt;&gt;0,G188/ABS(F188),"n/a")</f>
        <v>0.0650233975649356</v>
      </c>
      <c r="J188" s="46" t="str">
        <f aca="false">IF(H188="","guard",IF(ABS(H188-I188)&lt;0.000001,"OK","DIFF"))</f>
        <v>OK</v>
      </c>
    </row>
    <row r="189" customFormat="false" ht="15" hidden="false" customHeight="false" outlineLevel="0" collapsed="false">
      <c r="A189" s="23" t="s">
        <v>216</v>
      </c>
      <c r="B189" s="23" t="s">
        <v>225</v>
      </c>
      <c r="C189" s="36" t="n">
        <v>45809</v>
      </c>
      <c r="D189" s="37" t="n">
        <v>92</v>
      </c>
      <c r="E189" s="37" t="n">
        <v>1286251.5624</v>
      </c>
      <c r="F189" s="37" t="n">
        <v>1206870.7402</v>
      </c>
      <c r="G189" s="38" t="n">
        <f aca="false">E189-F189</f>
        <v>79380.8222000005</v>
      </c>
      <c r="H189" s="45" t="n">
        <v>0.0657740879415514</v>
      </c>
      <c r="I189" s="39" t="n">
        <f aca="false">IF(F189&lt;&gt;0,G189/ABS(F189),"n/a")</f>
        <v>0.0657740879415518</v>
      </c>
      <c r="J189" s="46" t="str">
        <f aca="false">IF(H189="","guard",IF(ABS(H189-I189)&lt;0.000001,"OK","DIFF"))</f>
        <v>OK</v>
      </c>
    </row>
    <row r="190" customFormat="false" ht="15" hidden="false" customHeight="false" outlineLevel="0" collapsed="false">
      <c r="A190" s="23" t="s">
        <v>216</v>
      </c>
      <c r="B190" s="23" t="s">
        <v>225</v>
      </c>
      <c r="C190" s="36" t="n">
        <v>45839</v>
      </c>
      <c r="D190" s="37" t="n">
        <v>81</v>
      </c>
      <c r="E190" s="37" t="n">
        <v>1254001.9024</v>
      </c>
      <c r="F190" s="37" t="n">
        <v>1177359.3764</v>
      </c>
      <c r="G190" s="38" t="n">
        <f aca="false">E190-F190</f>
        <v>76642.5259999987</v>
      </c>
      <c r="H190" s="45" t="n">
        <v>0.0650969682972662</v>
      </c>
      <c r="I190" s="39" t="n">
        <f aca="false">IF(F190&lt;&gt;0,G190/ABS(F190),"n/a")</f>
        <v>0.0650969682972651</v>
      </c>
      <c r="J190" s="46" t="str">
        <f aca="false">IF(H190="","guard",IF(ABS(H190-I190)&lt;0.000001,"OK","DIFF"))</f>
        <v>OK</v>
      </c>
    </row>
    <row r="191" customFormat="false" ht="15" hidden="false" customHeight="false" outlineLevel="0" collapsed="false">
      <c r="A191" s="23" t="s">
        <v>216</v>
      </c>
      <c r="B191" s="23" t="s">
        <v>225</v>
      </c>
      <c r="C191" s="36" t="n">
        <v>45870</v>
      </c>
      <c r="D191" s="37" t="n">
        <v>76</v>
      </c>
      <c r="E191" s="37" t="n">
        <v>993592.4848</v>
      </c>
      <c r="F191" s="37" t="n">
        <v>928161.7562</v>
      </c>
      <c r="G191" s="38" t="n">
        <f aca="false">E191-F191</f>
        <v>65430.7285999996</v>
      </c>
      <c r="H191" s="45" t="n">
        <v>0.0704949629339189</v>
      </c>
      <c r="I191" s="39" t="n">
        <f aca="false">IF(F191&lt;&gt;0,G191/ABS(F191),"n/a")</f>
        <v>0.0704949629339183</v>
      </c>
      <c r="J191" s="46" t="str">
        <f aca="false">IF(H191="","guard",IF(ABS(H191-I191)&lt;0.000001,"OK","DIFF"))</f>
        <v>OK</v>
      </c>
    </row>
    <row r="192" customFormat="false" ht="15" hidden="false" customHeight="false" outlineLevel="0" collapsed="false">
      <c r="A192" s="23" t="s">
        <v>216</v>
      </c>
      <c r="B192" s="23" t="s">
        <v>225</v>
      </c>
      <c r="C192" s="36" t="n">
        <v>45901</v>
      </c>
      <c r="D192" s="37" t="n">
        <v>77</v>
      </c>
      <c r="E192" s="37" t="n">
        <v>1047125.8223</v>
      </c>
      <c r="F192" s="37" t="n">
        <v>987249.7463</v>
      </c>
      <c r="G192" s="38" t="n">
        <f aca="false">E192-F192</f>
        <v>59876.0760000004</v>
      </c>
      <c r="H192" s="45" t="n">
        <v>0.0606493708652777</v>
      </c>
      <c r="I192" s="39" t="n">
        <f aca="false">IF(F192&lt;&gt;0,G192/ABS(F192),"n/a")</f>
        <v>0.060649370865278</v>
      </c>
      <c r="J192" s="46" t="str">
        <f aca="false">IF(H192="","guard",IF(ABS(H192-I192)&lt;0.000001,"OK","DIFF"))</f>
        <v>OK</v>
      </c>
    </row>
    <row r="193" customFormat="false" ht="15" hidden="false" customHeight="false" outlineLevel="0" collapsed="false">
      <c r="A193" s="23" t="s">
        <v>216</v>
      </c>
      <c r="B193" s="23" t="s">
        <v>225</v>
      </c>
      <c r="C193" s="36" t="n">
        <v>45931</v>
      </c>
      <c r="D193" s="37" t="n">
        <v>69</v>
      </c>
      <c r="E193" s="37" t="n">
        <v>844010.4112</v>
      </c>
      <c r="F193" s="37" t="n">
        <v>797829.9322</v>
      </c>
      <c r="G193" s="38" t="n">
        <f aca="false">E193-F193</f>
        <v>46180.4789999998</v>
      </c>
      <c r="H193" s="45" t="n">
        <v>0.0578826102358159</v>
      </c>
      <c r="I193" s="39" t="n">
        <f aca="false">IF(F193&lt;&gt;0,G193/ABS(F193),"n/a")</f>
        <v>0.0578826102358156</v>
      </c>
      <c r="J193" s="46" t="str">
        <f aca="false">IF(H193="","guard",IF(ABS(H193-I193)&lt;0.000001,"OK","DIFF"))</f>
        <v>OK</v>
      </c>
    </row>
    <row r="194" customFormat="false" ht="15" hidden="false" customHeight="false" outlineLevel="0" collapsed="false">
      <c r="A194" s="23" t="s">
        <v>216</v>
      </c>
      <c r="B194" s="23" t="s">
        <v>225</v>
      </c>
      <c r="C194" s="36" t="n">
        <v>45962</v>
      </c>
      <c r="D194" s="37" t="n">
        <v>84</v>
      </c>
      <c r="E194" s="37" t="n">
        <v>1179775.3571</v>
      </c>
      <c r="F194" s="37" t="n">
        <v>1110812.4035</v>
      </c>
      <c r="G194" s="38" t="n">
        <f aca="false">E194-F194</f>
        <v>68962.9535999997</v>
      </c>
      <c r="H194" s="45" t="n">
        <v>0.0620833485318568</v>
      </c>
      <c r="I194" s="39" t="n">
        <f aca="false">IF(F194&lt;&gt;0,G194/ABS(F194),"n/a")</f>
        <v>0.0620833485318564</v>
      </c>
      <c r="J194" s="46" t="str">
        <f aca="false">IF(H194="","guard",IF(ABS(H194-I194)&lt;0.000001,"OK","DIFF"))</f>
        <v>OK</v>
      </c>
    </row>
    <row r="195" customFormat="false" ht="15" hidden="false" customHeight="false" outlineLevel="0" collapsed="false">
      <c r="A195" s="23" t="s">
        <v>216</v>
      </c>
      <c r="B195" s="23" t="s">
        <v>225</v>
      </c>
      <c r="C195" s="36" t="n">
        <v>45992</v>
      </c>
      <c r="D195" s="37" t="n">
        <v>63</v>
      </c>
      <c r="E195" s="37" t="n">
        <v>898407.694</v>
      </c>
      <c r="F195" s="37" t="n">
        <v>838636.495</v>
      </c>
      <c r="G195" s="38" t="n">
        <f aca="false">E195-F195</f>
        <v>59771.1990000003</v>
      </c>
      <c r="H195" s="45" t="n">
        <v>0.0712718792425079</v>
      </c>
      <c r="I195" s="39" t="n">
        <f aca="false">IF(F195&lt;&gt;0,G195/ABS(F195),"n/a")</f>
        <v>0.0712718792425081</v>
      </c>
      <c r="J195" s="46" t="str">
        <f aca="false">IF(H195="","guard",IF(ABS(H195-I195)&lt;0.000001,"OK","DIFF"))</f>
        <v>OK</v>
      </c>
    </row>
    <row r="196" customFormat="false" ht="15" hidden="false" customHeight="false" outlineLevel="0" collapsed="false">
      <c r="A196" s="23" t="s">
        <v>216</v>
      </c>
      <c r="B196" s="23" t="s">
        <v>226</v>
      </c>
      <c r="C196" s="36" t="n">
        <v>44927</v>
      </c>
      <c r="D196" s="37" t="n">
        <v>190</v>
      </c>
      <c r="E196" s="37" t="n">
        <v>868238.9288</v>
      </c>
      <c r="F196" s="37" t="n">
        <v>813254.2203</v>
      </c>
      <c r="G196" s="38" t="n">
        <f aca="false">E196-F196</f>
        <v>54984.7084999996</v>
      </c>
      <c r="H196" s="45" t="n">
        <v>0.0676107262987418</v>
      </c>
      <c r="I196" s="39" t="n">
        <f aca="false">IF(F196&lt;&gt;0,G196/ABS(F196),"n/a")</f>
        <v>0.0676107262987413</v>
      </c>
      <c r="J196" s="46" t="str">
        <f aca="false">IF(H196="","guard",IF(ABS(H196-I196)&lt;0.000001,"OK","DIFF"))</f>
        <v>OK</v>
      </c>
    </row>
    <row r="197" customFormat="false" ht="15" hidden="false" customHeight="false" outlineLevel="0" collapsed="false">
      <c r="A197" s="23" t="s">
        <v>216</v>
      </c>
      <c r="B197" s="23" t="s">
        <v>226</v>
      </c>
      <c r="C197" s="36" t="n">
        <v>44958</v>
      </c>
      <c r="D197" s="37" t="n">
        <v>210</v>
      </c>
      <c r="E197" s="37" t="n">
        <v>1219571.1299</v>
      </c>
      <c r="F197" s="37" t="n">
        <v>1145859.7244</v>
      </c>
      <c r="G197" s="38" t="n">
        <f aca="false">E197-F197</f>
        <v>73711.4054999999</v>
      </c>
      <c r="H197" s="45" t="n">
        <v>0.0643284722644362</v>
      </c>
      <c r="I197" s="39" t="n">
        <f aca="false">IF(F197&lt;&gt;0,G197/ABS(F197),"n/a")</f>
        <v>0.0643284722644362</v>
      </c>
      <c r="J197" s="46" t="str">
        <f aca="false">IF(H197="","guard",IF(ABS(H197-I197)&lt;0.000001,"OK","DIFF"))</f>
        <v>OK</v>
      </c>
    </row>
    <row r="198" customFormat="false" ht="15" hidden="false" customHeight="false" outlineLevel="0" collapsed="false">
      <c r="A198" s="23" t="s">
        <v>216</v>
      </c>
      <c r="B198" s="23" t="s">
        <v>226</v>
      </c>
      <c r="C198" s="36" t="n">
        <v>44986</v>
      </c>
      <c r="D198" s="37" t="n">
        <v>222</v>
      </c>
      <c r="E198" s="37" t="n">
        <v>1360208.604</v>
      </c>
      <c r="F198" s="37" t="n">
        <v>1281141.4577</v>
      </c>
      <c r="G198" s="38" t="n">
        <f aca="false">E198-F198</f>
        <v>79067.1463000004</v>
      </c>
      <c r="H198" s="45" t="n">
        <v>0.0617161717972559</v>
      </c>
      <c r="I198" s="39" t="n">
        <f aca="false">IF(F198&lt;&gt;0,G198/ABS(F198),"n/a")</f>
        <v>0.0617161717972562</v>
      </c>
      <c r="J198" s="46" t="str">
        <f aca="false">IF(H198="","guard",IF(ABS(H198-I198)&lt;0.000001,"OK","DIFF"))</f>
        <v>OK</v>
      </c>
    </row>
    <row r="199" customFormat="false" ht="15" hidden="false" customHeight="false" outlineLevel="0" collapsed="false">
      <c r="A199" s="23" t="s">
        <v>216</v>
      </c>
      <c r="B199" s="23" t="s">
        <v>226</v>
      </c>
      <c r="C199" s="36" t="n">
        <v>45017</v>
      </c>
      <c r="D199" s="37" t="n">
        <v>210</v>
      </c>
      <c r="E199" s="37" t="n">
        <v>1149113.6001</v>
      </c>
      <c r="F199" s="37" t="n">
        <v>1079255.805</v>
      </c>
      <c r="G199" s="38" t="n">
        <f aca="false">E199-F199</f>
        <v>69857.7951</v>
      </c>
      <c r="H199" s="45" t="n">
        <v>0.0647277455227587</v>
      </c>
      <c r="I199" s="39" t="n">
        <f aca="false">IF(F199&lt;&gt;0,G199/ABS(F199),"n/a")</f>
        <v>0.0647277455227586</v>
      </c>
      <c r="J199" s="46" t="str">
        <f aca="false">IF(H199="","guard",IF(ABS(H199-I199)&lt;0.000001,"OK","DIFF"))</f>
        <v>OK</v>
      </c>
    </row>
    <row r="200" customFormat="false" ht="15" hidden="false" customHeight="false" outlineLevel="0" collapsed="false">
      <c r="A200" s="23" t="s">
        <v>216</v>
      </c>
      <c r="B200" s="23" t="s">
        <v>226</v>
      </c>
      <c r="C200" s="36" t="n">
        <v>45047</v>
      </c>
      <c r="D200" s="37" t="n">
        <v>181</v>
      </c>
      <c r="E200" s="37" t="n">
        <v>951717.8243</v>
      </c>
      <c r="F200" s="37" t="n">
        <v>888162.8795</v>
      </c>
      <c r="G200" s="38" t="n">
        <f aca="false">E200-F200</f>
        <v>63554.9448000001</v>
      </c>
      <c r="H200" s="45" t="n">
        <v>0.071557758455047</v>
      </c>
      <c r="I200" s="39" t="n">
        <f aca="false">IF(F200&lt;&gt;0,G200/ABS(F200),"n/a")</f>
        <v>0.071557758455047</v>
      </c>
      <c r="J200" s="46" t="str">
        <f aca="false">IF(H200="","guard",IF(ABS(H200-I200)&lt;0.000001,"OK","DIFF"))</f>
        <v>OK</v>
      </c>
    </row>
    <row r="201" customFormat="false" ht="15" hidden="false" customHeight="false" outlineLevel="0" collapsed="false">
      <c r="A201" s="23" t="s">
        <v>216</v>
      </c>
      <c r="B201" s="23" t="s">
        <v>226</v>
      </c>
      <c r="C201" s="36" t="n">
        <v>45078</v>
      </c>
      <c r="D201" s="37" t="n">
        <v>167</v>
      </c>
      <c r="E201" s="37" t="n">
        <v>945061.4158</v>
      </c>
      <c r="F201" s="37" t="n">
        <v>892470.076500001</v>
      </c>
      <c r="G201" s="38" t="n">
        <f aca="false">E201-F201</f>
        <v>52591.3392999998</v>
      </c>
      <c r="H201" s="45" t="n">
        <v>0.0589278460811229</v>
      </c>
      <c r="I201" s="39" t="n">
        <f aca="false">IF(F201&lt;&gt;0,G201/ABS(F201),"n/a")</f>
        <v>0.0589278460811226</v>
      </c>
      <c r="J201" s="46" t="str">
        <f aca="false">IF(H201="","guard",IF(ABS(H201-I201)&lt;0.000001,"OK","DIFF"))</f>
        <v>OK</v>
      </c>
    </row>
    <row r="202" customFormat="false" ht="15" hidden="false" customHeight="false" outlineLevel="0" collapsed="false">
      <c r="A202" s="23" t="s">
        <v>216</v>
      </c>
      <c r="B202" s="23" t="s">
        <v>226</v>
      </c>
      <c r="C202" s="36" t="n">
        <v>45108</v>
      </c>
      <c r="D202" s="37" t="n">
        <v>211</v>
      </c>
      <c r="E202" s="37" t="n">
        <v>1283819.3825</v>
      </c>
      <c r="F202" s="37" t="n">
        <v>1209908.8982</v>
      </c>
      <c r="G202" s="38" t="n">
        <f aca="false">E202-F202</f>
        <v>73910.4842999999</v>
      </c>
      <c r="H202" s="45" t="n">
        <v>0.0610876442102027</v>
      </c>
      <c r="I202" s="39" t="n">
        <f aca="false">IF(F202&lt;&gt;0,G202/ABS(F202),"n/a")</f>
        <v>0.0610876442102026</v>
      </c>
      <c r="J202" s="46" t="str">
        <f aca="false">IF(H202="","guard",IF(ABS(H202-I202)&lt;0.000001,"OK","DIFF"))</f>
        <v>OK</v>
      </c>
    </row>
    <row r="203" customFormat="false" ht="15" hidden="false" customHeight="false" outlineLevel="0" collapsed="false">
      <c r="A203" s="23" t="s">
        <v>216</v>
      </c>
      <c r="B203" s="23" t="s">
        <v>226</v>
      </c>
      <c r="C203" s="36" t="n">
        <v>45139</v>
      </c>
      <c r="D203" s="37" t="n">
        <v>187</v>
      </c>
      <c r="E203" s="37" t="n">
        <v>1142212.322</v>
      </c>
      <c r="F203" s="37" t="n">
        <v>1072219.4442</v>
      </c>
      <c r="G203" s="38" t="n">
        <f aca="false">E203-F203</f>
        <v>69992.8778000006</v>
      </c>
      <c r="H203" s="45" t="n">
        <v>0.0652785007571121</v>
      </c>
      <c r="I203" s="39" t="n">
        <f aca="false">IF(F203&lt;&gt;0,G203/ABS(F203),"n/a")</f>
        <v>0.0652785007571126</v>
      </c>
      <c r="J203" s="46" t="str">
        <f aca="false">IF(H203="","guard",IF(ABS(H203-I203)&lt;0.000001,"OK","DIFF"))</f>
        <v>OK</v>
      </c>
    </row>
    <row r="204" customFormat="false" ht="15" hidden="false" customHeight="false" outlineLevel="0" collapsed="false">
      <c r="A204" s="23" t="s">
        <v>216</v>
      </c>
      <c r="B204" s="23" t="s">
        <v>226</v>
      </c>
      <c r="C204" s="36" t="n">
        <v>45170</v>
      </c>
      <c r="D204" s="37" t="n">
        <v>192</v>
      </c>
      <c r="E204" s="37" t="n">
        <v>915527.8521</v>
      </c>
      <c r="F204" s="37" t="n">
        <v>859642.3959</v>
      </c>
      <c r="G204" s="38" t="n">
        <f aca="false">E204-F204</f>
        <v>55885.4561999998</v>
      </c>
      <c r="H204" s="45" t="n">
        <v>0.0650101210300254</v>
      </c>
      <c r="I204" s="39" t="n">
        <f aca="false">IF(F204&lt;&gt;0,G204/ABS(F204),"n/a")</f>
        <v>0.0650101210300251</v>
      </c>
      <c r="J204" s="46" t="str">
        <f aca="false">IF(H204="","guard",IF(ABS(H204-I204)&lt;0.000001,"OK","DIFF"))</f>
        <v>OK</v>
      </c>
    </row>
    <row r="205" customFormat="false" ht="15" hidden="false" customHeight="false" outlineLevel="0" collapsed="false">
      <c r="A205" s="23" t="s">
        <v>216</v>
      </c>
      <c r="B205" s="23" t="s">
        <v>226</v>
      </c>
      <c r="C205" s="36" t="n">
        <v>45200</v>
      </c>
      <c r="D205" s="37" t="n">
        <v>198</v>
      </c>
      <c r="E205" s="37" t="n">
        <v>1072008.8523</v>
      </c>
      <c r="F205" s="37" t="n">
        <v>1010702.7857</v>
      </c>
      <c r="G205" s="38" t="n">
        <f aca="false">E205-F205</f>
        <v>61306.0666000004</v>
      </c>
      <c r="H205" s="45" t="n">
        <v>0.0606568691284849</v>
      </c>
      <c r="I205" s="39" t="n">
        <f aca="false">IF(F205&lt;&gt;0,G205/ABS(F205),"n/a")</f>
        <v>0.0606568691284853</v>
      </c>
      <c r="J205" s="46" t="str">
        <f aca="false">IF(H205="","guard",IF(ABS(H205-I205)&lt;0.000001,"OK","DIFF"))</f>
        <v>OK</v>
      </c>
    </row>
    <row r="206" customFormat="false" ht="15" hidden="false" customHeight="false" outlineLevel="0" collapsed="false">
      <c r="A206" s="23" t="s">
        <v>216</v>
      </c>
      <c r="B206" s="23" t="s">
        <v>226</v>
      </c>
      <c r="C206" s="36" t="n">
        <v>45231</v>
      </c>
      <c r="D206" s="37" t="n">
        <v>177</v>
      </c>
      <c r="E206" s="37" t="n">
        <v>976812.273</v>
      </c>
      <c r="F206" s="37" t="n">
        <v>920434.5807</v>
      </c>
      <c r="G206" s="38" t="n">
        <f aca="false">E206-F206</f>
        <v>56377.6923000001</v>
      </c>
      <c r="H206" s="45" t="n">
        <v>0.0612511670923144</v>
      </c>
      <c r="I206" s="39" t="n">
        <f aca="false">IF(F206&lt;&gt;0,G206/ABS(F206),"n/a")</f>
        <v>0.0612511670923145</v>
      </c>
      <c r="J206" s="46" t="str">
        <f aca="false">IF(H206="","guard",IF(ABS(H206-I206)&lt;0.000001,"OK","DIFF"))</f>
        <v>OK</v>
      </c>
    </row>
    <row r="207" customFormat="false" ht="15" hidden="false" customHeight="false" outlineLevel="0" collapsed="false">
      <c r="A207" s="23" t="s">
        <v>216</v>
      </c>
      <c r="B207" s="23" t="s">
        <v>226</v>
      </c>
      <c r="C207" s="36" t="n">
        <v>45261</v>
      </c>
      <c r="D207" s="37" t="n">
        <v>198</v>
      </c>
      <c r="E207" s="37" t="n">
        <v>909523.5915</v>
      </c>
      <c r="F207" s="37" t="n">
        <v>859580.127800001</v>
      </c>
      <c r="G207" s="38" t="n">
        <f aca="false">E207-F207</f>
        <v>49943.4636999997</v>
      </c>
      <c r="H207" s="45" t="n">
        <v>0.0581021618401356</v>
      </c>
      <c r="I207" s="39" t="n">
        <f aca="false">IF(F207&lt;&gt;0,G207/ABS(F207),"n/a")</f>
        <v>0.0581021618401352</v>
      </c>
      <c r="J207" s="46" t="str">
        <f aca="false">IF(H207="","guard",IF(ABS(H207-I207)&lt;0.000001,"OK","DIFF"))</f>
        <v>OK</v>
      </c>
    </row>
    <row r="208" customFormat="false" ht="15" hidden="false" customHeight="false" outlineLevel="0" collapsed="false">
      <c r="A208" s="23" t="s">
        <v>216</v>
      </c>
      <c r="B208" s="23" t="s">
        <v>226</v>
      </c>
      <c r="C208" s="36" t="n">
        <v>45292</v>
      </c>
      <c r="D208" s="37" t="n">
        <v>206</v>
      </c>
      <c r="E208" s="37" t="n">
        <v>946294.3039</v>
      </c>
      <c r="F208" s="37" t="n">
        <v>887990.767100001</v>
      </c>
      <c r="G208" s="38" t="n">
        <f aca="false">E208-F208</f>
        <v>58303.5367999994</v>
      </c>
      <c r="H208" s="45" t="n">
        <v>0.0656578187072909</v>
      </c>
      <c r="I208" s="39" t="n">
        <f aca="false">IF(F208&lt;&gt;0,G208/ABS(F208),"n/a")</f>
        <v>0.0656578187072902</v>
      </c>
      <c r="J208" s="46" t="str">
        <f aca="false">IF(H208="","guard",IF(ABS(H208-I208)&lt;0.000001,"OK","DIFF"))</f>
        <v>OK</v>
      </c>
    </row>
    <row r="209" customFormat="false" ht="15" hidden="false" customHeight="false" outlineLevel="0" collapsed="false">
      <c r="A209" s="23" t="s">
        <v>216</v>
      </c>
      <c r="B209" s="23" t="s">
        <v>226</v>
      </c>
      <c r="C209" s="36" t="n">
        <v>45323</v>
      </c>
      <c r="D209" s="37" t="n">
        <v>210</v>
      </c>
      <c r="E209" s="37" t="n">
        <v>1132826.0009</v>
      </c>
      <c r="F209" s="37" t="n">
        <v>1059847.7512</v>
      </c>
      <c r="G209" s="38" t="n">
        <f aca="false">E209-F209</f>
        <v>72978.2497</v>
      </c>
      <c r="H209" s="45" t="n">
        <v>0.0688572954156588</v>
      </c>
      <c r="I209" s="39" t="n">
        <f aca="false">IF(F209&lt;&gt;0,G209/ABS(F209),"n/a")</f>
        <v>0.0688572954156588</v>
      </c>
      <c r="J209" s="46" t="str">
        <f aca="false">IF(H209="","guard",IF(ABS(H209-I209)&lt;0.000001,"OK","DIFF"))</f>
        <v>OK</v>
      </c>
    </row>
    <row r="210" customFormat="false" ht="15" hidden="false" customHeight="false" outlineLevel="0" collapsed="false">
      <c r="A210" s="23" t="s">
        <v>216</v>
      </c>
      <c r="B210" s="23" t="s">
        <v>226</v>
      </c>
      <c r="C210" s="36" t="n">
        <v>45352</v>
      </c>
      <c r="D210" s="37" t="n">
        <v>222</v>
      </c>
      <c r="E210" s="37" t="n">
        <v>1285932.2926</v>
      </c>
      <c r="F210" s="37" t="n">
        <v>1210353.9068</v>
      </c>
      <c r="G210" s="38" t="n">
        <f aca="false">E210-F210</f>
        <v>75578.3857999998</v>
      </c>
      <c r="H210" s="45" t="n">
        <v>0.0624432121674381</v>
      </c>
      <c r="I210" s="39" t="n">
        <f aca="false">IF(F210&lt;&gt;0,G210/ABS(F210),"n/a")</f>
        <v>0.0624432121674379</v>
      </c>
      <c r="J210" s="46" t="str">
        <f aca="false">IF(H210="","guard",IF(ABS(H210-I210)&lt;0.000001,"OK","DIFF"))</f>
        <v>OK</v>
      </c>
    </row>
    <row r="211" customFormat="false" ht="15" hidden="false" customHeight="false" outlineLevel="0" collapsed="false">
      <c r="A211" s="23" t="s">
        <v>216</v>
      </c>
      <c r="B211" s="23" t="s">
        <v>226</v>
      </c>
      <c r="C211" s="36" t="n">
        <v>45383</v>
      </c>
      <c r="D211" s="37" t="n">
        <v>186</v>
      </c>
      <c r="E211" s="37" t="n">
        <v>1103381.6649</v>
      </c>
      <c r="F211" s="37" t="n">
        <v>1034346.2199</v>
      </c>
      <c r="G211" s="38" t="n">
        <f aca="false">E211-F211</f>
        <v>69035.4450000008</v>
      </c>
      <c r="H211" s="45" t="n">
        <v>0.0667430727466422</v>
      </c>
      <c r="I211" s="39" t="n">
        <f aca="false">IF(F211&lt;&gt;0,G211/ABS(F211),"n/a")</f>
        <v>0.0667430727466429</v>
      </c>
      <c r="J211" s="46" t="str">
        <f aca="false">IF(H211="","guard",IF(ABS(H211-I211)&lt;0.000001,"OK","DIFF"))</f>
        <v>OK</v>
      </c>
    </row>
    <row r="212" customFormat="false" ht="15" hidden="false" customHeight="false" outlineLevel="0" collapsed="false">
      <c r="A212" s="23" t="s">
        <v>216</v>
      </c>
      <c r="B212" s="23" t="s">
        <v>226</v>
      </c>
      <c r="C212" s="36" t="n">
        <v>45413</v>
      </c>
      <c r="D212" s="37" t="n">
        <v>209</v>
      </c>
      <c r="E212" s="37" t="n">
        <v>1371921.2921</v>
      </c>
      <c r="F212" s="37" t="n">
        <v>1292045.0112</v>
      </c>
      <c r="G212" s="38" t="n">
        <f aca="false">E212-F212</f>
        <v>79876.2808999999</v>
      </c>
      <c r="H212" s="45" t="n">
        <v>0.0618215930618501</v>
      </c>
      <c r="I212" s="39" t="n">
        <f aca="false">IF(F212&lt;&gt;0,G212/ABS(F212),"n/a")</f>
        <v>0.0618215930618501</v>
      </c>
      <c r="J212" s="46" t="str">
        <f aca="false">IF(H212="","guard",IF(ABS(H212-I212)&lt;0.000001,"OK","DIFF"))</f>
        <v>OK</v>
      </c>
    </row>
    <row r="213" customFormat="false" ht="15" hidden="false" customHeight="false" outlineLevel="0" collapsed="false">
      <c r="A213" s="23" t="s">
        <v>216</v>
      </c>
      <c r="B213" s="23" t="s">
        <v>226</v>
      </c>
      <c r="C213" s="36" t="n">
        <v>45444</v>
      </c>
      <c r="D213" s="37" t="n">
        <v>204</v>
      </c>
      <c r="E213" s="37" t="n">
        <v>1360021.1167</v>
      </c>
      <c r="F213" s="37" t="n">
        <v>1278858.1649</v>
      </c>
      <c r="G213" s="38" t="n">
        <f aca="false">E213-F213</f>
        <v>81162.951799999</v>
      </c>
      <c r="H213" s="45" t="n">
        <v>0.0634651707496792</v>
      </c>
      <c r="I213" s="39" t="n">
        <f aca="false">IF(F213&lt;&gt;0,G213/ABS(F213),"n/a")</f>
        <v>0.0634651707496785</v>
      </c>
      <c r="J213" s="46" t="str">
        <f aca="false">IF(H213="","guard",IF(ABS(H213-I213)&lt;0.000001,"OK","DIFF"))</f>
        <v>OK</v>
      </c>
    </row>
    <row r="214" customFormat="false" ht="15" hidden="false" customHeight="false" outlineLevel="0" collapsed="false">
      <c r="A214" s="23" t="s">
        <v>216</v>
      </c>
      <c r="B214" s="23" t="s">
        <v>226</v>
      </c>
      <c r="C214" s="36" t="n">
        <v>45474</v>
      </c>
      <c r="D214" s="37" t="n">
        <v>189</v>
      </c>
      <c r="E214" s="37" t="n">
        <v>1122401.2171</v>
      </c>
      <c r="F214" s="37" t="n">
        <v>1056438.8585</v>
      </c>
      <c r="G214" s="38" t="n">
        <f aca="false">E214-F214</f>
        <v>65962.3586000002</v>
      </c>
      <c r="H214" s="45" t="n">
        <v>0.0624384062260428</v>
      </c>
      <c r="I214" s="39" t="n">
        <f aca="false">IF(F214&lt;&gt;0,G214/ABS(F214),"n/a")</f>
        <v>0.062438406226043</v>
      </c>
      <c r="J214" s="46" t="str">
        <f aca="false">IF(H214="","guard",IF(ABS(H214-I214)&lt;0.000001,"OK","DIFF"))</f>
        <v>OK</v>
      </c>
    </row>
    <row r="215" customFormat="false" ht="15" hidden="false" customHeight="false" outlineLevel="0" collapsed="false">
      <c r="A215" s="23" t="s">
        <v>216</v>
      </c>
      <c r="B215" s="23" t="s">
        <v>226</v>
      </c>
      <c r="C215" s="36" t="n">
        <v>45505</v>
      </c>
      <c r="D215" s="37" t="n">
        <v>189</v>
      </c>
      <c r="E215" s="37" t="n">
        <v>1257080.6618</v>
      </c>
      <c r="F215" s="37" t="n">
        <v>1186074.0271</v>
      </c>
      <c r="G215" s="38" t="n">
        <f aca="false">E215-F215</f>
        <v>71006.6347000005</v>
      </c>
      <c r="H215" s="45" t="n">
        <v>0.059866950188273</v>
      </c>
      <c r="I215" s="39" t="n">
        <f aca="false">IF(F215&lt;&gt;0,G215/ABS(F215),"n/a")</f>
        <v>0.0598669501882734</v>
      </c>
      <c r="J215" s="46" t="str">
        <f aca="false">IF(H215="","guard",IF(ABS(H215-I215)&lt;0.000001,"OK","DIFF"))</f>
        <v>OK</v>
      </c>
    </row>
    <row r="216" customFormat="false" ht="15" hidden="false" customHeight="false" outlineLevel="0" collapsed="false">
      <c r="A216" s="23" t="s">
        <v>216</v>
      </c>
      <c r="B216" s="23" t="s">
        <v>226</v>
      </c>
      <c r="C216" s="36" t="n">
        <v>45536</v>
      </c>
      <c r="D216" s="37" t="n">
        <v>203</v>
      </c>
      <c r="E216" s="37" t="n">
        <v>1140387.0744</v>
      </c>
      <c r="F216" s="37" t="n">
        <v>1069490.913</v>
      </c>
      <c r="G216" s="38" t="n">
        <f aca="false">E216-F216</f>
        <v>70896.1614000001</v>
      </c>
      <c r="H216" s="45" t="n">
        <v>0.0662896341972005</v>
      </c>
      <c r="I216" s="39" t="n">
        <f aca="false">IF(F216&lt;&gt;0,G216/ABS(F216),"n/a")</f>
        <v>0.0662896341972006</v>
      </c>
      <c r="J216" s="46" t="str">
        <f aca="false">IF(H216="","guard",IF(ABS(H216-I216)&lt;0.000001,"OK","DIFF"))</f>
        <v>OK</v>
      </c>
    </row>
    <row r="217" customFormat="false" ht="15" hidden="false" customHeight="false" outlineLevel="0" collapsed="false">
      <c r="A217" s="23" t="s">
        <v>216</v>
      </c>
      <c r="B217" s="23" t="s">
        <v>226</v>
      </c>
      <c r="C217" s="36" t="n">
        <v>45566</v>
      </c>
      <c r="D217" s="37" t="n">
        <v>198</v>
      </c>
      <c r="E217" s="37" t="n">
        <v>1061155.28</v>
      </c>
      <c r="F217" s="37" t="n">
        <v>992861.957200001</v>
      </c>
      <c r="G217" s="38" t="n">
        <f aca="false">E217-F217</f>
        <v>68293.3228</v>
      </c>
      <c r="H217" s="45" t="n">
        <v>0.0687843081354391</v>
      </c>
      <c r="I217" s="39" t="n">
        <f aca="false">IF(F217&lt;&gt;0,G217/ABS(F217),"n/a")</f>
        <v>0.0687843081354391</v>
      </c>
      <c r="J217" s="46" t="str">
        <f aca="false">IF(H217="","guard",IF(ABS(H217-I217)&lt;0.000001,"OK","DIFF"))</f>
        <v>OK</v>
      </c>
    </row>
    <row r="218" customFormat="false" ht="15" hidden="false" customHeight="false" outlineLevel="0" collapsed="false">
      <c r="A218" s="23" t="s">
        <v>216</v>
      </c>
      <c r="B218" s="23" t="s">
        <v>226</v>
      </c>
      <c r="C218" s="36" t="n">
        <v>45597</v>
      </c>
      <c r="D218" s="37" t="n">
        <v>214</v>
      </c>
      <c r="E218" s="37" t="n">
        <v>1183101.5909</v>
      </c>
      <c r="F218" s="37" t="n">
        <v>1107345.5239</v>
      </c>
      <c r="G218" s="38" t="n">
        <f aca="false">E218-F218</f>
        <v>75756.0670000005</v>
      </c>
      <c r="H218" s="45" t="n">
        <v>0.0684123115729877</v>
      </c>
      <c r="I218" s="39" t="n">
        <f aca="false">IF(F218&lt;&gt;0,G218/ABS(F218),"n/a")</f>
        <v>0.0684123115729881</v>
      </c>
      <c r="J218" s="46" t="str">
        <f aca="false">IF(H218="","guard",IF(ABS(H218-I218)&lt;0.000001,"OK","DIFF"))</f>
        <v>OK</v>
      </c>
    </row>
    <row r="219" customFormat="false" ht="15" hidden="false" customHeight="false" outlineLevel="0" collapsed="false">
      <c r="A219" s="23" t="s">
        <v>216</v>
      </c>
      <c r="B219" s="23" t="s">
        <v>226</v>
      </c>
      <c r="C219" s="36" t="n">
        <v>45627</v>
      </c>
      <c r="D219" s="37" t="n">
        <v>178</v>
      </c>
      <c r="E219" s="37" t="n">
        <v>1020510.2899</v>
      </c>
      <c r="F219" s="37" t="n">
        <v>961426.8323</v>
      </c>
      <c r="G219" s="38" t="n">
        <f aca="false">E219-F219</f>
        <v>59083.4575999994</v>
      </c>
      <c r="H219" s="45" t="n">
        <v>0.0614539303616646</v>
      </c>
      <c r="I219" s="39" t="n">
        <f aca="false">IF(F219&lt;&gt;0,G219/ABS(F219),"n/a")</f>
        <v>0.061453930361664</v>
      </c>
      <c r="J219" s="46" t="str">
        <f aca="false">IF(H219="","guard",IF(ABS(H219-I219)&lt;0.000001,"OK","DIFF"))</f>
        <v>OK</v>
      </c>
    </row>
    <row r="220" customFormat="false" ht="15" hidden="false" customHeight="false" outlineLevel="0" collapsed="false">
      <c r="A220" s="23" t="s">
        <v>216</v>
      </c>
      <c r="B220" s="23" t="s">
        <v>226</v>
      </c>
      <c r="C220" s="36" t="n">
        <v>45658</v>
      </c>
      <c r="D220" s="37" t="n">
        <v>182</v>
      </c>
      <c r="E220" s="37" t="n">
        <v>1109126.7881</v>
      </c>
      <c r="F220" s="37" t="n">
        <v>1044898.7977</v>
      </c>
      <c r="G220" s="38" t="n">
        <f aca="false">E220-F220</f>
        <v>64227.9903999994</v>
      </c>
      <c r="H220" s="45" t="n">
        <v>0.0614681446101544</v>
      </c>
      <c r="I220" s="39" t="n">
        <f aca="false">IF(F220&lt;&gt;0,G220/ABS(F220),"n/a")</f>
        <v>0.0614681446101538</v>
      </c>
      <c r="J220" s="46" t="str">
        <f aca="false">IF(H220="","guard",IF(ABS(H220-I220)&lt;0.000001,"OK","DIFF"))</f>
        <v>OK</v>
      </c>
    </row>
    <row r="221" customFormat="false" ht="15" hidden="false" customHeight="false" outlineLevel="0" collapsed="false">
      <c r="A221" s="23" t="s">
        <v>216</v>
      </c>
      <c r="B221" s="23" t="s">
        <v>226</v>
      </c>
      <c r="C221" s="36" t="n">
        <v>45689</v>
      </c>
      <c r="D221" s="37" t="n">
        <v>193</v>
      </c>
      <c r="E221" s="37" t="n">
        <v>936199.4919</v>
      </c>
      <c r="F221" s="37" t="n">
        <v>876180.9737</v>
      </c>
      <c r="G221" s="38" t="n">
        <f aca="false">E221-F221</f>
        <v>60018.5182000003</v>
      </c>
      <c r="H221" s="45" t="n">
        <v>0.0685001386717512</v>
      </c>
      <c r="I221" s="39" t="n">
        <f aca="false">IF(F221&lt;&gt;0,G221/ABS(F221),"n/a")</f>
        <v>0.0685001386717515</v>
      </c>
      <c r="J221" s="46" t="str">
        <f aca="false">IF(H221="","guard",IF(ABS(H221-I221)&lt;0.000001,"OK","DIFF"))</f>
        <v>OK</v>
      </c>
    </row>
    <row r="222" customFormat="false" ht="15" hidden="false" customHeight="false" outlineLevel="0" collapsed="false">
      <c r="A222" s="23" t="s">
        <v>216</v>
      </c>
      <c r="B222" s="23" t="s">
        <v>226</v>
      </c>
      <c r="C222" s="36" t="n">
        <v>45717</v>
      </c>
      <c r="D222" s="37" t="n">
        <v>195</v>
      </c>
      <c r="E222" s="37" t="n">
        <v>1289352.913</v>
      </c>
      <c r="F222" s="37" t="n">
        <v>1213235.6837</v>
      </c>
      <c r="G222" s="38" t="n">
        <f aca="false">E222-F222</f>
        <v>76117.2292999998</v>
      </c>
      <c r="H222" s="45" t="n">
        <v>0.0627390294586997</v>
      </c>
      <c r="I222" s="39" t="n">
        <f aca="false">IF(F222&lt;&gt;0,G222/ABS(F222),"n/a")</f>
        <v>0.0627390294586995</v>
      </c>
      <c r="J222" s="46" t="str">
        <f aca="false">IF(H222="","guard",IF(ABS(H222-I222)&lt;0.000001,"OK","DIFF"))</f>
        <v>OK</v>
      </c>
    </row>
    <row r="223" customFormat="false" ht="15" hidden="false" customHeight="false" outlineLevel="0" collapsed="false">
      <c r="A223" s="23" t="s">
        <v>216</v>
      </c>
      <c r="B223" s="23" t="s">
        <v>226</v>
      </c>
      <c r="C223" s="36" t="n">
        <v>45748</v>
      </c>
      <c r="D223" s="37" t="n">
        <v>200</v>
      </c>
      <c r="E223" s="37" t="n">
        <v>1233744.9279</v>
      </c>
      <c r="F223" s="37" t="n">
        <v>1162004.004</v>
      </c>
      <c r="G223" s="38" t="n">
        <f aca="false">E223-F223</f>
        <v>71740.9238999998</v>
      </c>
      <c r="H223" s="45" t="n">
        <v>0.0617389644554099</v>
      </c>
      <c r="I223" s="39" t="n">
        <f aca="false">IF(F223&lt;&gt;0,G223/ABS(F223),"n/a")</f>
        <v>0.0617389644554098</v>
      </c>
      <c r="J223" s="46" t="str">
        <f aca="false">IF(H223="","guard",IF(ABS(H223-I223)&lt;0.000001,"OK","DIFF"))</f>
        <v>OK</v>
      </c>
    </row>
    <row r="224" customFormat="false" ht="15" hidden="false" customHeight="false" outlineLevel="0" collapsed="false">
      <c r="A224" s="23" t="s">
        <v>216</v>
      </c>
      <c r="B224" s="23" t="s">
        <v>226</v>
      </c>
      <c r="C224" s="36" t="n">
        <v>45778</v>
      </c>
      <c r="D224" s="37" t="n">
        <v>196</v>
      </c>
      <c r="E224" s="37" t="n">
        <v>1308152.4608</v>
      </c>
      <c r="F224" s="37" t="n">
        <v>1227145.3684</v>
      </c>
      <c r="G224" s="38" t="n">
        <f aca="false">E224-F224</f>
        <v>81007.0924</v>
      </c>
      <c r="H224" s="45" t="n">
        <v>0.0660126293803482</v>
      </c>
      <c r="I224" s="39" t="n">
        <f aca="false">IF(F224&lt;&gt;0,G224/ABS(F224),"n/a")</f>
        <v>0.0660126293803481</v>
      </c>
      <c r="J224" s="46" t="str">
        <f aca="false">IF(H224="","guard",IF(ABS(H224-I224)&lt;0.000001,"OK","DIFF"))</f>
        <v>OK</v>
      </c>
    </row>
    <row r="225" customFormat="false" ht="15" hidden="false" customHeight="false" outlineLevel="0" collapsed="false">
      <c r="A225" s="23" t="s">
        <v>216</v>
      </c>
      <c r="B225" s="23" t="s">
        <v>226</v>
      </c>
      <c r="C225" s="36" t="n">
        <v>45809</v>
      </c>
      <c r="D225" s="37" t="n">
        <v>182</v>
      </c>
      <c r="E225" s="37" t="n">
        <v>1289569.5172</v>
      </c>
      <c r="F225" s="37" t="n">
        <v>1205278.3213</v>
      </c>
      <c r="G225" s="38" t="n">
        <f aca="false">E225-F225</f>
        <v>84291.1958999995</v>
      </c>
      <c r="H225" s="45" t="n">
        <v>0.0699350468770437</v>
      </c>
      <c r="I225" s="39" t="n">
        <f aca="false">IF(F225&lt;&gt;0,G225/ABS(F225),"n/a")</f>
        <v>0.0699350468770432</v>
      </c>
      <c r="J225" s="46" t="str">
        <f aca="false">IF(H225="","guard",IF(ABS(H225-I225)&lt;0.000001,"OK","DIFF"))</f>
        <v>OK</v>
      </c>
    </row>
    <row r="226" customFormat="false" ht="15" hidden="false" customHeight="false" outlineLevel="0" collapsed="false">
      <c r="A226" s="23" t="s">
        <v>216</v>
      </c>
      <c r="B226" s="23" t="s">
        <v>226</v>
      </c>
      <c r="C226" s="36" t="n">
        <v>45839</v>
      </c>
      <c r="D226" s="37" t="n">
        <v>175</v>
      </c>
      <c r="E226" s="37" t="n">
        <v>1185557.8315</v>
      </c>
      <c r="F226" s="37" t="n">
        <v>1113901.736</v>
      </c>
      <c r="G226" s="38" t="n">
        <f aca="false">E226-F226</f>
        <v>71656.0954999996</v>
      </c>
      <c r="H226" s="45" t="n">
        <v>0.0643289198536629</v>
      </c>
      <c r="I226" s="39" t="n">
        <f aca="false">IF(F226&lt;&gt;0,G226/ABS(F226),"n/a")</f>
        <v>0.0643289198536626</v>
      </c>
      <c r="J226" s="46" t="str">
        <f aca="false">IF(H226="","guard",IF(ABS(H226-I226)&lt;0.000001,"OK","DIFF"))</f>
        <v>OK</v>
      </c>
    </row>
    <row r="227" customFormat="false" ht="15" hidden="false" customHeight="false" outlineLevel="0" collapsed="false">
      <c r="A227" s="23" t="s">
        <v>216</v>
      </c>
      <c r="B227" s="23" t="s">
        <v>226</v>
      </c>
      <c r="C227" s="36" t="n">
        <v>45870</v>
      </c>
      <c r="D227" s="37" t="n">
        <v>223</v>
      </c>
      <c r="E227" s="37" t="n">
        <v>1547704.5046</v>
      </c>
      <c r="F227" s="37" t="n">
        <v>1454177.6426</v>
      </c>
      <c r="G227" s="38" t="n">
        <f aca="false">E227-F227</f>
        <v>93526.8619999993</v>
      </c>
      <c r="H227" s="45" t="n">
        <v>0.0643159812530046</v>
      </c>
      <c r="I227" s="39" t="n">
        <f aca="false">IF(F227&lt;&gt;0,G227/ABS(F227),"n/a")</f>
        <v>0.064315981253004</v>
      </c>
      <c r="J227" s="46" t="str">
        <f aca="false">IF(H227="","guard",IF(ABS(H227-I227)&lt;0.000001,"OK","DIFF"))</f>
        <v>OK</v>
      </c>
    </row>
    <row r="228" customFormat="false" ht="15" hidden="false" customHeight="false" outlineLevel="0" collapsed="false">
      <c r="A228" s="23" t="s">
        <v>216</v>
      </c>
      <c r="B228" s="23" t="s">
        <v>226</v>
      </c>
      <c r="C228" s="36" t="n">
        <v>45901</v>
      </c>
      <c r="D228" s="37" t="n">
        <v>192</v>
      </c>
      <c r="E228" s="37" t="n">
        <v>1190172.1731</v>
      </c>
      <c r="F228" s="37" t="n">
        <v>1118145.3845</v>
      </c>
      <c r="G228" s="38" t="n">
        <f aca="false">E228-F228</f>
        <v>72026.7885999999</v>
      </c>
      <c r="H228" s="45" t="n">
        <v>0.0644163000612019</v>
      </c>
      <c r="I228" s="39" t="n">
        <f aca="false">IF(F228&lt;&gt;0,G228/ABS(F228),"n/a")</f>
        <v>0.0644163000612018</v>
      </c>
      <c r="J228" s="46" t="str">
        <f aca="false">IF(H228="","guard",IF(ABS(H228-I228)&lt;0.000001,"OK","DIFF"))</f>
        <v>OK</v>
      </c>
    </row>
    <row r="229" customFormat="false" ht="15" hidden="false" customHeight="false" outlineLevel="0" collapsed="false">
      <c r="A229" s="23" t="s">
        <v>216</v>
      </c>
      <c r="B229" s="23" t="s">
        <v>226</v>
      </c>
      <c r="C229" s="36" t="n">
        <v>45931</v>
      </c>
      <c r="D229" s="37" t="n">
        <v>209</v>
      </c>
      <c r="E229" s="37" t="n">
        <v>1192998.2381</v>
      </c>
      <c r="F229" s="37" t="n">
        <v>1124694.1934</v>
      </c>
      <c r="G229" s="38" t="n">
        <f aca="false">E229-F229</f>
        <v>68304.0447000002</v>
      </c>
      <c r="H229" s="45" t="n">
        <v>0.0607312148500686</v>
      </c>
      <c r="I229" s="39" t="n">
        <f aca="false">IF(F229&lt;&gt;0,G229/ABS(F229),"n/a")</f>
        <v>0.0607312148500688</v>
      </c>
      <c r="J229" s="46" t="str">
        <f aca="false">IF(H229="","guard",IF(ABS(H229-I229)&lt;0.000001,"OK","DIFF"))</f>
        <v>OK</v>
      </c>
    </row>
    <row r="230" customFormat="false" ht="15" hidden="false" customHeight="false" outlineLevel="0" collapsed="false">
      <c r="A230" s="23" t="s">
        <v>216</v>
      </c>
      <c r="B230" s="23" t="s">
        <v>226</v>
      </c>
      <c r="C230" s="36" t="n">
        <v>45962</v>
      </c>
      <c r="D230" s="37" t="n">
        <v>232</v>
      </c>
      <c r="E230" s="37" t="n">
        <v>1297960.8657</v>
      </c>
      <c r="F230" s="37" t="n">
        <v>1215708.8605</v>
      </c>
      <c r="G230" s="38" t="n">
        <f aca="false">E230-F230</f>
        <v>82252.0052000007</v>
      </c>
      <c r="H230" s="45" t="n">
        <v>0.0676576505053777</v>
      </c>
      <c r="I230" s="39" t="n">
        <f aca="false">IF(F230&lt;&gt;0,G230/ABS(F230),"n/a")</f>
        <v>0.0676576505053783</v>
      </c>
      <c r="J230" s="46" t="str">
        <f aca="false">IF(H230="","guard",IF(ABS(H230-I230)&lt;0.000001,"OK","DIFF"))</f>
        <v>OK</v>
      </c>
    </row>
    <row r="231" customFormat="false" ht="15" hidden="false" customHeight="false" outlineLevel="0" collapsed="false">
      <c r="A231" s="23" t="s">
        <v>216</v>
      </c>
      <c r="B231" s="23" t="s">
        <v>226</v>
      </c>
      <c r="C231" s="36" t="n">
        <v>45992</v>
      </c>
      <c r="D231" s="37" t="n">
        <v>195</v>
      </c>
      <c r="E231" s="37" t="n">
        <v>1097979.819</v>
      </c>
      <c r="F231" s="37" t="n">
        <v>1033836.0566</v>
      </c>
      <c r="G231" s="38" t="n">
        <f aca="false">E231-F231</f>
        <v>64143.7624000002</v>
      </c>
      <c r="H231" s="45" t="n">
        <v>0.0620444237657478</v>
      </c>
      <c r="I231" s="39" t="n">
        <f aca="false">IF(F231&lt;&gt;0,G231/ABS(F231),"n/a")</f>
        <v>0.062044423765748</v>
      </c>
      <c r="J231" s="46" t="str">
        <f aca="false">IF(H231="","guard",IF(ABS(H231-I231)&lt;0.000001,"OK","DIFF"))</f>
        <v>OK</v>
      </c>
    </row>
    <row r="232" customFormat="false" ht="15" hidden="false" customHeight="false" outlineLevel="0" collapsed="false">
      <c r="A232" s="23" t="s">
        <v>216</v>
      </c>
      <c r="B232" s="23" t="s">
        <v>227</v>
      </c>
      <c r="C232" s="36" t="n">
        <v>44927</v>
      </c>
      <c r="D232" s="37" t="n">
        <v>6</v>
      </c>
      <c r="E232" s="37" t="n">
        <v>21971.95</v>
      </c>
      <c r="F232" s="37" t="n">
        <v>20671.7174</v>
      </c>
      <c r="G232" s="38" t="n">
        <f aca="false">E232-F232</f>
        <v>1300.2326</v>
      </c>
      <c r="H232" s="45" t="n">
        <v>0.0628991087116932</v>
      </c>
      <c r="I232" s="39" t="n">
        <f aca="false">IF(F232&lt;&gt;0,G232/ABS(F232),"n/a")</f>
        <v>0.0628991087116932</v>
      </c>
      <c r="J232" s="46" t="str">
        <f aca="false">IF(H232="","guard",IF(ABS(H232-I232)&lt;0.000001,"OK","DIFF"))</f>
        <v>OK</v>
      </c>
    </row>
    <row r="233" customFormat="false" ht="15" hidden="false" customHeight="false" outlineLevel="0" collapsed="false">
      <c r="A233" s="23" t="s">
        <v>216</v>
      </c>
      <c r="B233" s="23" t="s">
        <v>227</v>
      </c>
      <c r="C233" s="36" t="n">
        <v>44958</v>
      </c>
      <c r="D233" s="37" t="n">
        <v>10</v>
      </c>
      <c r="E233" s="37" t="n">
        <v>68534.4</v>
      </c>
      <c r="F233" s="37" t="n">
        <v>64275.64</v>
      </c>
      <c r="G233" s="38" t="n">
        <f aca="false">E233-F233</f>
        <v>4258.76000000001</v>
      </c>
      <c r="H233" s="45" t="n">
        <v>0.0662577611051403</v>
      </c>
      <c r="I233" s="39" t="n">
        <f aca="false">IF(F233&lt;&gt;0,G233/ABS(F233),"n/a")</f>
        <v>0.0662577611051405</v>
      </c>
      <c r="J233" s="46" t="str">
        <f aca="false">IF(H233="","guard",IF(ABS(H233-I233)&lt;0.000001,"OK","DIFF"))</f>
        <v>OK</v>
      </c>
    </row>
    <row r="234" customFormat="false" ht="15" hidden="false" customHeight="false" outlineLevel="0" collapsed="false">
      <c r="A234" s="23" t="s">
        <v>216</v>
      </c>
      <c r="B234" s="23" t="s">
        <v>227</v>
      </c>
      <c r="C234" s="36" t="n">
        <v>44986</v>
      </c>
      <c r="D234" s="37" t="n">
        <v>5</v>
      </c>
      <c r="E234" s="37" t="n">
        <v>17430.2316</v>
      </c>
      <c r="F234" s="37" t="n">
        <v>16412.03</v>
      </c>
      <c r="G234" s="38" t="n">
        <f aca="false">E234-F234</f>
        <v>1018.2016</v>
      </c>
      <c r="H234" s="45" t="n">
        <v>0.062039954838006</v>
      </c>
      <c r="I234" s="39" t="n">
        <f aca="false">IF(F234&lt;&gt;0,G234/ABS(F234),"n/a")</f>
        <v>0.0620399548380061</v>
      </c>
      <c r="J234" s="46" t="str">
        <f aca="false">IF(H234="","guard",IF(ABS(H234-I234)&lt;0.000001,"OK","DIFF"))</f>
        <v>OK</v>
      </c>
    </row>
    <row r="235" customFormat="false" ht="15" hidden="false" customHeight="false" outlineLevel="0" collapsed="false">
      <c r="A235" s="23" t="s">
        <v>216</v>
      </c>
      <c r="B235" s="23" t="s">
        <v>227</v>
      </c>
      <c r="C235" s="36" t="n">
        <v>45017</v>
      </c>
      <c r="D235" s="37" t="n">
        <v>10</v>
      </c>
      <c r="E235" s="37" t="n">
        <v>45298.7802</v>
      </c>
      <c r="F235" s="37" t="n">
        <v>42536.7735</v>
      </c>
      <c r="G235" s="38" t="n">
        <f aca="false">E235-F235</f>
        <v>2762.0067</v>
      </c>
      <c r="H235" s="45" t="n">
        <v>0.0649322097737385</v>
      </c>
      <c r="I235" s="39" t="n">
        <f aca="false">IF(F235&lt;&gt;0,G235/ABS(F235),"n/a")</f>
        <v>0.0649322097737384</v>
      </c>
      <c r="J235" s="46" t="str">
        <f aca="false">IF(H235="","guard",IF(ABS(H235-I235)&lt;0.000001,"OK","DIFF"))</f>
        <v>OK</v>
      </c>
    </row>
    <row r="236" customFormat="false" ht="15" hidden="false" customHeight="false" outlineLevel="0" collapsed="false">
      <c r="A236" s="23" t="s">
        <v>216</v>
      </c>
      <c r="B236" s="23" t="s">
        <v>227</v>
      </c>
      <c r="C236" s="36" t="n">
        <v>45047</v>
      </c>
      <c r="D236" s="37" t="n">
        <v>12</v>
      </c>
      <c r="E236" s="37" t="n">
        <v>89978.81</v>
      </c>
      <c r="F236" s="37" t="n">
        <v>83879.3375</v>
      </c>
      <c r="G236" s="38" t="n">
        <f aca="false">E236-F236</f>
        <v>6099.4725</v>
      </c>
      <c r="H236" s="45" t="n">
        <v>0.072717223118268</v>
      </c>
      <c r="I236" s="39" t="n">
        <f aca="false">IF(F236&lt;&gt;0,G236/ABS(F236),"n/a")</f>
        <v>0.072717223118268</v>
      </c>
      <c r="J236" s="46" t="str">
        <f aca="false">IF(H236="","guard",IF(ABS(H236-I236)&lt;0.000001,"OK","DIFF"))</f>
        <v>OK</v>
      </c>
    </row>
    <row r="237" customFormat="false" ht="15" hidden="false" customHeight="false" outlineLevel="0" collapsed="false">
      <c r="A237" s="23" t="s">
        <v>216</v>
      </c>
      <c r="B237" s="23" t="s">
        <v>227</v>
      </c>
      <c r="C237" s="36" t="n">
        <v>45078</v>
      </c>
      <c r="D237" s="37" t="n">
        <v>9</v>
      </c>
      <c r="E237" s="37" t="n">
        <v>45497.7</v>
      </c>
      <c r="F237" s="37" t="n">
        <v>41946.54</v>
      </c>
      <c r="G237" s="38" t="n">
        <f aca="false">E237-F237</f>
        <v>3551.16</v>
      </c>
      <c r="H237" s="45" t="n">
        <v>0.0846591876231031</v>
      </c>
      <c r="I237" s="39" t="n">
        <f aca="false">IF(F237&lt;&gt;0,G237/ABS(F237),"n/a")</f>
        <v>0.084659187623103</v>
      </c>
      <c r="J237" s="46" t="str">
        <f aca="false">IF(H237="","guard",IF(ABS(H237-I237)&lt;0.000001,"OK","DIFF"))</f>
        <v>OK</v>
      </c>
    </row>
    <row r="238" customFormat="false" ht="15" hidden="false" customHeight="false" outlineLevel="0" collapsed="false">
      <c r="A238" s="23" t="s">
        <v>216</v>
      </c>
      <c r="B238" s="23" t="s">
        <v>227</v>
      </c>
      <c r="C238" s="36" t="n">
        <v>45108</v>
      </c>
      <c r="D238" s="37" t="n">
        <v>5</v>
      </c>
      <c r="E238" s="37" t="n">
        <v>47459.4956</v>
      </c>
      <c r="F238" s="37" t="n">
        <v>45010.61</v>
      </c>
      <c r="G238" s="38" t="n">
        <f aca="false">E238-F238</f>
        <v>2448.8856</v>
      </c>
      <c r="H238" s="45" t="n">
        <v>0.0544068520733222</v>
      </c>
      <c r="I238" s="39" t="n">
        <f aca="false">IF(F238&lt;&gt;0,G238/ABS(F238),"n/a")</f>
        <v>0.0544068520733223</v>
      </c>
      <c r="J238" s="46" t="str">
        <f aca="false">IF(H238="","guard",IF(ABS(H238-I238)&lt;0.000001,"OK","DIFF"))</f>
        <v>OK</v>
      </c>
    </row>
    <row r="239" customFormat="false" ht="15" hidden="false" customHeight="false" outlineLevel="0" collapsed="false">
      <c r="A239" s="23" t="s">
        <v>216</v>
      </c>
      <c r="B239" s="23" t="s">
        <v>227</v>
      </c>
      <c r="C239" s="36" t="n">
        <v>45139</v>
      </c>
      <c r="D239" s="37" t="n">
        <v>10</v>
      </c>
      <c r="E239" s="37" t="n">
        <v>34497.79</v>
      </c>
      <c r="F239" s="37" t="n">
        <v>32966.9661</v>
      </c>
      <c r="G239" s="38" t="n">
        <f aca="false">E239-F239</f>
        <v>1530.8239</v>
      </c>
      <c r="H239" s="45" t="n">
        <v>0.0464350858176179</v>
      </c>
      <c r="I239" s="39" t="n">
        <f aca="false">IF(F239&lt;&gt;0,G239/ABS(F239),"n/a")</f>
        <v>0.0464350858176178</v>
      </c>
      <c r="J239" s="46" t="str">
        <f aca="false">IF(H239="","guard",IF(ABS(H239-I239)&lt;0.000001,"OK","DIFF"))</f>
        <v>OK</v>
      </c>
    </row>
    <row r="240" customFormat="false" ht="15" hidden="false" customHeight="false" outlineLevel="0" collapsed="false">
      <c r="A240" s="23" t="s">
        <v>216</v>
      </c>
      <c r="B240" s="23" t="s">
        <v>227</v>
      </c>
      <c r="C240" s="36" t="n">
        <v>45170</v>
      </c>
      <c r="D240" s="37" t="n">
        <v>14</v>
      </c>
      <c r="E240" s="37" t="n">
        <v>79649.2933</v>
      </c>
      <c r="F240" s="37" t="n">
        <v>74298.36</v>
      </c>
      <c r="G240" s="38" t="n">
        <f aca="false">E240-F240</f>
        <v>5350.93330000002</v>
      </c>
      <c r="H240" s="45" t="n">
        <v>0.0720195344823224</v>
      </c>
      <c r="I240" s="39" t="n">
        <f aca="false">IF(F240&lt;&gt;0,G240/ABS(F240),"n/a")</f>
        <v>0.0720195344823226</v>
      </c>
      <c r="J240" s="46" t="str">
        <f aca="false">IF(H240="","guard",IF(ABS(H240-I240)&lt;0.000001,"OK","DIFF"))</f>
        <v>OK</v>
      </c>
    </row>
    <row r="241" customFormat="false" ht="15" hidden="false" customHeight="false" outlineLevel="0" collapsed="false">
      <c r="A241" s="23" t="s">
        <v>216</v>
      </c>
      <c r="B241" s="23" t="s">
        <v>227</v>
      </c>
      <c r="C241" s="36" t="n">
        <v>45200</v>
      </c>
      <c r="D241" s="37" t="n">
        <v>8</v>
      </c>
      <c r="E241" s="37" t="n">
        <v>26361.4554</v>
      </c>
      <c r="F241" s="37" t="n">
        <v>24043.6</v>
      </c>
      <c r="G241" s="38" t="n">
        <f aca="false">E241-F241</f>
        <v>2317.8554</v>
      </c>
      <c r="H241" s="45" t="n">
        <v>0.0964021777104926</v>
      </c>
      <c r="I241" s="39" t="n">
        <f aca="false">IF(F241&lt;&gt;0,G241/ABS(F241),"n/a")</f>
        <v>0.0964021777104926</v>
      </c>
      <c r="J241" s="46" t="str">
        <f aca="false">IF(H241="","guard",IF(ABS(H241-I241)&lt;0.000001,"OK","DIFF"))</f>
        <v>OK</v>
      </c>
    </row>
    <row r="242" customFormat="false" ht="15" hidden="false" customHeight="false" outlineLevel="0" collapsed="false">
      <c r="A242" s="23" t="s">
        <v>216</v>
      </c>
      <c r="B242" s="23" t="s">
        <v>227</v>
      </c>
      <c r="C242" s="36" t="n">
        <v>45231</v>
      </c>
      <c r="D242" s="37" t="n">
        <v>7</v>
      </c>
      <c r="E242" s="37" t="n">
        <v>41618.47</v>
      </c>
      <c r="F242" s="37" t="n">
        <v>38664.28</v>
      </c>
      <c r="G242" s="38" t="n">
        <f aca="false">E242-F242</f>
        <v>2954.19</v>
      </c>
      <c r="H242" s="45" t="n">
        <v>0.0764061816229347</v>
      </c>
      <c r="I242" s="39" t="n">
        <f aca="false">IF(F242&lt;&gt;0,G242/ABS(F242),"n/a")</f>
        <v>0.0764061816229347</v>
      </c>
      <c r="J242" s="46" t="str">
        <f aca="false">IF(H242="","guard",IF(ABS(H242-I242)&lt;0.000001,"OK","DIFF"))</f>
        <v>OK</v>
      </c>
    </row>
    <row r="243" customFormat="false" ht="15" hidden="false" customHeight="false" outlineLevel="0" collapsed="false">
      <c r="A243" s="23" t="s">
        <v>216</v>
      </c>
      <c r="B243" s="23" t="s">
        <v>227</v>
      </c>
      <c r="C243" s="36" t="n">
        <v>45261</v>
      </c>
      <c r="D243" s="37" t="n">
        <v>7</v>
      </c>
      <c r="E243" s="37" t="n">
        <v>30772.2</v>
      </c>
      <c r="F243" s="37" t="n">
        <v>29157.7</v>
      </c>
      <c r="G243" s="38" t="n">
        <f aca="false">E243-F243</f>
        <v>1614.5</v>
      </c>
      <c r="H243" s="45" t="n">
        <v>0.0553713084365365</v>
      </c>
      <c r="I243" s="39" t="n">
        <f aca="false">IF(F243&lt;&gt;0,G243/ABS(F243),"n/a")</f>
        <v>0.0553713084365365</v>
      </c>
      <c r="J243" s="46" t="str">
        <f aca="false">IF(H243="","guard",IF(ABS(H243-I243)&lt;0.000001,"OK","DIFF"))</f>
        <v>OK</v>
      </c>
    </row>
    <row r="244" customFormat="false" ht="15" hidden="false" customHeight="false" outlineLevel="0" collapsed="false">
      <c r="A244" s="23" t="s">
        <v>216</v>
      </c>
      <c r="B244" s="23" t="s">
        <v>227</v>
      </c>
      <c r="C244" s="36" t="n">
        <v>45292</v>
      </c>
      <c r="D244" s="37" t="n">
        <v>10</v>
      </c>
      <c r="E244" s="37" t="n">
        <v>43659.65</v>
      </c>
      <c r="F244" s="37" t="n">
        <v>41686.34</v>
      </c>
      <c r="G244" s="38" t="n">
        <f aca="false">E244-F244</f>
        <v>1973.31000000001</v>
      </c>
      <c r="H244" s="45" t="n">
        <v>0.0473370893199067</v>
      </c>
      <c r="I244" s="39" t="n">
        <f aca="false">IF(F244&lt;&gt;0,G244/ABS(F244),"n/a")</f>
        <v>0.0473370893199068</v>
      </c>
      <c r="J244" s="46" t="str">
        <f aca="false">IF(H244="","guard",IF(ABS(H244-I244)&lt;0.000001,"OK","DIFF"))</f>
        <v>OK</v>
      </c>
    </row>
    <row r="245" customFormat="false" ht="15" hidden="false" customHeight="false" outlineLevel="0" collapsed="false">
      <c r="A245" s="23" t="s">
        <v>216</v>
      </c>
      <c r="B245" s="23" t="s">
        <v>227</v>
      </c>
      <c r="C245" s="36" t="n">
        <v>45323</v>
      </c>
      <c r="D245" s="37" t="n">
        <v>6</v>
      </c>
      <c r="E245" s="37" t="n">
        <v>54677.2</v>
      </c>
      <c r="F245" s="37" t="n">
        <v>51898.12</v>
      </c>
      <c r="G245" s="38" t="n">
        <f aca="false">E245-F245</f>
        <v>2779.07999999999</v>
      </c>
      <c r="H245" s="45" t="n">
        <v>0.0535487605331368</v>
      </c>
      <c r="I245" s="39" t="n">
        <f aca="false">IF(F245&lt;&gt;0,G245/ABS(F245),"n/a")</f>
        <v>0.0535487605331367</v>
      </c>
      <c r="J245" s="46" t="str">
        <f aca="false">IF(H245="","guard",IF(ABS(H245-I245)&lt;0.000001,"OK","DIFF"))</f>
        <v>OK</v>
      </c>
    </row>
    <row r="246" customFormat="false" ht="15" hidden="false" customHeight="false" outlineLevel="0" collapsed="false">
      <c r="A246" s="23" t="s">
        <v>216</v>
      </c>
      <c r="B246" s="23" t="s">
        <v>227</v>
      </c>
      <c r="C246" s="36" t="n">
        <v>45352</v>
      </c>
      <c r="D246" s="37" t="n">
        <v>7</v>
      </c>
      <c r="E246" s="37" t="n">
        <v>40640.2399</v>
      </c>
      <c r="F246" s="37" t="n">
        <v>37378.2794</v>
      </c>
      <c r="G246" s="38" t="n">
        <f aca="false">E246-F246</f>
        <v>3261.9605</v>
      </c>
      <c r="H246" s="45" t="n">
        <v>0.0872688778713555</v>
      </c>
      <c r="I246" s="39" t="n">
        <f aca="false">IF(F246&lt;&gt;0,G246/ABS(F246),"n/a")</f>
        <v>0.0872688778713554</v>
      </c>
      <c r="J246" s="46" t="str">
        <f aca="false">IF(H246="","guard",IF(ABS(H246-I246)&lt;0.000001,"OK","DIFF"))</f>
        <v>OK</v>
      </c>
    </row>
    <row r="247" customFormat="false" ht="15" hidden="false" customHeight="false" outlineLevel="0" collapsed="false">
      <c r="A247" s="23" t="s">
        <v>216</v>
      </c>
      <c r="B247" s="23" t="s">
        <v>227</v>
      </c>
      <c r="C247" s="36" t="n">
        <v>45383</v>
      </c>
      <c r="D247" s="37" t="n">
        <v>6</v>
      </c>
      <c r="E247" s="37" t="n">
        <v>9432.5</v>
      </c>
      <c r="F247" s="37" t="n">
        <v>8838.8</v>
      </c>
      <c r="G247" s="38" t="n">
        <f aca="false">E247-F247</f>
        <v>593.700000000001</v>
      </c>
      <c r="H247" s="45"/>
      <c r="I247" s="39" t="n">
        <f aca="false">IF(F247&lt;&gt;0,G247/ABS(F247),"n/a")</f>
        <v>0.0671697515499843</v>
      </c>
      <c r="J247" s="46" t="str">
        <f aca="false">IF(H247="","guard",IF(ABS(H247-I247)&lt;0.000001,"OK","DIFF"))</f>
        <v>guard</v>
      </c>
    </row>
    <row r="248" customFormat="false" ht="15" hidden="false" customHeight="false" outlineLevel="0" collapsed="false">
      <c r="A248" s="23" t="s">
        <v>216</v>
      </c>
      <c r="B248" s="23" t="s">
        <v>227</v>
      </c>
      <c r="C248" s="36" t="n">
        <v>45413</v>
      </c>
      <c r="D248" s="37" t="n">
        <v>7</v>
      </c>
      <c r="E248" s="37" t="n">
        <v>23890.47</v>
      </c>
      <c r="F248" s="37" t="n">
        <v>22379.19</v>
      </c>
      <c r="G248" s="38" t="n">
        <f aca="false">E248-F248</f>
        <v>1511.28</v>
      </c>
      <c r="H248" s="45"/>
      <c r="I248" s="39" t="n">
        <f aca="false">IF(F248&lt;&gt;0,G248/ABS(F248),"n/a")</f>
        <v>0.0675305942708382</v>
      </c>
      <c r="J248" s="46" t="str">
        <f aca="false">IF(H248="","guard",IF(ABS(H248-I248)&lt;0.000001,"OK","DIFF"))</f>
        <v>guard</v>
      </c>
    </row>
    <row r="249" customFormat="false" ht="15" hidden="false" customHeight="false" outlineLevel="0" collapsed="false">
      <c r="A249" s="23" t="s">
        <v>216</v>
      </c>
      <c r="B249" s="23" t="s">
        <v>227</v>
      </c>
      <c r="C249" s="36" t="n">
        <v>45444</v>
      </c>
      <c r="D249" s="37" t="n">
        <v>9</v>
      </c>
      <c r="E249" s="37" t="n">
        <v>66853.4112</v>
      </c>
      <c r="F249" s="37" t="n">
        <v>61666.85</v>
      </c>
      <c r="G249" s="38" t="n">
        <f aca="false">E249-F249</f>
        <v>5186.56120000001</v>
      </c>
      <c r="H249" s="45" t="n">
        <v>0.0841061477925337</v>
      </c>
      <c r="I249" s="39" t="n">
        <f aca="false">IF(F249&lt;&gt;0,G249/ABS(F249),"n/a")</f>
        <v>0.0841061477925338</v>
      </c>
      <c r="J249" s="46" t="str">
        <f aca="false">IF(H249="","guard",IF(ABS(H249-I249)&lt;0.000001,"OK","DIFF"))</f>
        <v>OK</v>
      </c>
    </row>
    <row r="250" customFormat="false" ht="15" hidden="false" customHeight="false" outlineLevel="0" collapsed="false">
      <c r="A250" s="23" t="s">
        <v>216</v>
      </c>
      <c r="B250" s="23" t="s">
        <v>227</v>
      </c>
      <c r="C250" s="36" t="n">
        <v>45474</v>
      </c>
      <c r="D250" s="37" t="n">
        <v>8</v>
      </c>
      <c r="E250" s="37" t="n">
        <v>51567.6843</v>
      </c>
      <c r="F250" s="37" t="n">
        <v>49223.65</v>
      </c>
      <c r="G250" s="38" t="n">
        <f aca="false">E250-F250</f>
        <v>2344.0343</v>
      </c>
      <c r="H250" s="45" t="n">
        <v>0.0476200830291943</v>
      </c>
      <c r="I250" s="39" t="n">
        <f aca="false">IF(F250&lt;&gt;0,G250/ABS(F250),"n/a")</f>
        <v>0.0476200830291943</v>
      </c>
      <c r="J250" s="46" t="str">
        <f aca="false">IF(H250="","guard",IF(ABS(H250-I250)&lt;0.000001,"OK","DIFF"))</f>
        <v>OK</v>
      </c>
    </row>
    <row r="251" customFormat="false" ht="15" hidden="false" customHeight="false" outlineLevel="0" collapsed="false">
      <c r="A251" s="23" t="s">
        <v>216</v>
      </c>
      <c r="B251" s="23" t="s">
        <v>227</v>
      </c>
      <c r="C251" s="36" t="n">
        <v>45505</v>
      </c>
      <c r="D251" s="37" t="n">
        <v>7</v>
      </c>
      <c r="E251" s="37" t="n">
        <v>50942.81</v>
      </c>
      <c r="F251" s="37" t="n">
        <v>47425.2</v>
      </c>
      <c r="G251" s="38" t="n">
        <f aca="false">E251-F251</f>
        <v>3517.61</v>
      </c>
      <c r="H251" s="45" t="n">
        <v>0.0741717483531962</v>
      </c>
      <c r="I251" s="39" t="n">
        <f aca="false">IF(F251&lt;&gt;0,G251/ABS(F251),"n/a")</f>
        <v>0.0741717483531962</v>
      </c>
      <c r="J251" s="46" t="str">
        <f aca="false">IF(H251="","guard",IF(ABS(H251-I251)&lt;0.000001,"OK","DIFF"))</f>
        <v>OK</v>
      </c>
    </row>
    <row r="252" customFormat="false" ht="15" hidden="false" customHeight="false" outlineLevel="0" collapsed="false">
      <c r="A252" s="23" t="s">
        <v>216</v>
      </c>
      <c r="B252" s="23" t="s">
        <v>227</v>
      </c>
      <c r="C252" s="36" t="n">
        <v>45536</v>
      </c>
      <c r="D252" s="37" t="n">
        <v>11</v>
      </c>
      <c r="E252" s="37" t="n">
        <v>89536.9372</v>
      </c>
      <c r="F252" s="37" t="n">
        <v>85413.82</v>
      </c>
      <c r="G252" s="38" t="n">
        <f aca="false">E252-F252</f>
        <v>4123.11719999999</v>
      </c>
      <c r="H252" s="45" t="n">
        <v>0.0482722491512498</v>
      </c>
      <c r="I252" s="39" t="n">
        <f aca="false">IF(F252&lt;&gt;0,G252/ABS(F252),"n/a")</f>
        <v>0.0482722491512497</v>
      </c>
      <c r="J252" s="46" t="str">
        <f aca="false">IF(H252="","guard",IF(ABS(H252-I252)&lt;0.000001,"OK","DIFF"))</f>
        <v>OK</v>
      </c>
    </row>
    <row r="253" customFormat="false" ht="15" hidden="false" customHeight="false" outlineLevel="0" collapsed="false">
      <c r="A253" s="23" t="s">
        <v>216</v>
      </c>
      <c r="B253" s="23" t="s">
        <v>227</v>
      </c>
      <c r="C253" s="36" t="n">
        <v>45566</v>
      </c>
      <c r="D253" s="37" t="n">
        <v>8</v>
      </c>
      <c r="E253" s="37" t="n">
        <v>8438.17</v>
      </c>
      <c r="F253" s="37" t="n">
        <v>7880.75</v>
      </c>
      <c r="G253" s="38" t="n">
        <f aca="false">E253-F253</f>
        <v>557.419999999996</v>
      </c>
      <c r="H253" s="45"/>
      <c r="I253" s="39" t="n">
        <f aca="false">IF(F253&lt;&gt;0,G253/ABS(F253),"n/a")</f>
        <v>0.070731846588205</v>
      </c>
      <c r="J253" s="46" t="str">
        <f aca="false">IF(H253="","guard",IF(ABS(H253-I253)&lt;0.000001,"OK","DIFF"))</f>
        <v>guard</v>
      </c>
    </row>
    <row r="254" customFormat="false" ht="15" hidden="false" customHeight="false" outlineLevel="0" collapsed="false">
      <c r="A254" s="23" t="s">
        <v>216</v>
      </c>
      <c r="B254" s="23" t="s">
        <v>227</v>
      </c>
      <c r="C254" s="36" t="n">
        <v>45597</v>
      </c>
      <c r="D254" s="37" t="n">
        <v>6</v>
      </c>
      <c r="E254" s="37" t="n">
        <v>50088.1145</v>
      </c>
      <c r="F254" s="37" t="n">
        <v>46551.04</v>
      </c>
      <c r="G254" s="38" t="n">
        <f aca="false">E254-F254</f>
        <v>3537.07450000001</v>
      </c>
      <c r="H254" s="45" t="n">
        <v>0.0759827170348933</v>
      </c>
      <c r="I254" s="39" t="n">
        <f aca="false">IF(F254&lt;&gt;0,G254/ABS(F254),"n/a")</f>
        <v>0.0759827170348935</v>
      </c>
      <c r="J254" s="46" t="str">
        <f aca="false">IF(H254="","guard",IF(ABS(H254-I254)&lt;0.000001,"OK","DIFF"))</f>
        <v>OK</v>
      </c>
    </row>
    <row r="255" customFormat="false" ht="15" hidden="false" customHeight="false" outlineLevel="0" collapsed="false">
      <c r="A255" s="23" t="s">
        <v>216</v>
      </c>
      <c r="B255" s="23" t="s">
        <v>227</v>
      </c>
      <c r="C255" s="36" t="n">
        <v>45627</v>
      </c>
      <c r="D255" s="37" t="n">
        <v>7</v>
      </c>
      <c r="E255" s="37" t="n">
        <v>38973.4613</v>
      </c>
      <c r="F255" s="37" t="n">
        <v>37166.79</v>
      </c>
      <c r="G255" s="38" t="n">
        <f aca="false">E255-F255</f>
        <v>1806.6713</v>
      </c>
      <c r="H255" s="45" t="n">
        <v>0.0486098288283707</v>
      </c>
      <c r="I255" s="39" t="n">
        <f aca="false">IF(F255&lt;&gt;0,G255/ABS(F255),"n/a")</f>
        <v>0.0486098288283708</v>
      </c>
      <c r="J255" s="46" t="str">
        <f aca="false">IF(H255="","guard",IF(ABS(H255-I255)&lt;0.000001,"OK","DIFF"))</f>
        <v>OK</v>
      </c>
    </row>
    <row r="256" customFormat="false" ht="15" hidden="false" customHeight="false" outlineLevel="0" collapsed="false">
      <c r="A256" s="23" t="s">
        <v>216</v>
      </c>
      <c r="B256" s="23" t="s">
        <v>227</v>
      </c>
      <c r="C256" s="36" t="n">
        <v>45658</v>
      </c>
      <c r="D256" s="37" t="n">
        <v>4</v>
      </c>
      <c r="E256" s="37" t="n">
        <v>20080.55</v>
      </c>
      <c r="F256" s="37" t="n">
        <v>18829.73</v>
      </c>
      <c r="G256" s="38" t="n">
        <f aca="false">E256-F256</f>
        <v>1250.82</v>
      </c>
      <c r="H256" s="45" t="n">
        <v>0.0664279307244448</v>
      </c>
      <c r="I256" s="39" t="n">
        <f aca="false">IF(F256&lt;&gt;0,G256/ABS(F256),"n/a")</f>
        <v>0.0664279307244448</v>
      </c>
      <c r="J256" s="46" t="str">
        <f aca="false">IF(H256="","guard",IF(ABS(H256-I256)&lt;0.000001,"OK","DIFF"))</f>
        <v>OK</v>
      </c>
    </row>
    <row r="257" customFormat="false" ht="15" hidden="false" customHeight="false" outlineLevel="0" collapsed="false">
      <c r="A257" s="23" t="s">
        <v>216</v>
      </c>
      <c r="B257" s="23" t="s">
        <v>227</v>
      </c>
      <c r="C257" s="36" t="n">
        <v>45689</v>
      </c>
      <c r="D257" s="37" t="n">
        <v>12</v>
      </c>
      <c r="E257" s="37" t="n">
        <v>71541.23</v>
      </c>
      <c r="F257" s="37" t="n">
        <v>67437.63</v>
      </c>
      <c r="G257" s="38" t="n">
        <f aca="false">E257-F257</f>
        <v>4103.59999999998</v>
      </c>
      <c r="H257" s="45" t="n">
        <v>0.0608502997510441</v>
      </c>
      <c r="I257" s="39" t="n">
        <f aca="false">IF(F257&lt;&gt;0,G257/ABS(F257),"n/a")</f>
        <v>0.0608502997510437</v>
      </c>
      <c r="J257" s="46" t="str">
        <f aca="false">IF(H257="","guard",IF(ABS(H257-I257)&lt;0.000001,"OK","DIFF"))</f>
        <v>OK</v>
      </c>
    </row>
    <row r="258" customFormat="false" ht="15" hidden="false" customHeight="false" outlineLevel="0" collapsed="false">
      <c r="A258" s="23" t="s">
        <v>216</v>
      </c>
      <c r="B258" s="23" t="s">
        <v>227</v>
      </c>
      <c r="C258" s="36" t="n">
        <v>45717</v>
      </c>
      <c r="D258" s="37" t="n">
        <v>10</v>
      </c>
      <c r="E258" s="37" t="n">
        <v>88499.99</v>
      </c>
      <c r="F258" s="37" t="n">
        <v>83286.9165</v>
      </c>
      <c r="G258" s="38" t="n">
        <f aca="false">E258-F258</f>
        <v>5213.0735</v>
      </c>
      <c r="H258" s="45" t="n">
        <v>0.0625917457275538</v>
      </c>
      <c r="I258" s="39" t="n">
        <f aca="false">IF(F258&lt;&gt;0,G258/ABS(F258),"n/a")</f>
        <v>0.0625917457275537</v>
      </c>
      <c r="J258" s="46" t="str">
        <f aca="false">IF(H258="","guard",IF(ABS(H258-I258)&lt;0.000001,"OK","DIFF"))</f>
        <v>OK</v>
      </c>
    </row>
    <row r="259" customFormat="false" ht="15" hidden="false" customHeight="false" outlineLevel="0" collapsed="false">
      <c r="A259" s="23" t="s">
        <v>216</v>
      </c>
      <c r="B259" s="23" t="s">
        <v>227</v>
      </c>
      <c r="C259" s="36" t="n">
        <v>45748</v>
      </c>
      <c r="D259" s="37" t="n">
        <v>6</v>
      </c>
      <c r="E259" s="37" t="n">
        <v>69630.1</v>
      </c>
      <c r="F259" s="37" t="n">
        <v>65483.3255</v>
      </c>
      <c r="G259" s="38" t="n">
        <f aca="false">E259-F259</f>
        <v>4146.77450000001</v>
      </c>
      <c r="H259" s="45" t="n">
        <v>0.0633256553227432</v>
      </c>
      <c r="I259" s="39" t="n">
        <f aca="false">IF(F259&lt;&gt;0,G259/ABS(F259),"n/a")</f>
        <v>0.0633256553227434</v>
      </c>
      <c r="J259" s="46" t="str">
        <f aca="false">IF(H259="","guard",IF(ABS(H259-I259)&lt;0.000001,"OK","DIFF"))</f>
        <v>OK</v>
      </c>
    </row>
    <row r="260" customFormat="false" ht="15" hidden="false" customHeight="false" outlineLevel="0" collapsed="false">
      <c r="A260" s="23" t="s">
        <v>216</v>
      </c>
      <c r="B260" s="23" t="s">
        <v>227</v>
      </c>
      <c r="C260" s="36" t="n">
        <v>45778</v>
      </c>
      <c r="D260" s="37" t="n">
        <v>7</v>
      </c>
      <c r="E260" s="37" t="n">
        <v>49919.97</v>
      </c>
      <c r="F260" s="37" t="n">
        <v>46503.21</v>
      </c>
      <c r="G260" s="38" t="n">
        <f aca="false">E260-F260</f>
        <v>3416.76</v>
      </c>
      <c r="H260" s="45" t="n">
        <v>0.0734736376263058</v>
      </c>
      <c r="I260" s="39" t="n">
        <f aca="false">IF(F260&lt;&gt;0,G260/ABS(F260),"n/a")</f>
        <v>0.0734736376263059</v>
      </c>
      <c r="J260" s="46" t="str">
        <f aca="false">IF(H260="","guard",IF(ABS(H260-I260)&lt;0.000001,"OK","DIFF"))</f>
        <v>OK</v>
      </c>
    </row>
    <row r="261" customFormat="false" ht="15" hidden="false" customHeight="false" outlineLevel="0" collapsed="false">
      <c r="A261" s="23" t="s">
        <v>216</v>
      </c>
      <c r="B261" s="23" t="s">
        <v>227</v>
      </c>
      <c r="C261" s="36" t="n">
        <v>45809</v>
      </c>
      <c r="D261" s="37" t="n">
        <v>9</v>
      </c>
      <c r="E261" s="37" t="n">
        <v>85958.049</v>
      </c>
      <c r="F261" s="37" t="n">
        <v>81575.1095</v>
      </c>
      <c r="G261" s="38" t="n">
        <f aca="false">E261-F261</f>
        <v>4382.93949999999</v>
      </c>
      <c r="H261" s="45" t="n">
        <v>0.053728882827917</v>
      </c>
      <c r="I261" s="39" t="n">
        <f aca="false">IF(F261&lt;&gt;0,G261/ABS(F261),"n/a")</f>
        <v>0.0537288828279169</v>
      </c>
      <c r="J261" s="46" t="str">
        <f aca="false">IF(H261="","guard",IF(ABS(H261-I261)&lt;0.000001,"OK","DIFF"))</f>
        <v>OK</v>
      </c>
    </row>
    <row r="262" customFormat="false" ht="15" hidden="false" customHeight="false" outlineLevel="0" collapsed="false">
      <c r="A262" s="23" t="s">
        <v>216</v>
      </c>
      <c r="B262" s="23" t="s">
        <v>227</v>
      </c>
      <c r="C262" s="36" t="n">
        <v>45839</v>
      </c>
      <c r="D262" s="37" t="n">
        <v>9</v>
      </c>
      <c r="E262" s="37" t="n">
        <v>56797.3323</v>
      </c>
      <c r="F262" s="37" t="n">
        <v>54101.2357</v>
      </c>
      <c r="G262" s="38" t="n">
        <f aca="false">E262-F262</f>
        <v>2696.0966</v>
      </c>
      <c r="H262" s="45" t="n">
        <v>0.0498342887203222</v>
      </c>
      <c r="I262" s="39" t="n">
        <f aca="false">IF(F262&lt;&gt;0,G262/ABS(F262),"n/a")</f>
        <v>0.0498342887203221</v>
      </c>
      <c r="J262" s="46" t="str">
        <f aca="false">IF(H262="","guard",IF(ABS(H262-I262)&lt;0.000001,"OK","DIFF"))</f>
        <v>OK</v>
      </c>
    </row>
    <row r="263" customFormat="false" ht="15" hidden="false" customHeight="false" outlineLevel="0" collapsed="false">
      <c r="A263" s="23" t="s">
        <v>216</v>
      </c>
      <c r="B263" s="23" t="s">
        <v>227</v>
      </c>
      <c r="C263" s="36" t="n">
        <v>45870</v>
      </c>
      <c r="D263" s="37" t="n">
        <v>7</v>
      </c>
      <c r="E263" s="37" t="n">
        <v>40114.3589</v>
      </c>
      <c r="F263" s="37" t="n">
        <v>38468.5527</v>
      </c>
      <c r="G263" s="38" t="n">
        <f aca="false">E263-F263</f>
        <v>1645.80620000001</v>
      </c>
      <c r="H263" s="45" t="n">
        <v>0.0427831588267681</v>
      </c>
      <c r="I263" s="39" t="n">
        <f aca="false">IF(F263&lt;&gt;0,G263/ABS(F263),"n/a")</f>
        <v>0.0427831588267683</v>
      </c>
      <c r="J263" s="46" t="str">
        <f aca="false">IF(H263="","guard",IF(ABS(H263-I263)&lt;0.000001,"OK","DIFF"))</f>
        <v>OK</v>
      </c>
    </row>
    <row r="264" customFormat="false" ht="15" hidden="false" customHeight="false" outlineLevel="0" collapsed="false">
      <c r="A264" s="23" t="s">
        <v>216</v>
      </c>
      <c r="B264" s="23" t="s">
        <v>227</v>
      </c>
      <c r="C264" s="36" t="n">
        <v>45901</v>
      </c>
      <c r="D264" s="37" t="n">
        <v>10</v>
      </c>
      <c r="E264" s="37" t="n">
        <v>69403.94</v>
      </c>
      <c r="F264" s="37" t="n">
        <v>65693.98</v>
      </c>
      <c r="G264" s="38" t="n">
        <f aca="false">E264-F264</f>
        <v>3709.96000000001</v>
      </c>
      <c r="H264" s="45" t="n">
        <v>0.0564733633127419</v>
      </c>
      <c r="I264" s="39" t="n">
        <f aca="false">IF(F264&lt;&gt;0,G264/ABS(F264),"n/a")</f>
        <v>0.056473363312742</v>
      </c>
      <c r="J264" s="46" t="str">
        <f aca="false">IF(H264="","guard",IF(ABS(H264-I264)&lt;0.000001,"OK","DIFF"))</f>
        <v>OK</v>
      </c>
    </row>
    <row r="265" customFormat="false" ht="15" hidden="false" customHeight="false" outlineLevel="0" collapsed="false">
      <c r="A265" s="23" t="s">
        <v>216</v>
      </c>
      <c r="B265" s="23" t="s">
        <v>227</v>
      </c>
      <c r="C265" s="36" t="n">
        <v>45931</v>
      </c>
      <c r="D265" s="37" t="n">
        <v>8</v>
      </c>
      <c r="E265" s="37" t="n">
        <v>57942.3208</v>
      </c>
      <c r="F265" s="37" t="n">
        <v>54097.19</v>
      </c>
      <c r="G265" s="38" t="n">
        <f aca="false">E265-F265</f>
        <v>3845.13079999998</v>
      </c>
      <c r="H265" s="45" t="n">
        <v>0.0710781983315584</v>
      </c>
      <c r="I265" s="39" t="n">
        <f aca="false">IF(F265&lt;&gt;0,G265/ABS(F265),"n/a")</f>
        <v>0.0710781983315581</v>
      </c>
      <c r="J265" s="46" t="str">
        <f aca="false">IF(H265="","guard",IF(ABS(H265-I265)&lt;0.000001,"OK","DIFF"))</f>
        <v>OK</v>
      </c>
    </row>
    <row r="266" customFormat="false" ht="15" hidden="false" customHeight="false" outlineLevel="0" collapsed="false">
      <c r="A266" s="23" t="s">
        <v>216</v>
      </c>
      <c r="B266" s="23" t="s">
        <v>227</v>
      </c>
      <c r="C266" s="36" t="n">
        <v>45962</v>
      </c>
      <c r="D266" s="37" t="n">
        <v>8</v>
      </c>
      <c r="E266" s="37" t="n">
        <v>19815.2583</v>
      </c>
      <c r="F266" s="37" t="n">
        <v>18802.46</v>
      </c>
      <c r="G266" s="38" t="n">
        <f aca="false">E266-F266</f>
        <v>1012.79830000001</v>
      </c>
      <c r="H266" s="45" t="n">
        <v>0.0538652016810567</v>
      </c>
      <c r="I266" s="39" t="n">
        <f aca="false">IF(F266&lt;&gt;0,G266/ABS(F266),"n/a")</f>
        <v>0.053865201681057</v>
      </c>
      <c r="J266" s="46" t="str">
        <f aca="false">IF(H266="","guard",IF(ABS(H266-I266)&lt;0.000001,"OK","DIFF"))</f>
        <v>OK</v>
      </c>
    </row>
    <row r="267" customFormat="false" ht="15" hidden="false" customHeight="false" outlineLevel="0" collapsed="false">
      <c r="A267" s="23" t="s">
        <v>216</v>
      </c>
      <c r="B267" s="23" t="s">
        <v>227</v>
      </c>
      <c r="C267" s="36" t="n">
        <v>45992</v>
      </c>
      <c r="D267" s="37" t="n">
        <v>7</v>
      </c>
      <c r="E267" s="37" t="n">
        <v>34635.77</v>
      </c>
      <c r="F267" s="37" t="n">
        <v>32586.08</v>
      </c>
      <c r="G267" s="38" t="n">
        <f aca="false">E267-F267</f>
        <v>2049.69000000001</v>
      </c>
      <c r="H267" s="45" t="n">
        <v>0.0629007846295105</v>
      </c>
      <c r="I267" s="39" t="n">
        <f aca="false">IF(F267&lt;&gt;0,G267/ABS(F267),"n/a")</f>
        <v>0.0629007846295107</v>
      </c>
      <c r="J267" s="46" t="str">
        <f aca="false">IF(H267="","guard",IF(ABS(H267-I267)&lt;0.000001,"OK","DIFF"))</f>
        <v>OK</v>
      </c>
    </row>
    <row r="268" customFormat="false" ht="15" hidden="false" customHeight="false" outlineLevel="0" collapsed="false">
      <c r="A268" s="23" t="s">
        <v>216</v>
      </c>
      <c r="B268" s="23" t="s">
        <v>228</v>
      </c>
      <c r="C268" s="36" t="n">
        <v>44927</v>
      </c>
      <c r="D268" s="37" t="n">
        <v>14</v>
      </c>
      <c r="E268" s="37" t="n">
        <v>-1643.2018</v>
      </c>
      <c r="F268" s="37" t="n">
        <v>-1744.21</v>
      </c>
      <c r="G268" s="38" t="n">
        <f aca="false">E268-F268</f>
        <v>101.008199999999</v>
      </c>
      <c r="H268" s="45"/>
      <c r="I268" s="39" t="n">
        <f aca="false">IF(F268&lt;&gt;0,G268/ABS(F268),"n/a")</f>
        <v>0.057910572694801</v>
      </c>
      <c r="J268" s="46" t="str">
        <f aca="false">IF(H268="","guard",IF(ABS(H268-I268)&lt;0.000001,"OK","DIFF"))</f>
        <v>guard</v>
      </c>
    </row>
    <row r="269" customFormat="false" ht="15" hidden="false" customHeight="false" outlineLevel="0" collapsed="false">
      <c r="A269" s="23" t="s">
        <v>216</v>
      </c>
      <c r="B269" s="23" t="s">
        <v>228</v>
      </c>
      <c r="C269" s="36" t="n">
        <v>44958</v>
      </c>
      <c r="D269" s="37" t="n">
        <v>20</v>
      </c>
      <c r="E269" s="37" t="n">
        <v>19710.5335</v>
      </c>
      <c r="F269" s="37" t="n">
        <v>18925.18</v>
      </c>
      <c r="G269" s="38" t="n">
        <f aca="false">E269-F269</f>
        <v>785.353499999997</v>
      </c>
      <c r="H269" s="45" t="n">
        <v>0.0414978087394678</v>
      </c>
      <c r="I269" s="39" t="n">
        <f aca="false">IF(F269&lt;&gt;0,G269/ABS(F269),"n/a")</f>
        <v>0.0414978087394676</v>
      </c>
      <c r="J269" s="46" t="str">
        <f aca="false">IF(H269="","guard",IF(ABS(H269-I269)&lt;0.000001,"OK","DIFF"))</f>
        <v>OK</v>
      </c>
    </row>
    <row r="270" customFormat="false" ht="15" hidden="false" customHeight="false" outlineLevel="0" collapsed="false">
      <c r="A270" s="23" t="s">
        <v>216</v>
      </c>
      <c r="B270" s="23" t="s">
        <v>228</v>
      </c>
      <c r="C270" s="36" t="n">
        <v>44986</v>
      </c>
      <c r="D270" s="37" t="n">
        <v>17</v>
      </c>
      <c r="E270" s="37" t="n">
        <v>19144.11</v>
      </c>
      <c r="F270" s="37" t="n">
        <v>17934.2</v>
      </c>
      <c r="G270" s="38" t="n">
        <f aca="false">E270-F270</f>
        <v>1209.91000000001</v>
      </c>
      <c r="H270" s="45" t="n">
        <v>0.0674638400374704</v>
      </c>
      <c r="I270" s="39" t="n">
        <f aca="false">IF(F270&lt;&gt;0,G270/ABS(F270),"n/a")</f>
        <v>0.0674638400374707</v>
      </c>
      <c r="J270" s="46" t="str">
        <f aca="false">IF(H270="","guard",IF(ABS(H270-I270)&lt;0.000001,"OK","DIFF"))</f>
        <v>OK</v>
      </c>
    </row>
    <row r="271" customFormat="false" ht="15" hidden="false" customHeight="false" outlineLevel="0" collapsed="false">
      <c r="A271" s="23" t="s">
        <v>216</v>
      </c>
      <c r="B271" s="23" t="s">
        <v>228</v>
      </c>
      <c r="C271" s="36" t="n">
        <v>45017</v>
      </c>
      <c r="D271" s="37" t="n">
        <v>16</v>
      </c>
      <c r="E271" s="37" t="n">
        <v>7076.63</v>
      </c>
      <c r="F271" s="37" t="n">
        <v>6965.6621</v>
      </c>
      <c r="G271" s="38" t="n">
        <f aca="false">E271-F271</f>
        <v>110.967899999999</v>
      </c>
      <c r="H271" s="45"/>
      <c r="I271" s="39" t="n">
        <f aca="false">IF(F271&lt;&gt;0,G271/ABS(F271),"n/a")</f>
        <v>0.0159307038450801</v>
      </c>
      <c r="J271" s="46" t="str">
        <f aca="false">IF(H271="","guard",IF(ABS(H271-I271)&lt;0.000001,"OK","DIFF"))</f>
        <v>guard</v>
      </c>
    </row>
    <row r="272" customFormat="false" ht="15" hidden="false" customHeight="false" outlineLevel="0" collapsed="false">
      <c r="A272" s="23" t="s">
        <v>216</v>
      </c>
      <c r="B272" s="23" t="s">
        <v>228</v>
      </c>
      <c r="C272" s="36" t="n">
        <v>45047</v>
      </c>
      <c r="D272" s="37" t="n">
        <v>12</v>
      </c>
      <c r="E272" s="37" t="n">
        <v>7175.5198</v>
      </c>
      <c r="F272" s="37" t="n">
        <v>6543.5841</v>
      </c>
      <c r="G272" s="38" t="n">
        <f aca="false">E272-F272</f>
        <v>631.935699999999</v>
      </c>
      <c r="H272" s="45" t="n">
        <v>0.0965733289803672</v>
      </c>
      <c r="I272" s="39" t="n">
        <f aca="false">IF(F272&lt;&gt;0,G272/ABS(F272),"n/a")</f>
        <v>0.096573328980367</v>
      </c>
      <c r="J272" s="46" t="str">
        <f aca="false">IF(H272="","guard",IF(ABS(H272-I272)&lt;0.000001,"OK","DIFF"))</f>
        <v>OK</v>
      </c>
    </row>
    <row r="273" customFormat="false" ht="15" hidden="false" customHeight="false" outlineLevel="0" collapsed="false">
      <c r="A273" s="23" t="s">
        <v>216</v>
      </c>
      <c r="B273" s="23" t="s">
        <v>228</v>
      </c>
      <c r="C273" s="36" t="n">
        <v>45078</v>
      </c>
      <c r="D273" s="37" t="n">
        <v>15</v>
      </c>
      <c r="E273" s="37" t="n">
        <v>13326.3287</v>
      </c>
      <c r="F273" s="37" t="n">
        <v>12521.0368</v>
      </c>
      <c r="G273" s="38" t="n">
        <f aca="false">E273-F273</f>
        <v>805.2919</v>
      </c>
      <c r="H273" s="45" t="n">
        <v>0.0643151132660197</v>
      </c>
      <c r="I273" s="39" t="n">
        <f aca="false">IF(F273&lt;&gt;0,G273/ABS(F273),"n/a")</f>
        <v>0.0643151132660196</v>
      </c>
      <c r="J273" s="46" t="str">
        <f aca="false">IF(H273="","guard",IF(ABS(H273-I273)&lt;0.000001,"OK","DIFF"))</f>
        <v>OK</v>
      </c>
    </row>
    <row r="274" customFormat="false" ht="15" hidden="false" customHeight="false" outlineLevel="0" collapsed="false">
      <c r="A274" s="23" t="s">
        <v>216</v>
      </c>
      <c r="B274" s="23" t="s">
        <v>228</v>
      </c>
      <c r="C274" s="36" t="n">
        <v>45108</v>
      </c>
      <c r="D274" s="37" t="n">
        <v>19</v>
      </c>
      <c r="E274" s="37" t="n">
        <v>35607.59</v>
      </c>
      <c r="F274" s="37" t="n">
        <v>33829.0724</v>
      </c>
      <c r="G274" s="38" t="n">
        <f aca="false">E274-F274</f>
        <v>1778.5176</v>
      </c>
      <c r="H274" s="45" t="n">
        <v>0.0525736437278133</v>
      </c>
      <c r="I274" s="39" t="n">
        <f aca="false">IF(F274&lt;&gt;0,G274/ABS(F274),"n/a")</f>
        <v>0.0525736437278132</v>
      </c>
      <c r="J274" s="46" t="str">
        <f aca="false">IF(H274="","guard",IF(ABS(H274-I274)&lt;0.000001,"OK","DIFF"))</f>
        <v>OK</v>
      </c>
    </row>
    <row r="275" customFormat="false" ht="15" hidden="false" customHeight="false" outlineLevel="0" collapsed="false">
      <c r="A275" s="23" t="s">
        <v>216</v>
      </c>
      <c r="B275" s="23" t="s">
        <v>228</v>
      </c>
      <c r="C275" s="36" t="n">
        <v>45139</v>
      </c>
      <c r="D275" s="37" t="n">
        <v>20</v>
      </c>
      <c r="E275" s="37" t="n">
        <v>15103.2189</v>
      </c>
      <c r="F275" s="37" t="n">
        <v>14238.6074</v>
      </c>
      <c r="G275" s="38" t="n">
        <f aca="false">E275-F275</f>
        <v>864.611499999999</v>
      </c>
      <c r="H275" s="45"/>
      <c r="I275" s="39" t="n">
        <f aca="false">IF(F275&lt;&gt;0,G275/ABS(F275),"n/a")</f>
        <v>0.0607230381252031</v>
      </c>
      <c r="J275" s="46" t="str">
        <f aca="false">IF(H275="","guard",IF(ABS(H275-I275)&lt;0.000001,"OK","DIFF"))</f>
        <v>guard</v>
      </c>
    </row>
    <row r="276" customFormat="false" ht="15" hidden="false" customHeight="false" outlineLevel="0" collapsed="false">
      <c r="A276" s="23" t="s">
        <v>216</v>
      </c>
      <c r="B276" s="23" t="s">
        <v>228</v>
      </c>
      <c r="C276" s="36" t="n">
        <v>45170</v>
      </c>
      <c r="D276" s="37" t="n">
        <v>19</v>
      </c>
      <c r="E276" s="37" t="n">
        <v>19434.54</v>
      </c>
      <c r="F276" s="37" t="n">
        <v>18189.95</v>
      </c>
      <c r="G276" s="38" t="n">
        <f aca="false">E276-F276</f>
        <v>1244.59000000001</v>
      </c>
      <c r="H276" s="45" t="n">
        <v>0.0684218483283352</v>
      </c>
      <c r="I276" s="39" t="n">
        <f aca="false">IF(F276&lt;&gt;0,G276/ABS(F276),"n/a")</f>
        <v>0.0684218483283358</v>
      </c>
      <c r="J276" s="46" t="str">
        <f aca="false">IF(H276="","guard",IF(ABS(H276-I276)&lt;0.000001,"OK","DIFF"))</f>
        <v>OK</v>
      </c>
    </row>
    <row r="277" customFormat="false" ht="15" hidden="false" customHeight="false" outlineLevel="0" collapsed="false">
      <c r="A277" s="23" t="s">
        <v>216</v>
      </c>
      <c r="B277" s="23" t="s">
        <v>228</v>
      </c>
      <c r="C277" s="36" t="n">
        <v>45200</v>
      </c>
      <c r="D277" s="37" t="n">
        <v>16</v>
      </c>
      <c r="E277" s="37" t="n">
        <v>12240.8205</v>
      </c>
      <c r="F277" s="37" t="n">
        <v>11428.8033</v>
      </c>
      <c r="G277" s="38" t="n">
        <f aca="false">E277-F277</f>
        <v>812.0172</v>
      </c>
      <c r="H277" s="45" t="n">
        <v>0.0710500634830245</v>
      </c>
      <c r="I277" s="39" t="n">
        <f aca="false">IF(F277&lt;&gt;0,G277/ABS(F277),"n/a")</f>
        <v>0.0710500634830245</v>
      </c>
      <c r="J277" s="46" t="str">
        <f aca="false">IF(H277="","guard",IF(ABS(H277-I277)&lt;0.000001,"OK","DIFF"))</f>
        <v>OK</v>
      </c>
    </row>
    <row r="278" customFormat="false" ht="15" hidden="false" customHeight="false" outlineLevel="0" collapsed="false">
      <c r="A278" s="23" t="s">
        <v>216</v>
      </c>
      <c r="B278" s="23" t="s">
        <v>228</v>
      </c>
      <c r="C278" s="36" t="n">
        <v>45231</v>
      </c>
      <c r="D278" s="37" t="n">
        <v>13</v>
      </c>
      <c r="E278" s="37" t="n">
        <v>19179.93</v>
      </c>
      <c r="F278" s="37" t="n">
        <v>18065.66</v>
      </c>
      <c r="G278" s="38" t="n">
        <f aca="false">E278-F278</f>
        <v>1114.27</v>
      </c>
      <c r="H278" s="45" t="n">
        <v>0.061678897975496</v>
      </c>
      <c r="I278" s="39" t="n">
        <f aca="false">IF(F278&lt;&gt;0,G278/ABS(F278),"n/a")</f>
        <v>0.0616788979754961</v>
      </c>
      <c r="J278" s="46" t="str">
        <f aca="false">IF(H278="","guard",IF(ABS(H278-I278)&lt;0.000001,"OK","DIFF"))</f>
        <v>OK</v>
      </c>
    </row>
    <row r="279" customFormat="false" ht="15" hidden="false" customHeight="false" outlineLevel="0" collapsed="false">
      <c r="A279" s="23" t="s">
        <v>216</v>
      </c>
      <c r="B279" s="23" t="s">
        <v>228</v>
      </c>
      <c r="C279" s="36" t="n">
        <v>45261</v>
      </c>
      <c r="D279" s="37" t="n">
        <v>15</v>
      </c>
      <c r="E279" s="37" t="n">
        <v>13733.92</v>
      </c>
      <c r="F279" s="37" t="n">
        <v>12850.39</v>
      </c>
      <c r="G279" s="38" t="n">
        <f aca="false">E279-F279</f>
        <v>883.529999999999</v>
      </c>
      <c r="H279" s="45" t="n">
        <v>0.0687551117125628</v>
      </c>
      <c r="I279" s="39" t="n">
        <f aca="false">IF(F279&lt;&gt;0,G279/ABS(F279),"n/a")</f>
        <v>0.0687551117125627</v>
      </c>
      <c r="J279" s="46" t="str">
        <f aca="false">IF(H279="","guard",IF(ABS(H279-I279)&lt;0.000001,"OK","DIFF"))</f>
        <v>OK</v>
      </c>
    </row>
    <row r="280" customFormat="false" ht="15" hidden="false" customHeight="false" outlineLevel="0" collapsed="false">
      <c r="A280" s="23" t="s">
        <v>216</v>
      </c>
      <c r="B280" s="23" t="s">
        <v>228</v>
      </c>
      <c r="C280" s="36" t="n">
        <v>45292</v>
      </c>
      <c r="D280" s="37" t="n">
        <v>10</v>
      </c>
      <c r="E280" s="37" t="n">
        <v>8478.17</v>
      </c>
      <c r="F280" s="37" t="n">
        <v>8039.2686</v>
      </c>
      <c r="G280" s="38" t="n">
        <f aca="false">E280-F280</f>
        <v>438.901399999999</v>
      </c>
      <c r="H280" s="45" t="n">
        <v>0.0545946928555167</v>
      </c>
      <c r="I280" s="39" t="n">
        <f aca="false">IF(F280&lt;&gt;0,G280/ABS(F280),"n/a")</f>
        <v>0.0545946928555166</v>
      </c>
      <c r="J280" s="46" t="str">
        <f aca="false">IF(H280="","guard",IF(ABS(H280-I280)&lt;0.000001,"OK","DIFF"))</f>
        <v>OK</v>
      </c>
    </row>
    <row r="281" customFormat="false" ht="15" hidden="false" customHeight="false" outlineLevel="0" collapsed="false">
      <c r="A281" s="23" t="s">
        <v>216</v>
      </c>
      <c r="B281" s="23" t="s">
        <v>228</v>
      </c>
      <c r="C281" s="36" t="n">
        <v>45323</v>
      </c>
      <c r="D281" s="37" t="n">
        <v>17</v>
      </c>
      <c r="E281" s="37" t="n">
        <v>8240.64</v>
      </c>
      <c r="F281" s="37" t="n">
        <v>7820.41</v>
      </c>
      <c r="G281" s="38" t="n">
        <f aca="false">E281-F281</f>
        <v>420.23</v>
      </c>
      <c r="H281" s="45"/>
      <c r="I281" s="39" t="n">
        <f aca="false">IF(F281&lt;&gt;0,G281/ABS(F281),"n/a")</f>
        <v>0.0537350343524188</v>
      </c>
      <c r="J281" s="46" t="str">
        <f aca="false">IF(H281="","guard",IF(ABS(H281-I281)&lt;0.000001,"OK","DIFF"))</f>
        <v>guard</v>
      </c>
    </row>
    <row r="282" customFormat="false" ht="15" hidden="false" customHeight="false" outlineLevel="0" collapsed="false">
      <c r="A282" s="23" t="s">
        <v>216</v>
      </c>
      <c r="B282" s="23" t="s">
        <v>228</v>
      </c>
      <c r="C282" s="36" t="n">
        <v>45352</v>
      </c>
      <c r="D282" s="37" t="n">
        <v>22</v>
      </c>
      <c r="E282" s="37" t="n">
        <v>19394.0079</v>
      </c>
      <c r="F282" s="37" t="n">
        <v>18576.7274</v>
      </c>
      <c r="G282" s="38" t="n">
        <f aca="false">E282-F282</f>
        <v>817.280500000004</v>
      </c>
      <c r="H282" s="45" t="n">
        <v>0.0439948588576479</v>
      </c>
      <c r="I282" s="39" t="n">
        <f aca="false">IF(F282&lt;&gt;0,G282/ABS(F282),"n/a")</f>
        <v>0.0439948588576481</v>
      </c>
      <c r="J282" s="46" t="str">
        <f aca="false">IF(H282="","guard",IF(ABS(H282-I282)&lt;0.000001,"OK","DIFF"))</f>
        <v>OK</v>
      </c>
    </row>
    <row r="283" customFormat="false" ht="15" hidden="false" customHeight="false" outlineLevel="0" collapsed="false">
      <c r="A283" s="23" t="s">
        <v>216</v>
      </c>
      <c r="B283" s="23" t="s">
        <v>228</v>
      </c>
      <c r="C283" s="36" t="n">
        <v>45383</v>
      </c>
      <c r="D283" s="37" t="n">
        <v>15</v>
      </c>
      <c r="E283" s="37" t="n">
        <v>16138.5607</v>
      </c>
      <c r="F283" s="37" t="n">
        <v>15061.02</v>
      </c>
      <c r="G283" s="38" t="n">
        <f aca="false">E283-F283</f>
        <v>1077.5407</v>
      </c>
      <c r="H283" s="45" t="n">
        <v>0.0715450016001572</v>
      </c>
      <c r="I283" s="39" t="n">
        <f aca="false">IF(F283&lt;&gt;0,G283/ABS(F283),"n/a")</f>
        <v>0.0715450016001571</v>
      </c>
      <c r="J283" s="46" t="str">
        <f aca="false">IF(H283="","guard",IF(ABS(H283-I283)&lt;0.000001,"OK","DIFF"))</f>
        <v>OK</v>
      </c>
    </row>
    <row r="284" customFormat="false" ht="15" hidden="false" customHeight="false" outlineLevel="0" collapsed="false">
      <c r="A284" s="23" t="s">
        <v>216</v>
      </c>
      <c r="B284" s="23" t="s">
        <v>228</v>
      </c>
      <c r="C284" s="36" t="n">
        <v>45413</v>
      </c>
      <c r="D284" s="37" t="n">
        <v>12</v>
      </c>
      <c r="E284" s="37" t="n">
        <v>21173.19</v>
      </c>
      <c r="F284" s="37" t="n">
        <v>19567.9317</v>
      </c>
      <c r="G284" s="38" t="n">
        <f aca="false">E284-F284</f>
        <v>1605.2583</v>
      </c>
      <c r="H284" s="45" t="n">
        <v>0.0820351544869711</v>
      </c>
      <c r="I284" s="39" t="n">
        <f aca="false">IF(F284&lt;&gt;0,G284/ABS(F284),"n/a")</f>
        <v>0.0820351544869712</v>
      </c>
      <c r="J284" s="46" t="str">
        <f aca="false">IF(H284="","guard",IF(ABS(H284-I284)&lt;0.000001,"OK","DIFF"))</f>
        <v>OK</v>
      </c>
    </row>
    <row r="285" customFormat="false" ht="15" hidden="false" customHeight="false" outlineLevel="0" collapsed="false">
      <c r="A285" s="23" t="s">
        <v>216</v>
      </c>
      <c r="B285" s="23" t="s">
        <v>228</v>
      </c>
      <c r="C285" s="36" t="n">
        <v>45444</v>
      </c>
      <c r="D285" s="37" t="n">
        <v>22</v>
      </c>
      <c r="E285" s="37" t="n">
        <v>10203.77</v>
      </c>
      <c r="F285" s="37" t="n">
        <v>9940.24</v>
      </c>
      <c r="G285" s="38" t="n">
        <f aca="false">E285-F285</f>
        <v>263.530000000001</v>
      </c>
      <c r="H285" s="45"/>
      <c r="I285" s="39" t="n">
        <f aca="false">IF(F285&lt;&gt;0,G285/ABS(F285),"n/a")</f>
        <v>0.0265114323195416</v>
      </c>
      <c r="J285" s="46" t="str">
        <f aca="false">IF(H285="","guard",IF(ABS(H285-I285)&lt;0.000001,"OK","DIFF"))</f>
        <v>guard</v>
      </c>
    </row>
    <row r="286" customFormat="false" ht="15" hidden="false" customHeight="false" outlineLevel="0" collapsed="false">
      <c r="A286" s="23" t="s">
        <v>216</v>
      </c>
      <c r="B286" s="23" t="s">
        <v>228</v>
      </c>
      <c r="C286" s="36" t="n">
        <v>45474</v>
      </c>
      <c r="D286" s="37" t="n">
        <v>20</v>
      </c>
      <c r="E286" s="37" t="n">
        <v>22282.1757</v>
      </c>
      <c r="F286" s="37" t="n">
        <v>20901.21</v>
      </c>
      <c r="G286" s="38" t="n">
        <f aca="false">E286-F286</f>
        <v>1380.9657</v>
      </c>
      <c r="H286" s="45" t="n">
        <v>0.0660710887073045</v>
      </c>
      <c r="I286" s="39" t="n">
        <f aca="false">IF(F286&lt;&gt;0,G286/ABS(F286),"n/a")</f>
        <v>0.0660710887073047</v>
      </c>
      <c r="J286" s="46" t="str">
        <f aca="false">IF(H286="","guard",IF(ABS(H286-I286)&lt;0.000001,"OK","DIFF"))</f>
        <v>OK</v>
      </c>
    </row>
    <row r="287" customFormat="false" ht="15" hidden="false" customHeight="false" outlineLevel="0" collapsed="false">
      <c r="A287" s="23" t="s">
        <v>216</v>
      </c>
      <c r="B287" s="23" t="s">
        <v>228</v>
      </c>
      <c r="C287" s="36" t="n">
        <v>45505</v>
      </c>
      <c r="D287" s="37" t="n">
        <v>17</v>
      </c>
      <c r="E287" s="37" t="n">
        <v>16997.9662</v>
      </c>
      <c r="F287" s="37" t="n">
        <v>15753.7474</v>
      </c>
      <c r="G287" s="38" t="n">
        <f aca="false">E287-F287</f>
        <v>1244.2188</v>
      </c>
      <c r="H287" s="45" t="n">
        <v>0.0789792275074818</v>
      </c>
      <c r="I287" s="39" t="n">
        <f aca="false">IF(F287&lt;&gt;0,G287/ABS(F287),"n/a")</f>
        <v>0.0789792275074816</v>
      </c>
      <c r="J287" s="46" t="str">
        <f aca="false">IF(H287="","guard",IF(ABS(H287-I287)&lt;0.000001,"OK","DIFF"))</f>
        <v>OK</v>
      </c>
    </row>
    <row r="288" customFormat="false" ht="15" hidden="false" customHeight="false" outlineLevel="0" collapsed="false">
      <c r="A288" s="23" t="s">
        <v>216</v>
      </c>
      <c r="B288" s="23" t="s">
        <v>228</v>
      </c>
      <c r="C288" s="36" t="n">
        <v>45536</v>
      </c>
      <c r="D288" s="37" t="n">
        <v>9</v>
      </c>
      <c r="E288" s="37" t="n">
        <v>1614.12</v>
      </c>
      <c r="F288" s="37" t="n">
        <v>1524.7801</v>
      </c>
      <c r="G288" s="38" t="n">
        <f aca="false">E288-F288</f>
        <v>89.3398999999999</v>
      </c>
      <c r="H288" s="45"/>
      <c r="I288" s="39" t="n">
        <f aca="false">IF(F288&lt;&gt;0,G288/ABS(F288),"n/a")</f>
        <v>0.0585919897564245</v>
      </c>
      <c r="J288" s="46" t="str">
        <f aca="false">IF(H288="","guard",IF(ABS(H288-I288)&lt;0.000001,"OK","DIFF"))</f>
        <v>guard</v>
      </c>
    </row>
    <row r="289" customFormat="false" ht="15" hidden="false" customHeight="false" outlineLevel="0" collapsed="false">
      <c r="A289" s="23" t="s">
        <v>216</v>
      </c>
      <c r="B289" s="23" t="s">
        <v>228</v>
      </c>
      <c r="C289" s="36" t="n">
        <v>45566</v>
      </c>
      <c r="D289" s="37" t="n">
        <v>15</v>
      </c>
      <c r="E289" s="37" t="n">
        <v>27008.8018</v>
      </c>
      <c r="F289" s="37" t="n">
        <v>25246.1704</v>
      </c>
      <c r="G289" s="38" t="n">
        <f aca="false">E289-F289</f>
        <v>1762.6314</v>
      </c>
      <c r="H289" s="45" t="n">
        <v>0.0698177732334406</v>
      </c>
      <c r="I289" s="39" t="n">
        <f aca="false">IF(F289&lt;&gt;0,G289/ABS(F289),"n/a")</f>
        <v>0.0698177732334405</v>
      </c>
      <c r="J289" s="46" t="str">
        <f aca="false">IF(H289="","guard",IF(ABS(H289-I289)&lt;0.000001,"OK","DIFF"))</f>
        <v>OK</v>
      </c>
    </row>
    <row r="290" customFormat="false" ht="15" hidden="false" customHeight="false" outlineLevel="0" collapsed="false">
      <c r="A290" s="23" t="s">
        <v>216</v>
      </c>
      <c r="B290" s="23" t="s">
        <v>228</v>
      </c>
      <c r="C290" s="36" t="n">
        <v>45597</v>
      </c>
      <c r="D290" s="37" t="n">
        <v>16</v>
      </c>
      <c r="E290" s="37" t="n">
        <v>9172.7165</v>
      </c>
      <c r="F290" s="37" t="n">
        <v>8433.2856</v>
      </c>
      <c r="G290" s="38" t="n">
        <f aca="false">E290-F290</f>
        <v>739.430899999998</v>
      </c>
      <c r="H290" s="45"/>
      <c r="I290" s="39" t="n">
        <f aca="false">IF(F290&lt;&gt;0,G290/ABS(F290),"n/a")</f>
        <v>0.0876800496356957</v>
      </c>
      <c r="J290" s="46" t="str">
        <f aca="false">IF(H290="","guard",IF(ABS(H290-I290)&lt;0.000001,"OK","DIFF"))</f>
        <v>guard</v>
      </c>
    </row>
    <row r="291" customFormat="false" ht="15" hidden="false" customHeight="false" outlineLevel="0" collapsed="false">
      <c r="A291" s="23" t="s">
        <v>216</v>
      </c>
      <c r="B291" s="23" t="s">
        <v>228</v>
      </c>
      <c r="C291" s="36" t="n">
        <v>45627</v>
      </c>
      <c r="D291" s="37" t="n">
        <v>14</v>
      </c>
      <c r="E291" s="37" t="n">
        <v>10196.5171</v>
      </c>
      <c r="F291" s="37" t="n">
        <v>9836.3666</v>
      </c>
      <c r="G291" s="38" t="n">
        <f aca="false">E291-F291</f>
        <v>360.1505</v>
      </c>
      <c r="H291" s="45" t="n">
        <v>0.0366141802807553</v>
      </c>
      <c r="I291" s="39" t="n">
        <f aca="false">IF(F291&lt;&gt;0,G291/ABS(F291),"n/a")</f>
        <v>0.0366141802807553</v>
      </c>
      <c r="J291" s="46" t="str">
        <f aca="false">IF(H291="","guard",IF(ABS(H291-I291)&lt;0.000001,"OK","DIFF"))</f>
        <v>OK</v>
      </c>
    </row>
    <row r="292" customFormat="false" ht="15" hidden="false" customHeight="false" outlineLevel="0" collapsed="false">
      <c r="A292" s="23" t="s">
        <v>216</v>
      </c>
      <c r="B292" s="23" t="s">
        <v>228</v>
      </c>
      <c r="C292" s="36" t="n">
        <v>45658</v>
      </c>
      <c r="D292" s="37" t="n">
        <v>18</v>
      </c>
      <c r="E292" s="37" t="n">
        <v>22623.2848</v>
      </c>
      <c r="F292" s="37" t="n">
        <v>21379.2394</v>
      </c>
      <c r="G292" s="38" t="n">
        <f aca="false">E292-F292</f>
        <v>1244.0454</v>
      </c>
      <c r="H292" s="45" t="n">
        <v>0.0581894134175793</v>
      </c>
      <c r="I292" s="39" t="n">
        <f aca="false">IF(F292&lt;&gt;0,G292/ABS(F292),"n/a")</f>
        <v>0.0581894134175793</v>
      </c>
      <c r="J292" s="46" t="str">
        <f aca="false">IF(H292="","guard",IF(ABS(H292-I292)&lt;0.000001,"OK","DIFF"))</f>
        <v>OK</v>
      </c>
    </row>
    <row r="293" customFormat="false" ht="15" hidden="false" customHeight="false" outlineLevel="0" collapsed="false">
      <c r="A293" s="23" t="s">
        <v>216</v>
      </c>
      <c r="B293" s="23" t="s">
        <v>228</v>
      </c>
      <c r="C293" s="36" t="n">
        <v>45689</v>
      </c>
      <c r="D293" s="37" t="n">
        <v>23</v>
      </c>
      <c r="E293" s="37" t="n">
        <v>20551.4722</v>
      </c>
      <c r="F293" s="37" t="n">
        <v>19499.2</v>
      </c>
      <c r="G293" s="38" t="n">
        <f aca="false">E293-F293</f>
        <v>1052.2722</v>
      </c>
      <c r="H293" s="45" t="n">
        <v>0.0539648908673176</v>
      </c>
      <c r="I293" s="39" t="n">
        <f aca="false">IF(F293&lt;&gt;0,G293/ABS(F293),"n/a")</f>
        <v>0.0539648908673174</v>
      </c>
      <c r="J293" s="46" t="str">
        <f aca="false">IF(H293="","guard",IF(ABS(H293-I293)&lt;0.000001,"OK","DIFF"))</f>
        <v>OK</v>
      </c>
    </row>
    <row r="294" customFormat="false" ht="15" hidden="false" customHeight="false" outlineLevel="0" collapsed="false">
      <c r="A294" s="23" t="s">
        <v>216</v>
      </c>
      <c r="B294" s="23" t="s">
        <v>228</v>
      </c>
      <c r="C294" s="36" t="n">
        <v>45717</v>
      </c>
      <c r="D294" s="37" t="n">
        <v>17</v>
      </c>
      <c r="E294" s="37" t="n">
        <v>6982.62</v>
      </c>
      <c r="F294" s="37" t="n">
        <v>6342.1605</v>
      </c>
      <c r="G294" s="38" t="n">
        <f aca="false">E294-F294</f>
        <v>640.459499999999</v>
      </c>
      <c r="H294" s="45"/>
      <c r="I294" s="39" t="n">
        <f aca="false">IF(F294&lt;&gt;0,G294/ABS(F294),"n/a")</f>
        <v>0.100984435824353</v>
      </c>
      <c r="J294" s="46" t="str">
        <f aca="false">IF(H294="","guard",IF(ABS(H294-I294)&lt;0.000001,"OK","DIFF"))</f>
        <v>guard</v>
      </c>
    </row>
    <row r="295" customFormat="false" ht="15" hidden="false" customHeight="false" outlineLevel="0" collapsed="false">
      <c r="A295" s="23" t="s">
        <v>216</v>
      </c>
      <c r="B295" s="23" t="s">
        <v>228</v>
      </c>
      <c r="C295" s="36" t="n">
        <v>45748</v>
      </c>
      <c r="D295" s="37" t="n">
        <v>22</v>
      </c>
      <c r="E295" s="37" t="n">
        <v>7495.0969</v>
      </c>
      <c r="F295" s="37" t="n">
        <v>6915.8</v>
      </c>
      <c r="G295" s="38" t="n">
        <f aca="false">E295-F295</f>
        <v>579.2969</v>
      </c>
      <c r="H295" s="45"/>
      <c r="I295" s="39" t="n">
        <f aca="false">IF(F295&lt;&gt;0,G295/ABS(F295),"n/a")</f>
        <v>0.0837642644379537</v>
      </c>
      <c r="J295" s="46" t="str">
        <f aca="false">IF(H295="","guard",IF(ABS(H295-I295)&lt;0.000001,"OK","DIFF"))</f>
        <v>guard</v>
      </c>
    </row>
    <row r="296" customFormat="false" ht="15" hidden="false" customHeight="false" outlineLevel="0" collapsed="false">
      <c r="A296" s="23" t="s">
        <v>216</v>
      </c>
      <c r="B296" s="23" t="s">
        <v>228</v>
      </c>
      <c r="C296" s="36" t="n">
        <v>45778</v>
      </c>
      <c r="D296" s="37" t="n">
        <v>8</v>
      </c>
      <c r="E296" s="37" t="n">
        <v>3128.3357</v>
      </c>
      <c r="F296" s="37" t="n">
        <v>3089.52</v>
      </c>
      <c r="G296" s="38" t="n">
        <f aca="false">E296-F296</f>
        <v>38.8157000000006</v>
      </c>
      <c r="H296" s="45"/>
      <c r="I296" s="39" t="n">
        <f aca="false">IF(F296&lt;&gt;0,G296/ABS(F296),"n/a")</f>
        <v>0.0125636668479248</v>
      </c>
      <c r="J296" s="46" t="str">
        <f aca="false">IF(H296="","guard",IF(ABS(H296-I296)&lt;0.000001,"OK","DIFF"))</f>
        <v>guard</v>
      </c>
    </row>
    <row r="297" customFormat="false" ht="15" hidden="false" customHeight="false" outlineLevel="0" collapsed="false">
      <c r="A297" s="23" t="s">
        <v>216</v>
      </c>
      <c r="B297" s="23" t="s">
        <v>228</v>
      </c>
      <c r="C297" s="36" t="n">
        <v>45809</v>
      </c>
      <c r="D297" s="37" t="n">
        <v>17</v>
      </c>
      <c r="E297" s="37" t="n">
        <v>14118.19</v>
      </c>
      <c r="F297" s="37" t="n">
        <v>13768.65</v>
      </c>
      <c r="G297" s="38" t="n">
        <f aca="false">E297-F297</f>
        <v>349.539999999997</v>
      </c>
      <c r="H297" s="45"/>
      <c r="I297" s="39" t="n">
        <f aca="false">IF(F297&lt;&gt;0,G297/ABS(F297),"n/a")</f>
        <v>0.025386657370185</v>
      </c>
      <c r="J297" s="46" t="str">
        <f aca="false">IF(H297="","guard",IF(ABS(H297-I297)&lt;0.000001,"OK","DIFF"))</f>
        <v>guard</v>
      </c>
    </row>
    <row r="298" customFormat="false" ht="15" hidden="false" customHeight="false" outlineLevel="0" collapsed="false">
      <c r="A298" s="23" t="s">
        <v>216</v>
      </c>
      <c r="B298" s="23" t="s">
        <v>228</v>
      </c>
      <c r="C298" s="36" t="n">
        <v>45839</v>
      </c>
      <c r="D298" s="37" t="n">
        <v>19</v>
      </c>
      <c r="E298" s="37" t="n">
        <v>10486.0293</v>
      </c>
      <c r="F298" s="37" t="n">
        <v>9899.6</v>
      </c>
      <c r="G298" s="38" t="n">
        <f aca="false">E298-F298</f>
        <v>586.4293</v>
      </c>
      <c r="H298" s="45"/>
      <c r="I298" s="39" t="n">
        <f aca="false">IF(F298&lt;&gt;0,G298/ABS(F298),"n/a")</f>
        <v>0.0592376762697483</v>
      </c>
      <c r="J298" s="46" t="str">
        <f aca="false">IF(H298="","guard",IF(ABS(H298-I298)&lt;0.000001,"OK","DIFF"))</f>
        <v>guard</v>
      </c>
    </row>
    <row r="299" customFormat="false" ht="15" hidden="false" customHeight="false" outlineLevel="0" collapsed="false">
      <c r="A299" s="23" t="s">
        <v>216</v>
      </c>
      <c r="B299" s="23" t="s">
        <v>228</v>
      </c>
      <c r="C299" s="36" t="n">
        <v>45870</v>
      </c>
      <c r="D299" s="37" t="n">
        <v>11</v>
      </c>
      <c r="E299" s="37" t="n">
        <v>23901.103</v>
      </c>
      <c r="F299" s="37" t="n">
        <v>22247.11</v>
      </c>
      <c r="G299" s="38" t="n">
        <f aca="false">E299-F299</f>
        <v>1653.993</v>
      </c>
      <c r="H299" s="45" t="n">
        <v>0.0743464207261078</v>
      </c>
      <c r="I299" s="39" t="n">
        <f aca="false">IF(F299&lt;&gt;0,G299/ABS(F299),"n/a")</f>
        <v>0.0743464207261077</v>
      </c>
      <c r="J299" s="46" t="str">
        <f aca="false">IF(H299="","guard",IF(ABS(H299-I299)&lt;0.000001,"OK","DIFF"))</f>
        <v>OK</v>
      </c>
    </row>
    <row r="300" customFormat="false" ht="15" hidden="false" customHeight="false" outlineLevel="0" collapsed="false">
      <c r="A300" s="23" t="s">
        <v>216</v>
      </c>
      <c r="B300" s="23" t="s">
        <v>228</v>
      </c>
      <c r="C300" s="36" t="n">
        <v>45901</v>
      </c>
      <c r="D300" s="37" t="n">
        <v>16</v>
      </c>
      <c r="E300" s="37" t="n">
        <v>21210.24</v>
      </c>
      <c r="F300" s="37" t="n">
        <v>19724.2402</v>
      </c>
      <c r="G300" s="38" t="n">
        <f aca="false">E300-F300</f>
        <v>1485.9998</v>
      </c>
      <c r="H300" s="45" t="n">
        <v>0.075338760070464</v>
      </c>
      <c r="I300" s="39" t="n">
        <f aca="false">IF(F300&lt;&gt;0,G300/ABS(F300),"n/a")</f>
        <v>0.0753387600704639</v>
      </c>
      <c r="J300" s="46" t="str">
        <f aca="false">IF(H300="","guard",IF(ABS(H300-I300)&lt;0.000001,"OK","DIFF"))</f>
        <v>OK</v>
      </c>
    </row>
    <row r="301" customFormat="false" ht="15" hidden="false" customHeight="false" outlineLevel="0" collapsed="false">
      <c r="A301" s="23" t="s">
        <v>216</v>
      </c>
      <c r="B301" s="23" t="s">
        <v>228</v>
      </c>
      <c r="C301" s="36" t="n">
        <v>45931</v>
      </c>
      <c r="D301" s="37" t="n">
        <v>17</v>
      </c>
      <c r="E301" s="37" t="n">
        <v>25443.71</v>
      </c>
      <c r="F301" s="37" t="n">
        <v>23711.6089</v>
      </c>
      <c r="G301" s="38" t="n">
        <f aca="false">E301-F301</f>
        <v>1732.1011</v>
      </c>
      <c r="H301" s="45" t="n">
        <v>0.0730486533961009</v>
      </c>
      <c r="I301" s="39" t="n">
        <f aca="false">IF(F301&lt;&gt;0,G301/ABS(F301),"n/a")</f>
        <v>0.0730486533961007</v>
      </c>
      <c r="J301" s="46" t="str">
        <f aca="false">IF(H301="","guard",IF(ABS(H301-I301)&lt;0.000001,"OK","DIFF"))</f>
        <v>OK</v>
      </c>
    </row>
    <row r="302" customFormat="false" ht="15" hidden="false" customHeight="false" outlineLevel="0" collapsed="false">
      <c r="A302" s="23" t="s">
        <v>216</v>
      </c>
      <c r="B302" s="23" t="s">
        <v>228</v>
      </c>
      <c r="C302" s="36" t="n">
        <v>45962</v>
      </c>
      <c r="D302" s="37" t="n">
        <v>16</v>
      </c>
      <c r="E302" s="37" t="n">
        <v>12314.79</v>
      </c>
      <c r="F302" s="37" t="n">
        <v>11225.4323</v>
      </c>
      <c r="G302" s="38" t="n">
        <f aca="false">E302-F302</f>
        <v>1089.3577</v>
      </c>
      <c r="H302" s="45" t="n">
        <v>0.0970437191982352</v>
      </c>
      <c r="I302" s="39" t="n">
        <f aca="false">IF(F302&lt;&gt;0,G302/ABS(F302),"n/a")</f>
        <v>0.0970437191982355</v>
      </c>
      <c r="J302" s="46" t="str">
        <f aca="false">IF(H302="","guard",IF(ABS(H302-I302)&lt;0.000001,"OK","DIFF"))</f>
        <v>OK</v>
      </c>
    </row>
    <row r="303" customFormat="false" ht="15" hidden="false" customHeight="false" outlineLevel="0" collapsed="false">
      <c r="A303" s="23" t="s">
        <v>216</v>
      </c>
      <c r="B303" s="23" t="s">
        <v>228</v>
      </c>
      <c r="C303" s="36" t="n">
        <v>45992</v>
      </c>
      <c r="D303" s="37" t="n">
        <v>20</v>
      </c>
      <c r="E303" s="37" t="n">
        <v>5829.01</v>
      </c>
      <c r="F303" s="37" t="n">
        <v>5657.36</v>
      </c>
      <c r="G303" s="38" t="n">
        <f aca="false">E303-F303</f>
        <v>171.65</v>
      </c>
      <c r="H303" s="45"/>
      <c r="I303" s="39" t="n">
        <f aca="false">IF(F303&lt;&gt;0,G303/ABS(F303),"n/a")</f>
        <v>0.0303410071128582</v>
      </c>
      <c r="J303" s="46" t="str">
        <f aca="false">IF(H303="","guard",IF(ABS(H303-I303)&lt;0.000001,"OK","DIFF"))</f>
        <v>guard</v>
      </c>
    </row>
    <row r="304" customFormat="false" ht="15" hidden="false" customHeight="false" outlineLevel="0" collapsed="false">
      <c r="A304" s="23" t="s">
        <v>216</v>
      </c>
      <c r="B304" s="23" t="s">
        <v>229</v>
      </c>
      <c r="C304" s="36" t="n">
        <v>44927</v>
      </c>
      <c r="D304" s="37" t="n">
        <v>11</v>
      </c>
      <c r="E304" s="37" t="n">
        <v>98307.18</v>
      </c>
      <c r="F304" s="37" t="n">
        <v>91220.99</v>
      </c>
      <c r="G304" s="38" t="n">
        <f aca="false">E304-F304</f>
        <v>7086.19</v>
      </c>
      <c r="H304" s="45" t="n">
        <v>0.0776815730677775</v>
      </c>
      <c r="I304" s="39" t="n">
        <f aca="false">IF(F304&lt;&gt;0,G304/ABS(F304),"n/a")</f>
        <v>0.0776815730677775</v>
      </c>
      <c r="J304" s="46" t="str">
        <f aca="false">IF(H304="","guard",IF(ABS(H304-I304)&lt;0.000001,"OK","DIFF"))</f>
        <v>OK</v>
      </c>
    </row>
    <row r="305" customFormat="false" ht="15" hidden="false" customHeight="false" outlineLevel="0" collapsed="false">
      <c r="A305" s="23" t="s">
        <v>216</v>
      </c>
      <c r="B305" s="23" t="s">
        <v>229</v>
      </c>
      <c r="C305" s="36" t="n">
        <v>44958</v>
      </c>
      <c r="D305" s="37" t="n">
        <v>11</v>
      </c>
      <c r="E305" s="37" t="n">
        <v>66955.04</v>
      </c>
      <c r="F305" s="37" t="n">
        <v>61336.9975</v>
      </c>
      <c r="G305" s="38" t="n">
        <f aca="false">E305-F305</f>
        <v>5618.0425</v>
      </c>
      <c r="H305" s="45"/>
      <c r="I305" s="39" t="n">
        <f aca="false">IF(F305&lt;&gt;0,G305/ABS(F305),"n/a")</f>
        <v>0.0915930470838584</v>
      </c>
      <c r="J305" s="46" t="str">
        <f aca="false">IF(H305="","guard",IF(ABS(H305-I305)&lt;0.000001,"OK","DIFF"))</f>
        <v>guard</v>
      </c>
    </row>
    <row r="306" customFormat="false" ht="15" hidden="false" customHeight="false" outlineLevel="0" collapsed="false">
      <c r="A306" s="23" t="s">
        <v>216</v>
      </c>
      <c r="B306" s="23" t="s">
        <v>229</v>
      </c>
      <c r="C306" s="36" t="n">
        <v>44986</v>
      </c>
      <c r="D306" s="37" t="n">
        <v>7</v>
      </c>
      <c r="E306" s="37" t="n">
        <v>91706.41</v>
      </c>
      <c r="F306" s="37" t="n">
        <v>86648.03</v>
      </c>
      <c r="G306" s="38" t="n">
        <f aca="false">E306-F306</f>
        <v>5058.38000000001</v>
      </c>
      <c r="H306" s="45" t="n">
        <v>0.0583784766947385</v>
      </c>
      <c r="I306" s="39" t="n">
        <f aca="false">IF(F306&lt;&gt;0,G306/ABS(F306),"n/a")</f>
        <v>0.0583784766947385</v>
      </c>
      <c r="J306" s="46" t="str">
        <f aca="false">IF(H306="","guard",IF(ABS(H306-I306)&lt;0.000001,"OK","DIFF"))</f>
        <v>OK</v>
      </c>
    </row>
    <row r="307" customFormat="false" ht="15" hidden="false" customHeight="false" outlineLevel="0" collapsed="false">
      <c r="A307" s="23" t="s">
        <v>216</v>
      </c>
      <c r="B307" s="23" t="s">
        <v>229</v>
      </c>
      <c r="C307" s="36" t="n">
        <v>45017</v>
      </c>
      <c r="D307" s="37" t="n">
        <v>7</v>
      </c>
      <c r="E307" s="37" t="n">
        <v>89893.46</v>
      </c>
      <c r="F307" s="37" t="n">
        <v>84846.2886</v>
      </c>
      <c r="G307" s="38" t="n">
        <f aca="false">E307-F307</f>
        <v>5047.17139999999</v>
      </c>
      <c r="H307" s="45" t="n">
        <v>0.0594860598298462</v>
      </c>
      <c r="I307" s="39" t="n">
        <f aca="false">IF(F307&lt;&gt;0,G307/ABS(F307),"n/a")</f>
        <v>0.0594860598298461</v>
      </c>
      <c r="J307" s="46" t="str">
        <f aca="false">IF(H307="","guard",IF(ABS(H307-I307)&lt;0.000001,"OK","DIFF"))</f>
        <v>OK</v>
      </c>
    </row>
    <row r="308" customFormat="false" ht="15" hidden="false" customHeight="false" outlineLevel="0" collapsed="false">
      <c r="A308" s="23" t="s">
        <v>216</v>
      </c>
      <c r="B308" s="23" t="s">
        <v>229</v>
      </c>
      <c r="C308" s="36" t="n">
        <v>45047</v>
      </c>
      <c r="D308" s="37" t="n">
        <v>8</v>
      </c>
      <c r="E308" s="37" t="n">
        <v>89069.98</v>
      </c>
      <c r="F308" s="37" t="n">
        <v>85232.32</v>
      </c>
      <c r="G308" s="38" t="n">
        <f aca="false">E308-F308</f>
        <v>3837.65999999999</v>
      </c>
      <c r="H308" s="45" t="n">
        <v>0.0450258775074995</v>
      </c>
      <c r="I308" s="39" t="n">
        <f aca="false">IF(F308&lt;&gt;0,G308/ABS(F308),"n/a")</f>
        <v>0.0450258775074994</v>
      </c>
      <c r="J308" s="46" t="str">
        <f aca="false">IF(H308="","guard",IF(ABS(H308-I308)&lt;0.000001,"OK","DIFF"))</f>
        <v>OK</v>
      </c>
    </row>
    <row r="309" customFormat="false" ht="15" hidden="false" customHeight="false" outlineLevel="0" collapsed="false">
      <c r="A309" s="23" t="s">
        <v>216</v>
      </c>
      <c r="B309" s="23" t="s">
        <v>229</v>
      </c>
      <c r="C309" s="36" t="n">
        <v>45078</v>
      </c>
      <c r="D309" s="37" t="n">
        <v>10</v>
      </c>
      <c r="E309" s="37" t="n">
        <v>98367.2208</v>
      </c>
      <c r="F309" s="37" t="n">
        <v>94218.19</v>
      </c>
      <c r="G309" s="38" t="n">
        <f aca="false">E309-F309</f>
        <v>4149.03080000002</v>
      </c>
      <c r="H309" s="45" t="n">
        <v>0.0440364095298371</v>
      </c>
      <c r="I309" s="39" t="n">
        <f aca="false">IF(F309&lt;&gt;0,G309/ABS(F309),"n/a")</f>
        <v>0.0440364095298373</v>
      </c>
      <c r="J309" s="46" t="str">
        <f aca="false">IF(H309="","guard",IF(ABS(H309-I309)&lt;0.000001,"OK","DIFF"))</f>
        <v>OK</v>
      </c>
    </row>
    <row r="310" customFormat="false" ht="15" hidden="false" customHeight="false" outlineLevel="0" collapsed="false">
      <c r="A310" s="23" t="s">
        <v>216</v>
      </c>
      <c r="B310" s="23" t="s">
        <v>229</v>
      </c>
      <c r="C310" s="36" t="n">
        <v>45108</v>
      </c>
      <c r="D310" s="37" t="n">
        <v>13</v>
      </c>
      <c r="E310" s="37" t="n">
        <v>131788.686</v>
      </c>
      <c r="F310" s="37" t="n">
        <v>124523.6089</v>
      </c>
      <c r="G310" s="38" t="n">
        <f aca="false">E310-F310</f>
        <v>7265.07710000001</v>
      </c>
      <c r="H310" s="45" t="n">
        <v>0.0583429693708467</v>
      </c>
      <c r="I310" s="39" t="n">
        <f aca="false">IF(F310&lt;&gt;0,G310/ABS(F310),"n/a")</f>
        <v>0.0583429693708468</v>
      </c>
      <c r="J310" s="46" t="str">
        <f aca="false">IF(H310="","guard",IF(ABS(H310-I310)&lt;0.000001,"OK","DIFF"))</f>
        <v>OK</v>
      </c>
    </row>
    <row r="311" customFormat="false" ht="15" hidden="false" customHeight="false" outlineLevel="0" collapsed="false">
      <c r="A311" s="23" t="s">
        <v>216</v>
      </c>
      <c r="B311" s="23" t="s">
        <v>229</v>
      </c>
      <c r="C311" s="36" t="n">
        <v>45139</v>
      </c>
      <c r="D311" s="37" t="n">
        <v>7</v>
      </c>
      <c r="E311" s="37" t="n">
        <v>120947</v>
      </c>
      <c r="F311" s="37" t="n">
        <v>114301.26</v>
      </c>
      <c r="G311" s="38" t="n">
        <f aca="false">E311-F311</f>
        <v>6645.74000000001</v>
      </c>
      <c r="H311" s="45" t="n">
        <v>0.0581423161914401</v>
      </c>
      <c r="I311" s="39" t="n">
        <f aca="false">IF(F311&lt;&gt;0,G311/ABS(F311),"n/a")</f>
        <v>0.0581423161914401</v>
      </c>
      <c r="J311" s="46" t="str">
        <f aca="false">IF(H311="","guard",IF(ABS(H311-I311)&lt;0.000001,"OK","DIFF"))</f>
        <v>OK</v>
      </c>
    </row>
    <row r="312" customFormat="false" ht="15" hidden="false" customHeight="false" outlineLevel="0" collapsed="false">
      <c r="A312" s="23" t="s">
        <v>216</v>
      </c>
      <c r="B312" s="23" t="s">
        <v>229</v>
      </c>
      <c r="C312" s="36" t="n">
        <v>45170</v>
      </c>
      <c r="D312" s="37" t="n">
        <v>6</v>
      </c>
      <c r="E312" s="37" t="n">
        <v>36139.847</v>
      </c>
      <c r="F312" s="37" t="n">
        <v>33582.0106</v>
      </c>
      <c r="G312" s="38" t="n">
        <f aca="false">E312-F312</f>
        <v>2557.8364</v>
      </c>
      <c r="H312" s="45" t="n">
        <v>0.0761668629810986</v>
      </c>
      <c r="I312" s="39" t="n">
        <f aca="false">IF(F312&lt;&gt;0,G312/ABS(F312),"n/a")</f>
        <v>0.0761668629810986</v>
      </c>
      <c r="J312" s="46" t="str">
        <f aca="false">IF(H312="","guard",IF(ABS(H312-I312)&lt;0.000001,"OK","DIFF"))</f>
        <v>OK</v>
      </c>
    </row>
    <row r="313" customFormat="false" ht="15" hidden="false" customHeight="false" outlineLevel="0" collapsed="false">
      <c r="A313" s="23" t="s">
        <v>216</v>
      </c>
      <c r="B313" s="23" t="s">
        <v>229</v>
      </c>
      <c r="C313" s="36" t="n">
        <v>45200</v>
      </c>
      <c r="D313" s="37" t="n">
        <v>7</v>
      </c>
      <c r="E313" s="37" t="n">
        <v>49781.85</v>
      </c>
      <c r="F313" s="37" t="n">
        <v>47158.76</v>
      </c>
      <c r="G313" s="38" t="n">
        <f aca="false">E313-F313</f>
        <v>2623.09000000001</v>
      </c>
      <c r="H313" s="45" t="n">
        <v>0.0556225396935797</v>
      </c>
      <c r="I313" s="39" t="n">
        <f aca="false">IF(F313&lt;&gt;0,G313/ABS(F313),"n/a")</f>
        <v>0.05562253969358</v>
      </c>
      <c r="J313" s="46" t="str">
        <f aca="false">IF(H313="","guard",IF(ABS(H313-I313)&lt;0.000001,"OK","DIFF"))</f>
        <v>OK</v>
      </c>
    </row>
    <row r="314" customFormat="false" ht="15" hidden="false" customHeight="false" outlineLevel="0" collapsed="false">
      <c r="A314" s="23" t="s">
        <v>216</v>
      </c>
      <c r="B314" s="23" t="s">
        <v>229</v>
      </c>
      <c r="C314" s="36" t="n">
        <v>45231</v>
      </c>
      <c r="D314" s="37" t="n">
        <v>8</v>
      </c>
      <c r="E314" s="37" t="n">
        <v>43763.8169</v>
      </c>
      <c r="F314" s="37" t="n">
        <v>41258.2668</v>
      </c>
      <c r="G314" s="38" t="n">
        <f aca="false">E314-F314</f>
        <v>2505.5501</v>
      </c>
      <c r="H314" s="45" t="n">
        <v>0.0607284380641991</v>
      </c>
      <c r="I314" s="39" t="n">
        <f aca="false">IF(F314&lt;&gt;0,G314/ABS(F314),"n/a")</f>
        <v>0.0607284380641991</v>
      </c>
      <c r="J314" s="46" t="str">
        <f aca="false">IF(H314="","guard",IF(ABS(H314-I314)&lt;0.000001,"OK","DIFF"))</f>
        <v>OK</v>
      </c>
    </row>
    <row r="315" customFormat="false" ht="15" hidden="false" customHeight="false" outlineLevel="0" collapsed="false">
      <c r="A315" s="23" t="s">
        <v>216</v>
      </c>
      <c r="B315" s="23" t="s">
        <v>229</v>
      </c>
      <c r="C315" s="36" t="n">
        <v>45261</v>
      </c>
      <c r="D315" s="37" t="n">
        <v>10</v>
      </c>
      <c r="E315" s="37" t="n">
        <v>86929.74</v>
      </c>
      <c r="F315" s="37" t="n">
        <v>81917.2705</v>
      </c>
      <c r="G315" s="38" t="n">
        <f aca="false">E315-F315</f>
        <v>5012.46949999999</v>
      </c>
      <c r="H315" s="45" t="n">
        <v>0.0611894106017607</v>
      </c>
      <c r="I315" s="39" t="n">
        <f aca="false">IF(F315&lt;&gt;0,G315/ABS(F315),"n/a")</f>
        <v>0.0611894106017606</v>
      </c>
      <c r="J315" s="46" t="str">
        <f aca="false">IF(H315="","guard",IF(ABS(H315-I315)&lt;0.000001,"OK","DIFF"))</f>
        <v>OK</v>
      </c>
    </row>
    <row r="316" customFormat="false" ht="15" hidden="false" customHeight="false" outlineLevel="0" collapsed="false">
      <c r="A316" s="23" t="s">
        <v>216</v>
      </c>
      <c r="B316" s="23" t="s">
        <v>229</v>
      </c>
      <c r="C316" s="36" t="n">
        <v>45292</v>
      </c>
      <c r="D316" s="37" t="n">
        <v>10</v>
      </c>
      <c r="E316" s="37" t="n">
        <v>90074.9</v>
      </c>
      <c r="F316" s="37" t="n">
        <v>83876.03</v>
      </c>
      <c r="G316" s="38" t="n">
        <f aca="false">E316-F316</f>
        <v>6198.86999999998</v>
      </c>
      <c r="H316" s="45" t="n">
        <v>0.0739051431022665</v>
      </c>
      <c r="I316" s="39" t="n">
        <f aca="false">IF(F316&lt;&gt;0,G316/ABS(F316),"n/a")</f>
        <v>0.0739051431022663</v>
      </c>
      <c r="J316" s="46" t="str">
        <f aca="false">IF(H316="","guard",IF(ABS(H316-I316)&lt;0.000001,"OK","DIFF"))</f>
        <v>OK</v>
      </c>
    </row>
    <row r="317" customFormat="false" ht="15" hidden="false" customHeight="false" outlineLevel="0" collapsed="false">
      <c r="A317" s="23" t="s">
        <v>216</v>
      </c>
      <c r="B317" s="23" t="s">
        <v>229</v>
      </c>
      <c r="C317" s="36" t="n">
        <v>45323</v>
      </c>
      <c r="D317" s="37" t="n">
        <v>7</v>
      </c>
      <c r="E317" s="37" t="n">
        <v>21758.42</v>
      </c>
      <c r="F317" s="37" t="n">
        <v>20736.86</v>
      </c>
      <c r="G317" s="38" t="n">
        <f aca="false">E317-F317</f>
        <v>1021.56</v>
      </c>
      <c r="H317" s="45"/>
      <c r="I317" s="39" t="n">
        <f aca="false">IF(F317&lt;&gt;0,G317/ABS(F317),"n/a")</f>
        <v>0.0492630031740583</v>
      </c>
      <c r="J317" s="46" t="str">
        <f aca="false">IF(H317="","guard",IF(ABS(H317-I317)&lt;0.000001,"OK","DIFF"))</f>
        <v>guard</v>
      </c>
    </row>
    <row r="318" customFormat="false" ht="15" hidden="false" customHeight="false" outlineLevel="0" collapsed="false">
      <c r="A318" s="23" t="s">
        <v>216</v>
      </c>
      <c r="B318" s="23" t="s">
        <v>229</v>
      </c>
      <c r="C318" s="36" t="n">
        <v>45352</v>
      </c>
      <c r="D318" s="37" t="n">
        <v>7</v>
      </c>
      <c r="E318" s="37" t="n">
        <v>32314.88</v>
      </c>
      <c r="F318" s="37" t="n">
        <v>30672.336</v>
      </c>
      <c r="G318" s="38" t="n">
        <f aca="false">E318-F318</f>
        <v>1642.544</v>
      </c>
      <c r="H318" s="45"/>
      <c r="I318" s="39" t="n">
        <f aca="false">IF(F318&lt;&gt;0,G318/ABS(F318),"n/a")</f>
        <v>0.053551317382543</v>
      </c>
      <c r="J318" s="46" t="str">
        <f aca="false">IF(H318="","guard",IF(ABS(H318-I318)&lt;0.000001,"OK","DIFF"))</f>
        <v>guard</v>
      </c>
    </row>
    <row r="319" customFormat="false" ht="15" hidden="false" customHeight="false" outlineLevel="0" collapsed="false">
      <c r="A319" s="23" t="s">
        <v>216</v>
      </c>
      <c r="B319" s="23" t="s">
        <v>229</v>
      </c>
      <c r="C319" s="36" t="n">
        <v>45383</v>
      </c>
      <c r="D319" s="37" t="n">
        <v>5</v>
      </c>
      <c r="E319" s="37" t="n">
        <v>29545.83</v>
      </c>
      <c r="F319" s="37" t="n">
        <v>27413.26</v>
      </c>
      <c r="G319" s="38" t="n">
        <f aca="false">E319-F319</f>
        <v>2132.57</v>
      </c>
      <c r="H319" s="45"/>
      <c r="I319" s="39" t="n">
        <f aca="false">IF(F319&lt;&gt;0,G319/ABS(F319),"n/a")</f>
        <v>0.0777933744472565</v>
      </c>
      <c r="J319" s="46" t="str">
        <f aca="false">IF(H319="","guard",IF(ABS(H319-I319)&lt;0.000001,"OK","DIFF"))</f>
        <v>guard</v>
      </c>
    </row>
    <row r="320" customFormat="false" ht="15" hidden="false" customHeight="false" outlineLevel="0" collapsed="false">
      <c r="A320" s="23" t="s">
        <v>216</v>
      </c>
      <c r="B320" s="23" t="s">
        <v>229</v>
      </c>
      <c r="C320" s="36" t="n">
        <v>45413</v>
      </c>
      <c r="D320" s="37" t="n">
        <v>8</v>
      </c>
      <c r="E320" s="37" t="n">
        <v>46329.1311</v>
      </c>
      <c r="F320" s="37" t="n">
        <v>43878.5741</v>
      </c>
      <c r="G320" s="38" t="n">
        <f aca="false">E320-F320</f>
        <v>2450.557</v>
      </c>
      <c r="H320" s="45" t="n">
        <v>0.0558486015159731</v>
      </c>
      <c r="I320" s="39" t="n">
        <f aca="false">IF(F320&lt;&gt;0,G320/ABS(F320),"n/a")</f>
        <v>0.0558486015159732</v>
      </c>
      <c r="J320" s="46" t="str">
        <f aca="false">IF(H320="","guard",IF(ABS(H320-I320)&lt;0.000001,"OK","DIFF"))</f>
        <v>OK</v>
      </c>
    </row>
    <row r="321" customFormat="false" ht="15" hidden="false" customHeight="false" outlineLevel="0" collapsed="false">
      <c r="A321" s="23" t="s">
        <v>216</v>
      </c>
      <c r="B321" s="23" t="s">
        <v>229</v>
      </c>
      <c r="C321" s="36" t="n">
        <v>45444</v>
      </c>
      <c r="D321" s="37" t="n">
        <v>7</v>
      </c>
      <c r="E321" s="37" t="n">
        <v>52259.231</v>
      </c>
      <c r="F321" s="37" t="n">
        <v>49172.04</v>
      </c>
      <c r="G321" s="38" t="n">
        <f aca="false">E321-F321</f>
        <v>3087.191</v>
      </c>
      <c r="H321" s="45" t="n">
        <v>0.0627834639360092</v>
      </c>
      <c r="I321" s="39" t="n">
        <f aca="false">IF(F321&lt;&gt;0,G321/ABS(F321),"n/a")</f>
        <v>0.0627834639360091</v>
      </c>
      <c r="J321" s="46" t="str">
        <f aca="false">IF(H321="","guard",IF(ABS(H321-I321)&lt;0.000001,"OK","DIFF"))</f>
        <v>OK</v>
      </c>
    </row>
    <row r="322" customFormat="false" ht="15" hidden="false" customHeight="false" outlineLevel="0" collapsed="false">
      <c r="A322" s="23" t="s">
        <v>216</v>
      </c>
      <c r="B322" s="23" t="s">
        <v>229</v>
      </c>
      <c r="C322" s="36" t="n">
        <v>45474</v>
      </c>
      <c r="D322" s="37" t="n">
        <v>11</v>
      </c>
      <c r="E322" s="37" t="n">
        <v>137476.1341</v>
      </c>
      <c r="F322" s="37" t="n">
        <v>131071.93</v>
      </c>
      <c r="G322" s="38" t="n">
        <f aca="false">E322-F322</f>
        <v>6404.2041</v>
      </c>
      <c r="H322" s="45" t="n">
        <v>0.0488602258317246</v>
      </c>
      <c r="I322" s="39" t="n">
        <f aca="false">IF(F322&lt;&gt;0,G322/ABS(F322),"n/a")</f>
        <v>0.0488602258317246</v>
      </c>
      <c r="J322" s="46" t="str">
        <f aca="false">IF(H322="","guard",IF(ABS(H322-I322)&lt;0.000001,"OK","DIFF"))</f>
        <v>OK</v>
      </c>
    </row>
    <row r="323" customFormat="false" ht="15" hidden="false" customHeight="false" outlineLevel="0" collapsed="false">
      <c r="A323" s="23" t="s">
        <v>216</v>
      </c>
      <c r="B323" s="23" t="s">
        <v>229</v>
      </c>
      <c r="C323" s="36" t="n">
        <v>45505</v>
      </c>
      <c r="D323" s="37" t="n">
        <v>8</v>
      </c>
      <c r="E323" s="37" t="n">
        <v>82343.4748</v>
      </c>
      <c r="F323" s="37" t="n">
        <v>77410.26</v>
      </c>
      <c r="G323" s="38" t="n">
        <f aca="false">E323-F323</f>
        <v>4933.21479999999</v>
      </c>
      <c r="H323" s="45" t="n">
        <v>0.0637281776343343</v>
      </c>
      <c r="I323" s="39" t="n">
        <f aca="false">IF(F323&lt;&gt;0,G323/ABS(F323),"n/a")</f>
        <v>0.0637281776343341</v>
      </c>
      <c r="J323" s="46" t="str">
        <f aca="false">IF(H323="","guard",IF(ABS(H323-I323)&lt;0.000001,"OK","DIFF"))</f>
        <v>OK</v>
      </c>
    </row>
    <row r="324" customFormat="false" ht="15" hidden="false" customHeight="false" outlineLevel="0" collapsed="false">
      <c r="A324" s="23" t="s">
        <v>216</v>
      </c>
      <c r="B324" s="23" t="s">
        <v>229</v>
      </c>
      <c r="C324" s="36" t="n">
        <v>45536</v>
      </c>
      <c r="D324" s="37" t="n">
        <v>7</v>
      </c>
      <c r="E324" s="37" t="n">
        <v>88874.39</v>
      </c>
      <c r="F324" s="37" t="n">
        <v>81937.6814</v>
      </c>
      <c r="G324" s="38" t="n">
        <f aca="false">E324-F324</f>
        <v>6936.7086</v>
      </c>
      <c r="H324" s="45" t="n">
        <v>0.08465834621481</v>
      </c>
      <c r="I324" s="39" t="n">
        <f aca="false">IF(F324&lt;&gt;0,G324/ABS(F324),"n/a")</f>
        <v>0.08465834621481</v>
      </c>
      <c r="J324" s="46" t="str">
        <f aca="false">IF(H324="","guard",IF(ABS(H324-I324)&lt;0.000001,"OK","DIFF"))</f>
        <v>OK</v>
      </c>
    </row>
    <row r="325" customFormat="false" ht="15" hidden="false" customHeight="false" outlineLevel="0" collapsed="false">
      <c r="A325" s="23" t="s">
        <v>216</v>
      </c>
      <c r="B325" s="23" t="s">
        <v>229</v>
      </c>
      <c r="C325" s="36" t="n">
        <v>45566</v>
      </c>
      <c r="D325" s="37" t="n">
        <v>16</v>
      </c>
      <c r="E325" s="37" t="n">
        <v>126346.183</v>
      </c>
      <c r="F325" s="37" t="n">
        <v>119912.2386</v>
      </c>
      <c r="G325" s="38" t="n">
        <f aca="false">E325-F325</f>
        <v>6433.94439999999</v>
      </c>
      <c r="H325" s="45" t="n">
        <v>0.0536554439740065</v>
      </c>
      <c r="I325" s="39" t="n">
        <f aca="false">IF(F325&lt;&gt;0,G325/ABS(F325),"n/a")</f>
        <v>0.0536554439740065</v>
      </c>
      <c r="J325" s="46" t="str">
        <f aca="false">IF(H325="","guard",IF(ABS(H325-I325)&lt;0.000001,"OK","DIFF"))</f>
        <v>OK</v>
      </c>
    </row>
    <row r="326" customFormat="false" ht="15" hidden="false" customHeight="false" outlineLevel="0" collapsed="false">
      <c r="A326" s="23" t="s">
        <v>216</v>
      </c>
      <c r="B326" s="23" t="s">
        <v>229</v>
      </c>
      <c r="C326" s="36" t="n">
        <v>45597</v>
      </c>
      <c r="D326" s="37" t="n">
        <v>5</v>
      </c>
      <c r="E326" s="37" t="n">
        <v>27237.17</v>
      </c>
      <c r="F326" s="37" t="n">
        <v>26256.57</v>
      </c>
      <c r="G326" s="38" t="n">
        <f aca="false">E326-F326</f>
        <v>980.599999999999</v>
      </c>
      <c r="H326" s="45" t="n">
        <v>0.0373468430948902</v>
      </c>
      <c r="I326" s="39" t="n">
        <f aca="false">IF(F326&lt;&gt;0,G326/ABS(F326),"n/a")</f>
        <v>0.0373468430948901</v>
      </c>
      <c r="J326" s="46" t="str">
        <f aca="false">IF(H326="","guard",IF(ABS(H326-I326)&lt;0.000001,"OK","DIFF"))</f>
        <v>OK</v>
      </c>
    </row>
    <row r="327" customFormat="false" ht="15" hidden="false" customHeight="false" outlineLevel="0" collapsed="false">
      <c r="A327" s="23" t="s">
        <v>216</v>
      </c>
      <c r="B327" s="23" t="s">
        <v>229</v>
      </c>
      <c r="C327" s="36" t="n">
        <v>45627</v>
      </c>
      <c r="D327" s="37" t="n">
        <v>6</v>
      </c>
      <c r="E327" s="37" t="n">
        <v>47981.88</v>
      </c>
      <c r="F327" s="37" t="n">
        <v>45172.75</v>
      </c>
      <c r="G327" s="38" t="n">
        <f aca="false">E327-F327</f>
        <v>2809.13</v>
      </c>
      <c r="H327" s="45" t="n">
        <v>0.0621863844906498</v>
      </c>
      <c r="I327" s="39" t="n">
        <f aca="false">IF(F327&lt;&gt;0,G327/ABS(F327),"n/a")</f>
        <v>0.0621863844906497</v>
      </c>
      <c r="J327" s="46" t="str">
        <f aca="false">IF(H327="","guard",IF(ABS(H327-I327)&lt;0.000001,"OK","DIFF"))</f>
        <v>OK</v>
      </c>
    </row>
    <row r="328" customFormat="false" ht="15" hidden="false" customHeight="false" outlineLevel="0" collapsed="false">
      <c r="A328" s="23" t="s">
        <v>216</v>
      </c>
      <c r="B328" s="23" t="s">
        <v>229</v>
      </c>
      <c r="C328" s="36" t="n">
        <v>45658</v>
      </c>
      <c r="D328" s="37" t="n">
        <v>6</v>
      </c>
      <c r="E328" s="37" t="n">
        <v>95487.9039</v>
      </c>
      <c r="F328" s="37" t="n">
        <v>88159.75</v>
      </c>
      <c r="G328" s="38" t="n">
        <f aca="false">E328-F328</f>
        <v>7328.15390000001</v>
      </c>
      <c r="H328" s="45" t="n">
        <v>0.0831235785037956</v>
      </c>
      <c r="I328" s="39" t="n">
        <f aca="false">IF(F328&lt;&gt;0,G328/ABS(F328),"n/a")</f>
        <v>0.0831235785037957</v>
      </c>
      <c r="J328" s="46" t="str">
        <f aca="false">IF(H328="","guard",IF(ABS(H328-I328)&lt;0.000001,"OK","DIFF"))</f>
        <v>OK</v>
      </c>
    </row>
    <row r="329" customFormat="false" ht="15" hidden="false" customHeight="false" outlineLevel="0" collapsed="false">
      <c r="A329" s="23" t="s">
        <v>216</v>
      </c>
      <c r="B329" s="23" t="s">
        <v>229</v>
      </c>
      <c r="C329" s="36" t="n">
        <v>45689</v>
      </c>
      <c r="D329" s="37" t="n">
        <v>11</v>
      </c>
      <c r="E329" s="37" t="n">
        <v>104860.6</v>
      </c>
      <c r="F329" s="37" t="n">
        <v>98863.09</v>
      </c>
      <c r="G329" s="38" t="n">
        <f aca="false">E329-F329</f>
        <v>5997.51000000001</v>
      </c>
      <c r="H329" s="45" t="n">
        <v>0.0606648042257227</v>
      </c>
      <c r="I329" s="39" t="n">
        <f aca="false">IF(F329&lt;&gt;0,G329/ABS(F329),"n/a")</f>
        <v>0.0606648042257228</v>
      </c>
      <c r="J329" s="46" t="str">
        <f aca="false">IF(H329="","guard",IF(ABS(H329-I329)&lt;0.000001,"OK","DIFF"))</f>
        <v>OK</v>
      </c>
    </row>
    <row r="330" customFormat="false" ht="15" hidden="false" customHeight="false" outlineLevel="0" collapsed="false">
      <c r="A330" s="23" t="s">
        <v>216</v>
      </c>
      <c r="B330" s="23" t="s">
        <v>229</v>
      </c>
      <c r="C330" s="36" t="n">
        <v>45717</v>
      </c>
      <c r="D330" s="37" t="n">
        <v>2</v>
      </c>
      <c r="E330" s="37" t="n">
        <v>32373.9</v>
      </c>
      <c r="F330" s="37" t="n">
        <v>29656.39</v>
      </c>
      <c r="G330" s="38" t="n">
        <f aca="false">E330-F330</f>
        <v>2717.51</v>
      </c>
      <c r="H330" s="45" t="n">
        <v>0.0916332028274514</v>
      </c>
      <c r="I330" s="39" t="n">
        <f aca="false">IF(F330&lt;&gt;0,G330/ABS(F330),"n/a")</f>
        <v>0.0916332028274514</v>
      </c>
      <c r="J330" s="46" t="str">
        <f aca="false">IF(H330="","guard",IF(ABS(H330-I330)&lt;0.000001,"OK","DIFF"))</f>
        <v>OK</v>
      </c>
    </row>
    <row r="331" customFormat="false" ht="15" hidden="false" customHeight="false" outlineLevel="0" collapsed="false">
      <c r="A331" s="23" t="s">
        <v>216</v>
      </c>
      <c r="B331" s="23" t="s">
        <v>229</v>
      </c>
      <c r="C331" s="36" t="n">
        <v>45748</v>
      </c>
      <c r="D331" s="37" t="n">
        <v>9</v>
      </c>
      <c r="E331" s="37" t="n">
        <v>110330.78</v>
      </c>
      <c r="F331" s="37" t="n">
        <v>104054.57</v>
      </c>
      <c r="G331" s="38" t="n">
        <f aca="false">E331-F331</f>
        <v>6276.21000000001</v>
      </c>
      <c r="H331" s="45" t="n">
        <v>0.0603165243006626</v>
      </c>
      <c r="I331" s="39" t="n">
        <f aca="false">IF(F331&lt;&gt;0,G331/ABS(F331),"n/a")</f>
        <v>0.0603165243006627</v>
      </c>
      <c r="J331" s="46" t="str">
        <f aca="false">IF(H331="","guard",IF(ABS(H331-I331)&lt;0.000001,"OK","DIFF"))</f>
        <v>OK</v>
      </c>
    </row>
    <row r="332" customFormat="false" ht="15" hidden="false" customHeight="false" outlineLevel="0" collapsed="false">
      <c r="A332" s="23" t="s">
        <v>216</v>
      </c>
      <c r="B332" s="23" t="s">
        <v>229</v>
      </c>
      <c r="C332" s="36" t="n">
        <v>45778</v>
      </c>
      <c r="D332" s="37" t="n">
        <v>9</v>
      </c>
      <c r="E332" s="37" t="n">
        <v>83390.04</v>
      </c>
      <c r="F332" s="37" t="n">
        <v>80328.39</v>
      </c>
      <c r="G332" s="38" t="n">
        <f aca="false">E332-F332</f>
        <v>3061.65000000001</v>
      </c>
      <c r="H332" s="45" t="n">
        <v>0.038114171091939</v>
      </c>
      <c r="I332" s="39" t="n">
        <f aca="false">IF(F332&lt;&gt;0,G332/ABS(F332),"n/a")</f>
        <v>0.0381141710919391</v>
      </c>
      <c r="J332" s="46" t="str">
        <f aca="false">IF(H332="","guard",IF(ABS(H332-I332)&lt;0.000001,"OK","DIFF"))</f>
        <v>OK</v>
      </c>
    </row>
    <row r="333" customFormat="false" ht="15" hidden="false" customHeight="false" outlineLevel="0" collapsed="false">
      <c r="A333" s="23" t="s">
        <v>216</v>
      </c>
      <c r="B333" s="23" t="s">
        <v>229</v>
      </c>
      <c r="C333" s="36" t="n">
        <v>45809</v>
      </c>
      <c r="D333" s="37" t="n">
        <v>8</v>
      </c>
      <c r="E333" s="37" t="n">
        <v>105285.79</v>
      </c>
      <c r="F333" s="37" t="n">
        <v>96932.7734</v>
      </c>
      <c r="G333" s="38" t="n">
        <f aca="false">E333-F333</f>
        <v>8353.0166</v>
      </c>
      <c r="H333" s="45" t="n">
        <v>0.0861732962651412</v>
      </c>
      <c r="I333" s="39" t="n">
        <f aca="false">IF(F333&lt;&gt;0,G333/ABS(F333),"n/a")</f>
        <v>0.0861732962651413</v>
      </c>
      <c r="J333" s="46" t="str">
        <f aca="false">IF(H333="","guard",IF(ABS(H333-I333)&lt;0.000001,"OK","DIFF"))</f>
        <v>OK</v>
      </c>
    </row>
    <row r="334" customFormat="false" ht="15" hidden="false" customHeight="false" outlineLevel="0" collapsed="false">
      <c r="A334" s="23" t="s">
        <v>216</v>
      </c>
      <c r="B334" s="23" t="s">
        <v>229</v>
      </c>
      <c r="C334" s="36" t="n">
        <v>45839</v>
      </c>
      <c r="D334" s="37" t="n">
        <v>10</v>
      </c>
      <c r="E334" s="37" t="n">
        <v>150790.1123</v>
      </c>
      <c r="F334" s="37" t="n">
        <v>141073.12</v>
      </c>
      <c r="G334" s="38" t="n">
        <f aca="false">E334-F334</f>
        <v>9716.99230000001</v>
      </c>
      <c r="H334" s="45" t="n">
        <v>0.0688791195657968</v>
      </c>
      <c r="I334" s="39" t="n">
        <f aca="false">IF(F334&lt;&gt;0,G334/ABS(F334),"n/a")</f>
        <v>0.0688791195657969</v>
      </c>
      <c r="J334" s="46" t="str">
        <f aca="false">IF(H334="","guard",IF(ABS(H334-I334)&lt;0.000001,"OK","DIFF"))</f>
        <v>OK</v>
      </c>
    </row>
    <row r="335" customFormat="false" ht="15" hidden="false" customHeight="false" outlineLevel="0" collapsed="false">
      <c r="A335" s="23" t="s">
        <v>216</v>
      </c>
      <c r="B335" s="23" t="s">
        <v>229</v>
      </c>
      <c r="C335" s="36" t="n">
        <v>45870</v>
      </c>
      <c r="D335" s="37" t="n">
        <v>7</v>
      </c>
      <c r="E335" s="37" t="n">
        <v>63813.09</v>
      </c>
      <c r="F335" s="37" t="n">
        <v>59710.28</v>
      </c>
      <c r="G335" s="38" t="n">
        <f aca="false">E335-F335</f>
        <v>4102.81</v>
      </c>
      <c r="H335" s="45" t="n">
        <v>0.068711953787522</v>
      </c>
      <c r="I335" s="39" t="n">
        <f aca="false">IF(F335&lt;&gt;0,G335/ABS(F335),"n/a")</f>
        <v>0.068711953787522</v>
      </c>
      <c r="J335" s="46" t="str">
        <f aca="false">IF(H335="","guard",IF(ABS(H335-I335)&lt;0.000001,"OK","DIFF"))</f>
        <v>OK</v>
      </c>
    </row>
    <row r="336" customFormat="false" ht="15" hidden="false" customHeight="false" outlineLevel="0" collapsed="false">
      <c r="A336" s="23" t="s">
        <v>216</v>
      </c>
      <c r="B336" s="23" t="s">
        <v>229</v>
      </c>
      <c r="C336" s="36" t="n">
        <v>45901</v>
      </c>
      <c r="D336" s="37" t="n">
        <v>10</v>
      </c>
      <c r="E336" s="37" t="n">
        <v>79711.02</v>
      </c>
      <c r="F336" s="37" t="n">
        <v>75537.59</v>
      </c>
      <c r="G336" s="38" t="n">
        <f aca="false">E336-F336</f>
        <v>4173.43000000001</v>
      </c>
      <c r="H336" s="45" t="n">
        <v>0.0552497107731396</v>
      </c>
      <c r="I336" s="39" t="n">
        <f aca="false">IF(F336&lt;&gt;0,G336/ABS(F336),"n/a")</f>
        <v>0.0552497107731397</v>
      </c>
      <c r="J336" s="46" t="str">
        <f aca="false">IF(H336="","guard",IF(ABS(H336-I336)&lt;0.000001,"OK","DIFF"))</f>
        <v>OK</v>
      </c>
    </row>
    <row r="337" customFormat="false" ht="15" hidden="false" customHeight="false" outlineLevel="0" collapsed="false">
      <c r="A337" s="23" t="s">
        <v>216</v>
      </c>
      <c r="B337" s="23" t="s">
        <v>229</v>
      </c>
      <c r="C337" s="36" t="n">
        <v>45931</v>
      </c>
      <c r="D337" s="37" t="n">
        <v>10</v>
      </c>
      <c r="E337" s="37" t="n">
        <v>114400.76</v>
      </c>
      <c r="F337" s="37" t="n">
        <v>107670.66</v>
      </c>
      <c r="G337" s="38" t="n">
        <f aca="false">E337-F337</f>
        <v>6730.09999999999</v>
      </c>
      <c r="H337" s="45" t="n">
        <v>0.0625063503836607</v>
      </c>
      <c r="I337" s="39" t="n">
        <f aca="false">IF(F337&lt;&gt;0,G337/ABS(F337),"n/a")</f>
        <v>0.0625063503836606</v>
      </c>
      <c r="J337" s="46" t="str">
        <f aca="false">IF(H337="","guard",IF(ABS(H337-I337)&lt;0.000001,"OK","DIFF"))</f>
        <v>OK</v>
      </c>
    </row>
    <row r="338" customFormat="false" ht="15" hidden="false" customHeight="false" outlineLevel="0" collapsed="false">
      <c r="A338" s="23" t="s">
        <v>216</v>
      </c>
      <c r="B338" s="23" t="s">
        <v>229</v>
      </c>
      <c r="C338" s="36" t="n">
        <v>45962</v>
      </c>
      <c r="D338" s="37" t="n">
        <v>7</v>
      </c>
      <c r="E338" s="37" t="n">
        <v>42341.58</v>
      </c>
      <c r="F338" s="37" t="n">
        <v>39684.2</v>
      </c>
      <c r="G338" s="38" t="n">
        <f aca="false">E338-F338</f>
        <v>2657.38000000001</v>
      </c>
      <c r="H338" s="45" t="n">
        <v>0.066963174260789</v>
      </c>
      <c r="I338" s="39" t="n">
        <f aca="false">IF(F338&lt;&gt;0,G338/ABS(F338),"n/a")</f>
        <v>0.0669631742607893</v>
      </c>
      <c r="J338" s="46" t="str">
        <f aca="false">IF(H338="","guard",IF(ABS(H338-I338)&lt;0.000001,"OK","DIFF"))</f>
        <v>OK</v>
      </c>
    </row>
    <row r="339" customFormat="false" ht="15" hidden="false" customHeight="false" outlineLevel="0" collapsed="false">
      <c r="A339" s="23" t="s">
        <v>216</v>
      </c>
      <c r="B339" s="23" t="s">
        <v>229</v>
      </c>
      <c r="C339" s="36" t="n">
        <v>45992</v>
      </c>
      <c r="D339" s="37" t="n">
        <v>3</v>
      </c>
      <c r="E339" s="37" t="n">
        <v>43326.4728</v>
      </c>
      <c r="F339" s="37" t="n">
        <v>40262.38</v>
      </c>
      <c r="G339" s="38" t="n">
        <f aca="false">E339-F339</f>
        <v>3064.0928</v>
      </c>
      <c r="H339" s="45" t="n">
        <v>0.0761031215740351</v>
      </c>
      <c r="I339" s="39" t="n">
        <f aca="false">IF(F339&lt;&gt;0,G339/ABS(F339),"n/a")</f>
        <v>0.0761031215740351</v>
      </c>
      <c r="J339" s="46" t="str">
        <f aca="false">IF(H339="","guard",IF(ABS(H339-I339)&lt;0.000001,"OK","DIFF"))</f>
        <v>OK</v>
      </c>
    </row>
    <row r="340" customFormat="false" ht="15" hidden="false" customHeight="false" outlineLevel="0" collapsed="false">
      <c r="A340" s="23" t="s">
        <v>217</v>
      </c>
      <c r="B340" s="23" t="s">
        <v>224</v>
      </c>
      <c r="C340" s="36" t="n">
        <v>44927</v>
      </c>
      <c r="D340" s="37" t="n">
        <v>890</v>
      </c>
      <c r="E340" s="37" t="n">
        <v>4037137.7824</v>
      </c>
      <c r="F340" s="37" t="n">
        <v>4112917.5511</v>
      </c>
      <c r="G340" s="38" t="n">
        <f aca="false">E340-F340</f>
        <v>-75779.7687000018</v>
      </c>
      <c r="H340" s="45" t="n">
        <v>-0.0184248207649416</v>
      </c>
      <c r="I340" s="39" t="n">
        <f aca="false">IF(F340&lt;&gt;0,G340/ABS(F340),"n/a")</f>
        <v>-0.018424820764942</v>
      </c>
      <c r="J340" s="46" t="str">
        <f aca="false">IF(H340="","guard",IF(ABS(H340-I340)&lt;0.000001,"OK","DIFF"))</f>
        <v>OK</v>
      </c>
    </row>
    <row r="341" customFormat="false" ht="15" hidden="false" customHeight="false" outlineLevel="0" collapsed="false">
      <c r="A341" s="23" t="s">
        <v>217</v>
      </c>
      <c r="B341" s="23" t="s">
        <v>224</v>
      </c>
      <c r="C341" s="36" t="n">
        <v>44958</v>
      </c>
      <c r="D341" s="37" t="n">
        <v>888</v>
      </c>
      <c r="E341" s="37" t="n">
        <v>4667112.8837</v>
      </c>
      <c r="F341" s="37" t="n">
        <v>5043707.122</v>
      </c>
      <c r="G341" s="38" t="n">
        <f aca="false">E341-F341</f>
        <v>-376594.238299996</v>
      </c>
      <c r="H341" s="45" t="n">
        <v>-0.0746661590752058</v>
      </c>
      <c r="I341" s="39" t="n">
        <f aca="false">IF(F341&lt;&gt;0,G341/ABS(F341),"n/a")</f>
        <v>-0.0746661590752049</v>
      </c>
      <c r="J341" s="46" t="str">
        <f aca="false">IF(H341="","guard",IF(ABS(H341-I341)&lt;0.000001,"OK","DIFF"))</f>
        <v>OK</v>
      </c>
    </row>
    <row r="342" customFormat="false" ht="15" hidden="false" customHeight="false" outlineLevel="0" collapsed="false">
      <c r="A342" s="23" t="s">
        <v>217</v>
      </c>
      <c r="B342" s="23" t="s">
        <v>224</v>
      </c>
      <c r="C342" s="36" t="n">
        <v>44986</v>
      </c>
      <c r="D342" s="37" t="n">
        <v>838</v>
      </c>
      <c r="E342" s="37" t="n">
        <v>4096954.4278</v>
      </c>
      <c r="F342" s="37" t="n">
        <v>4437403.5644</v>
      </c>
      <c r="G342" s="38" t="n">
        <f aca="false">E342-F342</f>
        <v>-340449.136599996</v>
      </c>
      <c r="H342" s="45" t="n">
        <v>-0.0767225995244887</v>
      </c>
      <c r="I342" s="39" t="n">
        <f aca="false">IF(F342&lt;&gt;0,G342/ABS(F342),"n/a")</f>
        <v>-0.0767225995244879</v>
      </c>
      <c r="J342" s="46" t="str">
        <f aca="false">IF(H342="","guard",IF(ABS(H342-I342)&lt;0.000001,"OK","DIFF"))</f>
        <v>OK</v>
      </c>
    </row>
    <row r="343" customFormat="false" ht="15" hidden="false" customHeight="false" outlineLevel="0" collapsed="false">
      <c r="A343" s="23" t="s">
        <v>217</v>
      </c>
      <c r="B343" s="23" t="s">
        <v>224</v>
      </c>
      <c r="C343" s="36" t="n">
        <v>45017</v>
      </c>
      <c r="D343" s="37" t="n">
        <v>849</v>
      </c>
      <c r="E343" s="37" t="n">
        <v>5350622.3561</v>
      </c>
      <c r="F343" s="37" t="n">
        <v>5135070.49240001</v>
      </c>
      <c r="G343" s="38" t="n">
        <f aca="false">E343-F343</f>
        <v>215551.8637</v>
      </c>
      <c r="H343" s="45" t="n">
        <v>0.0419764176595084</v>
      </c>
      <c r="I343" s="39" t="n">
        <f aca="false">IF(F343&lt;&gt;0,G343/ABS(F343),"n/a")</f>
        <v>0.0419764176595083</v>
      </c>
      <c r="J343" s="46" t="str">
        <f aca="false">IF(H343="","guard",IF(ABS(H343-I343)&lt;0.000001,"OK","DIFF"))</f>
        <v>OK</v>
      </c>
    </row>
    <row r="344" customFormat="false" ht="15" hidden="false" customHeight="false" outlineLevel="0" collapsed="false">
      <c r="A344" s="23" t="s">
        <v>217</v>
      </c>
      <c r="B344" s="23" t="s">
        <v>224</v>
      </c>
      <c r="C344" s="36" t="n">
        <v>45047</v>
      </c>
      <c r="D344" s="37" t="n">
        <v>864</v>
      </c>
      <c r="E344" s="37" t="n">
        <v>4873368.64109999</v>
      </c>
      <c r="F344" s="37" t="n">
        <v>5611230.7165</v>
      </c>
      <c r="G344" s="38" t="n">
        <f aca="false">E344-F344</f>
        <v>-737862.07540001</v>
      </c>
      <c r="H344" s="45" t="n">
        <v>-0.131497368880287</v>
      </c>
      <c r="I344" s="39" t="n">
        <f aca="false">IF(F344&lt;&gt;0,G344/ABS(F344),"n/a")</f>
        <v>-0.131497368880289</v>
      </c>
      <c r="J344" s="46" t="str">
        <f aca="false">IF(H344="","guard",IF(ABS(H344-I344)&lt;0.000001,"OK","DIFF"))</f>
        <v>OK</v>
      </c>
    </row>
    <row r="345" customFormat="false" ht="15" hidden="false" customHeight="false" outlineLevel="0" collapsed="false">
      <c r="A345" s="23" t="s">
        <v>217</v>
      </c>
      <c r="B345" s="23" t="s">
        <v>224</v>
      </c>
      <c r="C345" s="36" t="n">
        <v>45078</v>
      </c>
      <c r="D345" s="37" t="n">
        <v>878</v>
      </c>
      <c r="E345" s="37" t="n">
        <v>5033614.0847</v>
      </c>
      <c r="F345" s="37" t="n">
        <v>5807542.97269999</v>
      </c>
      <c r="G345" s="38" t="n">
        <f aca="false">E345-F345</f>
        <v>-773928.887999986</v>
      </c>
      <c r="H345" s="45" t="n">
        <v>-0.133262705353723</v>
      </c>
      <c r="I345" s="39" t="n">
        <f aca="false">IF(F345&lt;&gt;0,G345/ABS(F345),"n/a")</f>
        <v>-0.13326270535372</v>
      </c>
      <c r="J345" s="46" t="str">
        <f aca="false">IF(H345="","guard",IF(ABS(H345-I345)&lt;0.000001,"OK","DIFF"))</f>
        <v>OK</v>
      </c>
    </row>
    <row r="346" customFormat="false" ht="15" hidden="false" customHeight="false" outlineLevel="0" collapsed="false">
      <c r="A346" s="23" t="s">
        <v>217</v>
      </c>
      <c r="B346" s="23" t="s">
        <v>224</v>
      </c>
      <c r="C346" s="36" t="n">
        <v>45108</v>
      </c>
      <c r="D346" s="37" t="n">
        <v>880</v>
      </c>
      <c r="E346" s="37" t="n">
        <v>6202320.2549</v>
      </c>
      <c r="F346" s="37" t="n">
        <v>6048915.8015</v>
      </c>
      <c r="G346" s="38" t="n">
        <f aca="false">E346-F346</f>
        <v>153404.453399995</v>
      </c>
      <c r="H346" s="45" t="n">
        <v>0.0253606527903659</v>
      </c>
      <c r="I346" s="39" t="n">
        <f aca="false">IF(F346&lt;&gt;0,G346/ABS(F346),"n/a")</f>
        <v>0.0253606527903652</v>
      </c>
      <c r="J346" s="46" t="str">
        <f aca="false">IF(H346="","guard",IF(ABS(H346-I346)&lt;0.000001,"OK","DIFF"))</f>
        <v>OK</v>
      </c>
    </row>
    <row r="347" customFormat="false" ht="15" hidden="false" customHeight="false" outlineLevel="0" collapsed="false">
      <c r="A347" s="23" t="s">
        <v>217</v>
      </c>
      <c r="B347" s="23" t="s">
        <v>224</v>
      </c>
      <c r="C347" s="36" t="n">
        <v>45139</v>
      </c>
      <c r="D347" s="37" t="n">
        <v>855</v>
      </c>
      <c r="E347" s="37" t="n">
        <v>4712469.8536</v>
      </c>
      <c r="F347" s="37" t="n">
        <v>5216865.1016</v>
      </c>
      <c r="G347" s="38" t="n">
        <f aca="false">E347-F347</f>
        <v>-504395.248</v>
      </c>
      <c r="H347" s="45" t="n">
        <v>-0.0966855071344098</v>
      </c>
      <c r="I347" s="39" t="n">
        <f aca="false">IF(F347&lt;&gt;0,G347/ABS(F347),"n/a")</f>
        <v>-0.0966855071344097</v>
      </c>
      <c r="J347" s="46" t="str">
        <f aca="false">IF(H347="","guard",IF(ABS(H347-I347)&lt;0.000001,"OK","DIFF"))</f>
        <v>OK</v>
      </c>
    </row>
    <row r="348" customFormat="false" ht="15" hidden="false" customHeight="false" outlineLevel="0" collapsed="false">
      <c r="A348" s="23" t="s">
        <v>217</v>
      </c>
      <c r="B348" s="23" t="s">
        <v>224</v>
      </c>
      <c r="C348" s="36" t="n">
        <v>45170</v>
      </c>
      <c r="D348" s="37" t="n">
        <v>832</v>
      </c>
      <c r="E348" s="37" t="n">
        <v>5261684.98200001</v>
      </c>
      <c r="F348" s="37" t="n">
        <v>4409329.9418</v>
      </c>
      <c r="G348" s="38" t="n">
        <f aca="false">E348-F348</f>
        <v>852355.040200003</v>
      </c>
      <c r="H348" s="45" t="n">
        <v>0.193307158105761</v>
      </c>
      <c r="I348" s="39" t="n">
        <f aca="false">IF(F348&lt;&gt;0,G348/ABS(F348),"n/a")</f>
        <v>0.193307158105762</v>
      </c>
      <c r="J348" s="46" t="str">
        <f aca="false">IF(H348="","guard",IF(ABS(H348-I348)&lt;0.000001,"OK","DIFF"))</f>
        <v>OK</v>
      </c>
    </row>
    <row r="349" customFormat="false" ht="15" hidden="false" customHeight="false" outlineLevel="0" collapsed="false">
      <c r="A349" s="23" t="s">
        <v>217</v>
      </c>
      <c r="B349" s="23" t="s">
        <v>224</v>
      </c>
      <c r="C349" s="36" t="n">
        <v>45200</v>
      </c>
      <c r="D349" s="37" t="n">
        <v>857</v>
      </c>
      <c r="E349" s="37" t="n">
        <v>4618808.9851</v>
      </c>
      <c r="F349" s="37" t="n">
        <v>4785074.5535</v>
      </c>
      <c r="G349" s="38" t="n">
        <f aca="false">E349-F349</f>
        <v>-166265.568400003</v>
      </c>
      <c r="H349" s="45" t="n">
        <v>-0.0347467038477773</v>
      </c>
      <c r="I349" s="39" t="n">
        <f aca="false">IF(F349&lt;&gt;0,G349/ABS(F349),"n/a")</f>
        <v>-0.034746703847778</v>
      </c>
      <c r="J349" s="46" t="str">
        <f aca="false">IF(H349="","guard",IF(ABS(H349-I349)&lt;0.000001,"OK","DIFF"))</f>
        <v>OK</v>
      </c>
    </row>
    <row r="350" customFormat="false" ht="15" hidden="false" customHeight="false" outlineLevel="0" collapsed="false">
      <c r="A350" s="23" t="s">
        <v>217</v>
      </c>
      <c r="B350" s="23" t="s">
        <v>224</v>
      </c>
      <c r="C350" s="36" t="n">
        <v>45231</v>
      </c>
      <c r="D350" s="37" t="n">
        <v>846</v>
      </c>
      <c r="E350" s="37" t="n">
        <v>4547008.69580001</v>
      </c>
      <c r="F350" s="37" t="n">
        <v>4916792.06239999</v>
      </c>
      <c r="G350" s="38" t="n">
        <f aca="false">E350-F350</f>
        <v>-369783.366599984</v>
      </c>
      <c r="H350" s="45" t="n">
        <v>-0.0752082581298957</v>
      </c>
      <c r="I350" s="39" t="n">
        <f aca="false">IF(F350&lt;&gt;0,G350/ABS(F350),"n/a")</f>
        <v>-0.0752082581298924</v>
      </c>
      <c r="J350" s="46" t="str">
        <f aca="false">IF(H350="","guard",IF(ABS(H350-I350)&lt;0.000001,"OK","DIFF"))</f>
        <v>OK</v>
      </c>
    </row>
    <row r="351" customFormat="false" ht="15" hidden="false" customHeight="false" outlineLevel="0" collapsed="false">
      <c r="A351" s="23" t="s">
        <v>217</v>
      </c>
      <c r="B351" s="23" t="s">
        <v>224</v>
      </c>
      <c r="C351" s="36" t="n">
        <v>45261</v>
      </c>
      <c r="D351" s="37" t="n">
        <v>851</v>
      </c>
      <c r="E351" s="37" t="n">
        <v>4419135.33600001</v>
      </c>
      <c r="F351" s="37" t="n">
        <v>4358293.2907</v>
      </c>
      <c r="G351" s="38" t="n">
        <f aca="false">E351-F351</f>
        <v>60842.0453000087</v>
      </c>
      <c r="H351" s="45" t="n">
        <v>0.0139600621715452</v>
      </c>
      <c r="I351" s="39" t="n">
        <f aca="false">IF(F351&lt;&gt;0,G351/ABS(F351),"n/a")</f>
        <v>0.0139600621715471</v>
      </c>
      <c r="J351" s="46" t="str">
        <f aca="false">IF(H351="","guard",IF(ABS(H351-I351)&lt;0.000001,"OK","DIFF"))</f>
        <v>OK</v>
      </c>
    </row>
    <row r="352" customFormat="false" ht="15" hidden="false" customHeight="false" outlineLevel="0" collapsed="false">
      <c r="A352" s="23" t="s">
        <v>217</v>
      </c>
      <c r="B352" s="23" t="s">
        <v>224</v>
      </c>
      <c r="C352" s="36" t="n">
        <v>45292</v>
      </c>
      <c r="D352" s="37" t="n">
        <v>835</v>
      </c>
      <c r="E352" s="37" t="n">
        <v>4600497.5834</v>
      </c>
      <c r="F352" s="37" t="n">
        <v>4704155.8169</v>
      </c>
      <c r="G352" s="38" t="n">
        <f aca="false">E352-F352</f>
        <v>-103658.233499998</v>
      </c>
      <c r="H352" s="45" t="n">
        <v>-0.022035459184324</v>
      </c>
      <c r="I352" s="39" t="n">
        <f aca="false">IF(F352&lt;&gt;0,G352/ABS(F352),"n/a")</f>
        <v>-0.0220354591843236</v>
      </c>
      <c r="J352" s="46" t="str">
        <f aca="false">IF(H352="","guard",IF(ABS(H352-I352)&lt;0.000001,"OK","DIFF"))</f>
        <v>OK</v>
      </c>
    </row>
    <row r="353" customFormat="false" ht="15" hidden="false" customHeight="false" outlineLevel="0" collapsed="false">
      <c r="A353" s="23" t="s">
        <v>217</v>
      </c>
      <c r="B353" s="23" t="s">
        <v>224</v>
      </c>
      <c r="C353" s="36" t="n">
        <v>45323</v>
      </c>
      <c r="D353" s="37" t="n">
        <v>850</v>
      </c>
      <c r="E353" s="37" t="n">
        <v>5916960.0947</v>
      </c>
      <c r="F353" s="37" t="n">
        <v>5722593.282</v>
      </c>
      <c r="G353" s="38" t="n">
        <f aca="false">E353-F353</f>
        <v>194366.812699996</v>
      </c>
      <c r="H353" s="45" t="n">
        <v>0.0339648133498089</v>
      </c>
      <c r="I353" s="39" t="n">
        <f aca="false">IF(F353&lt;&gt;0,G353/ABS(F353),"n/a")</f>
        <v>0.0339648133498081</v>
      </c>
      <c r="J353" s="46" t="str">
        <f aca="false">IF(H353="","guard",IF(ABS(H353-I353)&lt;0.000001,"OK","DIFF"))</f>
        <v>OK</v>
      </c>
    </row>
    <row r="354" customFormat="false" ht="15" hidden="false" customHeight="false" outlineLevel="0" collapsed="false">
      <c r="A354" s="23" t="s">
        <v>217</v>
      </c>
      <c r="B354" s="23" t="s">
        <v>224</v>
      </c>
      <c r="C354" s="36" t="n">
        <v>45352</v>
      </c>
      <c r="D354" s="37" t="n">
        <v>836</v>
      </c>
      <c r="E354" s="37" t="n">
        <v>4972193.6094</v>
      </c>
      <c r="F354" s="37" t="n">
        <v>5606809.2521</v>
      </c>
      <c r="G354" s="38" t="n">
        <f aca="false">E354-F354</f>
        <v>-634615.642699996</v>
      </c>
      <c r="H354" s="45" t="n">
        <v>-0.113186594044074</v>
      </c>
      <c r="I354" s="39" t="n">
        <f aca="false">IF(F354&lt;&gt;0,G354/ABS(F354),"n/a")</f>
        <v>-0.113186594044073</v>
      </c>
      <c r="J354" s="46" t="str">
        <f aca="false">IF(H354="","guard",IF(ABS(H354-I354)&lt;0.000001,"OK","DIFF"))</f>
        <v>OK</v>
      </c>
    </row>
    <row r="355" customFormat="false" ht="15" hidden="false" customHeight="false" outlineLevel="0" collapsed="false">
      <c r="A355" s="23" t="s">
        <v>217</v>
      </c>
      <c r="B355" s="23" t="s">
        <v>224</v>
      </c>
      <c r="C355" s="36" t="n">
        <v>45383</v>
      </c>
      <c r="D355" s="37" t="n">
        <v>876</v>
      </c>
      <c r="E355" s="37" t="n">
        <v>5466367.7729</v>
      </c>
      <c r="F355" s="37" t="n">
        <v>6198625.4555</v>
      </c>
      <c r="G355" s="38" t="n">
        <f aca="false">E355-F355</f>
        <v>-732257.682600001</v>
      </c>
      <c r="H355" s="45" t="n">
        <v>-0.118132267848233</v>
      </c>
      <c r="I355" s="39" t="n">
        <f aca="false">IF(F355&lt;&gt;0,G355/ABS(F355),"n/a")</f>
        <v>-0.118132267848233</v>
      </c>
      <c r="J355" s="46" t="str">
        <f aca="false">IF(H355="","guard",IF(ABS(H355-I355)&lt;0.000001,"OK","DIFF"))</f>
        <v>OK</v>
      </c>
    </row>
    <row r="356" customFormat="false" ht="15" hidden="false" customHeight="false" outlineLevel="0" collapsed="false">
      <c r="A356" s="23" t="s">
        <v>217</v>
      </c>
      <c r="B356" s="23" t="s">
        <v>224</v>
      </c>
      <c r="C356" s="36" t="n">
        <v>45413</v>
      </c>
      <c r="D356" s="37" t="n">
        <v>846</v>
      </c>
      <c r="E356" s="37" t="n">
        <v>5867272.3145</v>
      </c>
      <c r="F356" s="37" t="n">
        <v>5603638.5463</v>
      </c>
      <c r="G356" s="38" t="n">
        <f aca="false">E356-F356</f>
        <v>263633.768200004</v>
      </c>
      <c r="H356" s="45" t="n">
        <v>0.0470468903412896</v>
      </c>
      <c r="I356" s="39" t="n">
        <f aca="false">IF(F356&lt;&gt;0,G356/ABS(F356),"n/a")</f>
        <v>0.0470468903412903</v>
      </c>
      <c r="J356" s="46" t="str">
        <f aca="false">IF(H356="","guard",IF(ABS(H356-I356)&lt;0.000001,"OK","DIFF"))</f>
        <v>OK</v>
      </c>
    </row>
    <row r="357" customFormat="false" ht="15" hidden="false" customHeight="false" outlineLevel="0" collapsed="false">
      <c r="A357" s="23" t="s">
        <v>217</v>
      </c>
      <c r="B357" s="23" t="s">
        <v>224</v>
      </c>
      <c r="C357" s="36" t="n">
        <v>45444</v>
      </c>
      <c r="D357" s="37" t="n">
        <v>888</v>
      </c>
      <c r="E357" s="37" t="n">
        <v>6002851.29150001</v>
      </c>
      <c r="F357" s="37" t="n">
        <v>6806884.71999999</v>
      </c>
      <c r="G357" s="38" t="n">
        <f aca="false">E357-F357</f>
        <v>-804033.428499987</v>
      </c>
      <c r="H357" s="45" t="n">
        <v>-0.118120617811785</v>
      </c>
      <c r="I357" s="39" t="n">
        <f aca="false">IF(F357&lt;&gt;0,G357/ABS(F357),"n/a")</f>
        <v>-0.118120617811783</v>
      </c>
      <c r="J357" s="46" t="str">
        <f aca="false">IF(H357="","guard",IF(ABS(H357-I357)&lt;0.000001,"OK","DIFF"))</f>
        <v>OK</v>
      </c>
    </row>
    <row r="358" customFormat="false" ht="15" hidden="false" customHeight="false" outlineLevel="0" collapsed="false">
      <c r="A358" s="23" t="s">
        <v>217</v>
      </c>
      <c r="B358" s="23" t="s">
        <v>224</v>
      </c>
      <c r="C358" s="36" t="n">
        <v>45474</v>
      </c>
      <c r="D358" s="37" t="n">
        <v>880</v>
      </c>
      <c r="E358" s="37" t="n">
        <v>6062476.0737</v>
      </c>
      <c r="F358" s="37" t="n">
        <v>6023629.9847</v>
      </c>
      <c r="G358" s="38" t="n">
        <f aca="false">E358-F358</f>
        <v>38846.0889999978</v>
      </c>
      <c r="H358" s="45" t="n">
        <v>0.00644895006809333</v>
      </c>
      <c r="I358" s="39" t="n">
        <f aca="false">IF(F358&lt;&gt;0,G358/ABS(F358),"n/a")</f>
        <v>0.00644895006809295</v>
      </c>
      <c r="J358" s="46" t="str">
        <f aca="false">IF(H358="","guard",IF(ABS(H358-I358)&lt;0.000001,"OK","DIFF"))</f>
        <v>OK</v>
      </c>
    </row>
    <row r="359" customFormat="false" ht="15" hidden="false" customHeight="false" outlineLevel="0" collapsed="false">
      <c r="A359" s="23" t="s">
        <v>217</v>
      </c>
      <c r="B359" s="23" t="s">
        <v>224</v>
      </c>
      <c r="C359" s="36" t="n">
        <v>45505</v>
      </c>
      <c r="D359" s="37" t="n">
        <v>871</v>
      </c>
      <c r="E359" s="37" t="n">
        <v>5382573.18700001</v>
      </c>
      <c r="F359" s="37" t="n">
        <v>5780269.9687</v>
      </c>
      <c r="G359" s="38" t="n">
        <f aca="false">E359-F359</f>
        <v>-397696.781699996</v>
      </c>
      <c r="H359" s="45" t="n">
        <v>-0.0688024579913251</v>
      </c>
      <c r="I359" s="39" t="n">
        <f aca="false">IF(F359&lt;&gt;0,G359/ABS(F359),"n/a")</f>
        <v>-0.0688024579913244</v>
      </c>
      <c r="J359" s="46" t="str">
        <f aca="false">IF(H359="","guard",IF(ABS(H359-I359)&lt;0.000001,"OK","DIFF"))</f>
        <v>OK</v>
      </c>
    </row>
    <row r="360" customFormat="false" ht="15" hidden="false" customHeight="false" outlineLevel="0" collapsed="false">
      <c r="A360" s="23" t="s">
        <v>217</v>
      </c>
      <c r="B360" s="23" t="s">
        <v>224</v>
      </c>
      <c r="C360" s="36" t="n">
        <v>45536</v>
      </c>
      <c r="D360" s="37" t="n">
        <v>883</v>
      </c>
      <c r="E360" s="37" t="n">
        <v>5829325.9816</v>
      </c>
      <c r="F360" s="37" t="n">
        <v>5680578.0033</v>
      </c>
      <c r="G360" s="38" t="n">
        <f aca="false">E360-F360</f>
        <v>148747.978300003</v>
      </c>
      <c r="H360" s="45" t="n">
        <v>0.0261853596964232</v>
      </c>
      <c r="I360" s="39" t="n">
        <f aca="false">IF(F360&lt;&gt;0,G360/ABS(F360),"n/a")</f>
        <v>0.0261853596964238</v>
      </c>
      <c r="J360" s="46" t="str">
        <f aca="false">IF(H360="","guard",IF(ABS(H360-I360)&lt;0.000001,"OK","DIFF"))</f>
        <v>OK</v>
      </c>
    </row>
    <row r="361" customFormat="false" ht="15" hidden="false" customHeight="false" outlineLevel="0" collapsed="false">
      <c r="A361" s="23" t="s">
        <v>217</v>
      </c>
      <c r="B361" s="23" t="s">
        <v>224</v>
      </c>
      <c r="C361" s="36" t="n">
        <v>45566</v>
      </c>
      <c r="D361" s="37" t="n">
        <v>846</v>
      </c>
      <c r="E361" s="37" t="n">
        <v>5628170.7754</v>
      </c>
      <c r="F361" s="37" t="n">
        <v>5294220.72369999</v>
      </c>
      <c r="G361" s="38" t="n">
        <f aca="false">E361-F361</f>
        <v>333950.051700005</v>
      </c>
      <c r="H361" s="45" t="n">
        <v>0.0630782260749059</v>
      </c>
      <c r="I361" s="39" t="n">
        <f aca="false">IF(F361&lt;&gt;0,G361/ABS(F361),"n/a")</f>
        <v>0.0630782260749069</v>
      </c>
      <c r="J361" s="46" t="str">
        <f aca="false">IF(H361="","guard",IF(ABS(H361-I361)&lt;0.000001,"OK","DIFF"))</f>
        <v>OK</v>
      </c>
    </row>
    <row r="362" customFormat="false" ht="15" hidden="false" customHeight="false" outlineLevel="0" collapsed="false">
      <c r="A362" s="23" t="s">
        <v>217</v>
      </c>
      <c r="B362" s="23" t="s">
        <v>224</v>
      </c>
      <c r="C362" s="36" t="n">
        <v>45597</v>
      </c>
      <c r="D362" s="37" t="n">
        <v>886</v>
      </c>
      <c r="E362" s="37" t="n">
        <v>5707847.17749999</v>
      </c>
      <c r="F362" s="37" t="n">
        <v>5492086.4144</v>
      </c>
      <c r="G362" s="38" t="n">
        <f aca="false">E362-F362</f>
        <v>215760.763099992</v>
      </c>
      <c r="H362" s="45" t="n">
        <v>0.0392857553250227</v>
      </c>
      <c r="I362" s="39" t="n">
        <f aca="false">IF(F362&lt;&gt;0,G362/ABS(F362),"n/a")</f>
        <v>0.0392857553250213</v>
      </c>
      <c r="J362" s="46" t="str">
        <f aca="false">IF(H362="","guard",IF(ABS(H362-I362)&lt;0.000001,"OK","DIFF"))</f>
        <v>OK</v>
      </c>
    </row>
    <row r="363" customFormat="false" ht="15" hidden="false" customHeight="false" outlineLevel="0" collapsed="false">
      <c r="A363" s="23" t="s">
        <v>217</v>
      </c>
      <c r="B363" s="23" t="s">
        <v>224</v>
      </c>
      <c r="C363" s="36" t="n">
        <v>45627</v>
      </c>
      <c r="D363" s="37" t="n">
        <v>865</v>
      </c>
      <c r="E363" s="37" t="n">
        <v>5289122.84309999</v>
      </c>
      <c r="F363" s="37" t="n">
        <v>5256812.9733</v>
      </c>
      <c r="G363" s="38" t="n">
        <f aca="false">E363-F363</f>
        <v>32309.8697999893</v>
      </c>
      <c r="H363" s="45" t="n">
        <v>0.00614628482392386</v>
      </c>
      <c r="I363" s="39" t="n">
        <f aca="false">IF(F363&lt;&gt;0,G363/ABS(F363),"n/a")</f>
        <v>0.00614628482392184</v>
      </c>
      <c r="J363" s="46" t="str">
        <f aca="false">IF(H363="","guard",IF(ABS(H363-I363)&lt;0.000001,"OK","DIFF"))</f>
        <v>OK</v>
      </c>
    </row>
    <row r="364" customFormat="false" ht="15" hidden="false" customHeight="false" outlineLevel="0" collapsed="false">
      <c r="A364" s="23" t="s">
        <v>217</v>
      </c>
      <c r="B364" s="23" t="s">
        <v>224</v>
      </c>
      <c r="C364" s="36" t="n">
        <v>45658</v>
      </c>
      <c r="D364" s="37" t="n">
        <v>865</v>
      </c>
      <c r="E364" s="37" t="n">
        <v>5154197.0705</v>
      </c>
      <c r="F364" s="37" t="n">
        <v>4844453.86239999</v>
      </c>
      <c r="G364" s="38" t="n">
        <f aca="false">E364-F364</f>
        <v>309743.20810001</v>
      </c>
      <c r="H364" s="45" t="n">
        <v>0.0639376938862102</v>
      </c>
      <c r="I364" s="39" t="n">
        <f aca="false">IF(F364&lt;&gt;0,G364/ABS(F364),"n/a")</f>
        <v>0.0639376938862123</v>
      </c>
      <c r="J364" s="46" t="str">
        <f aca="false">IF(H364="","guard",IF(ABS(H364-I364)&lt;0.000001,"OK","DIFF"))</f>
        <v>OK</v>
      </c>
    </row>
    <row r="365" customFormat="false" ht="15" hidden="false" customHeight="false" outlineLevel="0" collapsed="false">
      <c r="A365" s="23" t="s">
        <v>217</v>
      </c>
      <c r="B365" s="23" t="s">
        <v>224</v>
      </c>
      <c r="C365" s="36" t="n">
        <v>45689</v>
      </c>
      <c r="D365" s="37" t="n">
        <v>845</v>
      </c>
      <c r="E365" s="37" t="n">
        <v>5256182.499</v>
      </c>
      <c r="F365" s="37" t="n">
        <v>5780291.6976</v>
      </c>
      <c r="G365" s="38" t="n">
        <f aca="false">E365-F365</f>
        <v>-524109.198599995</v>
      </c>
      <c r="H365" s="45" t="n">
        <v>-0.0906717560322453</v>
      </c>
      <c r="I365" s="39" t="n">
        <f aca="false">IF(F365&lt;&gt;0,G365/ABS(F365),"n/a")</f>
        <v>-0.0906717560322444</v>
      </c>
      <c r="J365" s="46" t="str">
        <f aca="false">IF(H365="","guard",IF(ABS(H365-I365)&lt;0.000001,"OK","DIFF"))</f>
        <v>OK</v>
      </c>
    </row>
    <row r="366" customFormat="false" ht="15" hidden="false" customHeight="false" outlineLevel="0" collapsed="false">
      <c r="A366" s="23" t="s">
        <v>217</v>
      </c>
      <c r="B366" s="23" t="s">
        <v>224</v>
      </c>
      <c r="C366" s="36" t="n">
        <v>45717</v>
      </c>
      <c r="D366" s="37" t="n">
        <v>862</v>
      </c>
      <c r="E366" s="37" t="n">
        <v>5683192.4121</v>
      </c>
      <c r="F366" s="37" t="n">
        <v>5273896.9479</v>
      </c>
      <c r="G366" s="38" t="n">
        <f aca="false">E366-F366</f>
        <v>409295.464199998</v>
      </c>
      <c r="H366" s="45" t="n">
        <v>0.077607785712039</v>
      </c>
      <c r="I366" s="39" t="n">
        <f aca="false">IF(F366&lt;&gt;0,G366/ABS(F366),"n/a")</f>
        <v>0.0776077857120386</v>
      </c>
      <c r="J366" s="46" t="str">
        <f aca="false">IF(H366="","guard",IF(ABS(H366-I366)&lt;0.000001,"OK","DIFF"))</f>
        <v>OK</v>
      </c>
    </row>
    <row r="367" customFormat="false" ht="15" hidden="false" customHeight="false" outlineLevel="0" collapsed="false">
      <c r="A367" s="23" t="s">
        <v>217</v>
      </c>
      <c r="B367" s="23" t="s">
        <v>224</v>
      </c>
      <c r="C367" s="36" t="n">
        <v>45748</v>
      </c>
      <c r="D367" s="37" t="n">
        <v>891</v>
      </c>
      <c r="E367" s="37" t="n">
        <v>6141545.033</v>
      </c>
      <c r="F367" s="37" t="n">
        <v>6174253.9928</v>
      </c>
      <c r="G367" s="38" t="n">
        <f aca="false">E367-F367</f>
        <v>-32708.9597999956</v>
      </c>
      <c r="H367" s="45" t="n">
        <v>-0.00529763755072968</v>
      </c>
      <c r="I367" s="39" t="n">
        <f aca="false">IF(F367&lt;&gt;0,G367/ABS(F367),"n/a")</f>
        <v>-0.00529763755072899</v>
      </c>
      <c r="J367" s="46" t="str">
        <f aca="false">IF(H367="","guard",IF(ABS(H367-I367)&lt;0.000001,"OK","DIFF"))</f>
        <v>OK</v>
      </c>
    </row>
    <row r="368" customFormat="false" ht="15" hidden="false" customHeight="false" outlineLevel="0" collapsed="false">
      <c r="A368" s="23" t="s">
        <v>217</v>
      </c>
      <c r="B368" s="23" t="s">
        <v>224</v>
      </c>
      <c r="C368" s="36" t="n">
        <v>45778</v>
      </c>
      <c r="D368" s="37" t="n">
        <v>828</v>
      </c>
      <c r="E368" s="37" t="n">
        <v>5983350.45920001</v>
      </c>
      <c r="F368" s="37" t="n">
        <v>5586860.97940001</v>
      </c>
      <c r="G368" s="38" t="n">
        <f aca="false">E368-F368</f>
        <v>396489.479800003</v>
      </c>
      <c r="H368" s="45" t="n">
        <v>0.0709682022269651</v>
      </c>
      <c r="I368" s="39" t="n">
        <f aca="false">IF(F368&lt;&gt;0,G368/ABS(F368),"n/a")</f>
        <v>0.0709682022269656</v>
      </c>
      <c r="J368" s="46" t="str">
        <f aca="false">IF(H368="","guard",IF(ABS(H368-I368)&lt;0.000001,"OK","DIFF"))</f>
        <v>OK</v>
      </c>
    </row>
    <row r="369" customFormat="false" ht="15" hidden="false" customHeight="false" outlineLevel="0" collapsed="false">
      <c r="A369" s="23" t="s">
        <v>217</v>
      </c>
      <c r="B369" s="23" t="s">
        <v>224</v>
      </c>
      <c r="C369" s="36" t="n">
        <v>45809</v>
      </c>
      <c r="D369" s="37" t="n">
        <v>877</v>
      </c>
      <c r="E369" s="37" t="n">
        <v>6801889.8029</v>
      </c>
      <c r="F369" s="37" t="n">
        <v>7069071.9686</v>
      </c>
      <c r="G369" s="38" t="n">
        <f aca="false">E369-F369</f>
        <v>-267182.165699995</v>
      </c>
      <c r="H369" s="45" t="n">
        <v>-0.0377959323213559</v>
      </c>
      <c r="I369" s="39" t="n">
        <f aca="false">IF(F369&lt;&gt;0,G369/ABS(F369),"n/a")</f>
        <v>-0.0377959323213553</v>
      </c>
      <c r="J369" s="46" t="str">
        <f aca="false">IF(H369="","guard",IF(ABS(H369-I369)&lt;0.000001,"OK","DIFF"))</f>
        <v>OK</v>
      </c>
    </row>
    <row r="370" customFormat="false" ht="15" hidden="false" customHeight="false" outlineLevel="0" collapsed="false">
      <c r="A370" s="23" t="s">
        <v>217</v>
      </c>
      <c r="B370" s="23" t="s">
        <v>224</v>
      </c>
      <c r="C370" s="36" t="n">
        <v>45839</v>
      </c>
      <c r="D370" s="37" t="n">
        <v>847</v>
      </c>
      <c r="E370" s="37" t="n">
        <v>6547421.1505</v>
      </c>
      <c r="F370" s="37" t="n">
        <v>6602719.992</v>
      </c>
      <c r="G370" s="38" t="n">
        <f aca="false">E370-F370</f>
        <v>-55298.8414999945</v>
      </c>
      <c r="H370" s="45" t="n">
        <v>-0.00837516077722534</v>
      </c>
      <c r="I370" s="39" t="n">
        <f aca="false">IF(F370&lt;&gt;0,G370/ABS(F370),"n/a")</f>
        <v>-0.00837516077722451</v>
      </c>
      <c r="J370" s="46" t="str">
        <f aca="false">IF(H370="","guard",IF(ABS(H370-I370)&lt;0.000001,"OK","DIFF"))</f>
        <v>OK</v>
      </c>
    </row>
    <row r="371" customFormat="false" ht="15" hidden="false" customHeight="false" outlineLevel="0" collapsed="false">
      <c r="A371" s="23" t="s">
        <v>217</v>
      </c>
      <c r="B371" s="23" t="s">
        <v>224</v>
      </c>
      <c r="C371" s="36" t="n">
        <v>45870</v>
      </c>
      <c r="D371" s="37" t="n">
        <v>830</v>
      </c>
      <c r="E371" s="37" t="n">
        <v>5289232.2459</v>
      </c>
      <c r="F371" s="37" t="n">
        <v>5574091.3131</v>
      </c>
      <c r="G371" s="38" t="n">
        <f aca="false">E371-F371</f>
        <v>-284859.067200008</v>
      </c>
      <c r="H371" s="45" t="n">
        <v>-0.0511041264305333</v>
      </c>
      <c r="I371" s="39" t="n">
        <f aca="false">IF(F371&lt;&gt;0,G371/ABS(F371),"n/a")</f>
        <v>-0.0511041264305347</v>
      </c>
      <c r="J371" s="46" t="str">
        <f aca="false">IF(H371="","guard",IF(ABS(H371-I371)&lt;0.000001,"OK","DIFF"))</f>
        <v>OK</v>
      </c>
    </row>
    <row r="372" customFormat="false" ht="15" hidden="false" customHeight="false" outlineLevel="0" collapsed="false">
      <c r="A372" s="23" t="s">
        <v>217</v>
      </c>
      <c r="B372" s="23" t="s">
        <v>224</v>
      </c>
      <c r="C372" s="36" t="n">
        <v>45901</v>
      </c>
      <c r="D372" s="37" t="n">
        <v>847</v>
      </c>
      <c r="E372" s="37" t="n">
        <v>5142640.4068</v>
      </c>
      <c r="F372" s="37" t="n">
        <v>5205021.8198</v>
      </c>
      <c r="G372" s="38" t="n">
        <f aca="false">E372-F372</f>
        <v>-62381.4130000053</v>
      </c>
      <c r="H372" s="45" t="n">
        <v>-0.011984851391535</v>
      </c>
      <c r="I372" s="39" t="n">
        <f aca="false">IF(F372&lt;&gt;0,G372/ABS(F372),"n/a")</f>
        <v>-0.011984851391536</v>
      </c>
      <c r="J372" s="46" t="str">
        <f aca="false">IF(H372="","guard",IF(ABS(H372-I372)&lt;0.000001,"OK","DIFF"))</f>
        <v>OK</v>
      </c>
    </row>
    <row r="373" customFormat="false" ht="15" hidden="false" customHeight="false" outlineLevel="0" collapsed="false">
      <c r="A373" s="23" t="s">
        <v>217</v>
      </c>
      <c r="B373" s="23" t="s">
        <v>224</v>
      </c>
      <c r="C373" s="36" t="n">
        <v>45931</v>
      </c>
      <c r="D373" s="37" t="n">
        <v>862</v>
      </c>
      <c r="E373" s="37" t="n">
        <v>5375955.769</v>
      </c>
      <c r="F373" s="37" t="n">
        <v>5690155.41419999</v>
      </c>
      <c r="G373" s="38" t="n">
        <f aca="false">E373-F373</f>
        <v>-314199.645199993</v>
      </c>
      <c r="H373" s="45" t="n">
        <v>-0.0552181130968591</v>
      </c>
      <c r="I373" s="39" t="n">
        <f aca="false">IF(F373&lt;&gt;0,G373/ABS(F373),"n/a")</f>
        <v>-0.0552181130968577</v>
      </c>
      <c r="J373" s="46" t="str">
        <f aca="false">IF(H373="","guard",IF(ABS(H373-I373)&lt;0.000001,"OK","DIFF"))</f>
        <v>OK</v>
      </c>
    </row>
    <row r="374" customFormat="false" ht="15" hidden="false" customHeight="false" outlineLevel="0" collapsed="false">
      <c r="A374" s="23" t="s">
        <v>217</v>
      </c>
      <c r="B374" s="23" t="s">
        <v>224</v>
      </c>
      <c r="C374" s="36" t="n">
        <v>45962</v>
      </c>
      <c r="D374" s="37" t="n">
        <v>835</v>
      </c>
      <c r="E374" s="37" t="n">
        <v>4824850.31619999</v>
      </c>
      <c r="F374" s="37" t="n">
        <v>5628820.25639999</v>
      </c>
      <c r="G374" s="38" t="n">
        <f aca="false">E374-F374</f>
        <v>-803969.940199998</v>
      </c>
      <c r="H374" s="45" t="n">
        <v>-0.142830984749581</v>
      </c>
      <c r="I374" s="39" t="n">
        <f aca="false">IF(F374&lt;&gt;0,G374/ABS(F374),"n/a")</f>
        <v>-0.142830984749581</v>
      </c>
      <c r="J374" s="46" t="str">
        <f aca="false">IF(H374="","guard",IF(ABS(H374-I374)&lt;0.000001,"OK","DIFF"))</f>
        <v>OK</v>
      </c>
    </row>
    <row r="375" customFormat="false" ht="15" hidden="false" customHeight="false" outlineLevel="0" collapsed="false">
      <c r="A375" s="23" t="s">
        <v>217</v>
      </c>
      <c r="B375" s="23" t="s">
        <v>224</v>
      </c>
      <c r="C375" s="36" t="n">
        <v>45992</v>
      </c>
      <c r="D375" s="37" t="n">
        <v>874</v>
      </c>
      <c r="E375" s="37" t="n">
        <v>4881510.7997</v>
      </c>
      <c r="F375" s="37" t="n">
        <v>4810685.9372</v>
      </c>
      <c r="G375" s="38" t="n">
        <f aca="false">E375-F375</f>
        <v>70824.8625000008</v>
      </c>
      <c r="H375" s="45" t="n">
        <v>0.0147224041279283</v>
      </c>
      <c r="I375" s="39" t="n">
        <f aca="false">IF(F375&lt;&gt;0,G375/ABS(F375),"n/a")</f>
        <v>0.0147224041279285</v>
      </c>
      <c r="J375" s="46" t="str">
        <f aca="false">IF(H375="","guard",IF(ABS(H375-I375)&lt;0.000001,"OK","DIFF"))</f>
        <v>OK</v>
      </c>
    </row>
    <row r="376" customFormat="false" ht="15" hidden="false" customHeight="false" outlineLevel="0" collapsed="false">
      <c r="A376" s="23" t="s">
        <v>217</v>
      </c>
      <c r="B376" s="23" t="s">
        <v>172</v>
      </c>
      <c r="C376" s="36" t="n">
        <v>44927</v>
      </c>
      <c r="D376" s="37" t="n">
        <v>329</v>
      </c>
      <c r="E376" s="37" t="n">
        <v>2030271.4565</v>
      </c>
      <c r="F376" s="37" t="n">
        <v>1990798.9034</v>
      </c>
      <c r="G376" s="38" t="n">
        <f aca="false">E376-F376</f>
        <v>39472.553099999</v>
      </c>
      <c r="H376" s="45" t="n">
        <v>0.0198274938933242</v>
      </c>
      <c r="I376" s="39" t="n">
        <f aca="false">IF(F376&lt;&gt;0,G376/ABS(F376),"n/a")</f>
        <v>0.0198274938933237</v>
      </c>
      <c r="J376" s="46" t="str">
        <f aca="false">IF(H376="","guard",IF(ABS(H376-I376)&lt;0.000001,"OK","DIFF"))</f>
        <v>OK</v>
      </c>
    </row>
    <row r="377" customFormat="false" ht="15" hidden="false" customHeight="false" outlineLevel="0" collapsed="false">
      <c r="A377" s="23" t="s">
        <v>217</v>
      </c>
      <c r="B377" s="23" t="s">
        <v>172</v>
      </c>
      <c r="C377" s="36" t="n">
        <v>44958</v>
      </c>
      <c r="D377" s="37" t="n">
        <v>292</v>
      </c>
      <c r="E377" s="37" t="n">
        <v>2095173.2867</v>
      </c>
      <c r="F377" s="37" t="n">
        <v>2046521.5239</v>
      </c>
      <c r="G377" s="38" t="n">
        <f aca="false">E377-F377</f>
        <v>48651.7628000001</v>
      </c>
      <c r="H377" s="45" t="n">
        <v>0.0237729055042068</v>
      </c>
      <c r="I377" s="39" t="n">
        <f aca="false">IF(F377&lt;&gt;0,G377/ABS(F377),"n/a")</f>
        <v>0.0237729055042069</v>
      </c>
      <c r="J377" s="46" t="str">
        <f aca="false">IF(H377="","guard",IF(ABS(H377-I377)&lt;0.000001,"OK","DIFF"))</f>
        <v>OK</v>
      </c>
    </row>
    <row r="378" customFormat="false" ht="15" hidden="false" customHeight="false" outlineLevel="0" collapsed="false">
      <c r="A378" s="23" t="s">
        <v>217</v>
      </c>
      <c r="B378" s="23" t="s">
        <v>172</v>
      </c>
      <c r="C378" s="36" t="n">
        <v>44986</v>
      </c>
      <c r="D378" s="37" t="n">
        <v>286</v>
      </c>
      <c r="E378" s="37" t="n">
        <v>2148619.0627</v>
      </c>
      <c r="F378" s="37" t="n">
        <v>2004313.9101</v>
      </c>
      <c r="G378" s="38" t="n">
        <f aca="false">E378-F378</f>
        <v>144305.152600001</v>
      </c>
      <c r="H378" s="45" t="n">
        <v>0.0719972814002974</v>
      </c>
      <c r="I378" s="39" t="n">
        <f aca="false">IF(F378&lt;&gt;0,G378/ABS(F378),"n/a")</f>
        <v>0.071997281400298</v>
      </c>
      <c r="J378" s="46" t="str">
        <f aca="false">IF(H378="","guard",IF(ABS(H378-I378)&lt;0.000001,"OK","DIFF"))</f>
        <v>OK</v>
      </c>
    </row>
    <row r="379" customFormat="false" ht="15" hidden="false" customHeight="false" outlineLevel="0" collapsed="false">
      <c r="A379" s="23" t="s">
        <v>217</v>
      </c>
      <c r="B379" s="23" t="s">
        <v>172</v>
      </c>
      <c r="C379" s="36" t="n">
        <v>45017</v>
      </c>
      <c r="D379" s="37" t="n">
        <v>329</v>
      </c>
      <c r="E379" s="37" t="n">
        <v>2374072.9004</v>
      </c>
      <c r="F379" s="37" t="n">
        <v>2000692.2444</v>
      </c>
      <c r="G379" s="38" t="n">
        <f aca="false">E379-F379</f>
        <v>373380.655999998</v>
      </c>
      <c r="H379" s="45" t="n">
        <v>0.186625732690824</v>
      </c>
      <c r="I379" s="39" t="n">
        <f aca="false">IF(F379&lt;&gt;0,G379/ABS(F379),"n/a")</f>
        <v>0.186625732690824</v>
      </c>
      <c r="J379" s="46" t="str">
        <f aca="false">IF(H379="","guard",IF(ABS(H379-I379)&lt;0.000001,"OK","DIFF"))</f>
        <v>OK</v>
      </c>
    </row>
    <row r="380" customFormat="false" ht="15" hidden="false" customHeight="false" outlineLevel="0" collapsed="false">
      <c r="A380" s="23" t="s">
        <v>217</v>
      </c>
      <c r="B380" s="23" t="s">
        <v>172</v>
      </c>
      <c r="C380" s="36" t="n">
        <v>45047</v>
      </c>
      <c r="D380" s="37" t="n">
        <v>366</v>
      </c>
      <c r="E380" s="37" t="n">
        <v>2695394.5764</v>
      </c>
      <c r="F380" s="37" t="n">
        <v>2417525.7617</v>
      </c>
      <c r="G380" s="38" t="n">
        <f aca="false">E380-F380</f>
        <v>277868.8147</v>
      </c>
      <c r="H380" s="45" t="n">
        <v>0.1149393396762</v>
      </c>
      <c r="I380" s="39" t="n">
        <f aca="false">IF(F380&lt;&gt;0,G380/ABS(F380),"n/a")</f>
        <v>0.1149393396762</v>
      </c>
      <c r="J380" s="46" t="str">
        <f aca="false">IF(H380="","guard",IF(ABS(H380-I380)&lt;0.000001,"OK","DIFF"))</f>
        <v>OK</v>
      </c>
    </row>
    <row r="381" customFormat="false" ht="15" hidden="false" customHeight="false" outlineLevel="0" collapsed="false">
      <c r="A381" s="23" t="s">
        <v>217</v>
      </c>
      <c r="B381" s="23" t="s">
        <v>172</v>
      </c>
      <c r="C381" s="36" t="n">
        <v>45078</v>
      </c>
      <c r="D381" s="37" t="n">
        <v>325</v>
      </c>
      <c r="E381" s="37" t="n">
        <v>2345473.273</v>
      </c>
      <c r="F381" s="37" t="n">
        <v>2087025.9552</v>
      </c>
      <c r="G381" s="38" t="n">
        <f aca="false">E381-F381</f>
        <v>258447.317799999</v>
      </c>
      <c r="H381" s="45" t="n">
        <v>0.123835219756638</v>
      </c>
      <c r="I381" s="39" t="n">
        <f aca="false">IF(F381&lt;&gt;0,G381/ABS(F381),"n/a")</f>
        <v>0.123835219756638</v>
      </c>
      <c r="J381" s="46" t="str">
        <f aca="false">IF(H381="","guard",IF(ABS(H381-I381)&lt;0.000001,"OK","DIFF"))</f>
        <v>OK</v>
      </c>
    </row>
    <row r="382" customFormat="false" ht="15" hidden="false" customHeight="false" outlineLevel="0" collapsed="false">
      <c r="A382" s="23" t="s">
        <v>217</v>
      </c>
      <c r="B382" s="23" t="s">
        <v>172</v>
      </c>
      <c r="C382" s="36" t="n">
        <v>45108</v>
      </c>
      <c r="D382" s="37" t="n">
        <v>344</v>
      </c>
      <c r="E382" s="37" t="n">
        <v>2414872.1844</v>
      </c>
      <c r="F382" s="37" t="n">
        <v>2288454.0209</v>
      </c>
      <c r="G382" s="38" t="n">
        <f aca="false">E382-F382</f>
        <v>126418.163500002</v>
      </c>
      <c r="H382" s="45" t="n">
        <v>0.0552417319052286</v>
      </c>
      <c r="I382" s="39" t="n">
        <f aca="false">IF(F382&lt;&gt;0,G382/ABS(F382),"n/a")</f>
        <v>0.0552417319052295</v>
      </c>
      <c r="J382" s="46" t="str">
        <f aca="false">IF(H382="","guard",IF(ABS(H382-I382)&lt;0.000001,"OK","DIFF"))</f>
        <v>OK</v>
      </c>
    </row>
    <row r="383" customFormat="false" ht="15" hidden="false" customHeight="false" outlineLevel="0" collapsed="false">
      <c r="A383" s="23" t="s">
        <v>217</v>
      </c>
      <c r="B383" s="23" t="s">
        <v>172</v>
      </c>
      <c r="C383" s="36" t="n">
        <v>45139</v>
      </c>
      <c r="D383" s="37" t="n">
        <v>345</v>
      </c>
      <c r="E383" s="37" t="n">
        <v>2513073.1667</v>
      </c>
      <c r="F383" s="37" t="n">
        <v>2343163.6646</v>
      </c>
      <c r="G383" s="38" t="n">
        <f aca="false">E383-F383</f>
        <v>169909.502099999</v>
      </c>
      <c r="H383" s="45" t="n">
        <v>0.0725128614219123</v>
      </c>
      <c r="I383" s="39" t="n">
        <f aca="false">IF(F383&lt;&gt;0,G383/ABS(F383),"n/a")</f>
        <v>0.072512861421912</v>
      </c>
      <c r="J383" s="46" t="str">
        <f aca="false">IF(H383="","guard",IF(ABS(H383-I383)&lt;0.000001,"OK","DIFF"))</f>
        <v>OK</v>
      </c>
    </row>
    <row r="384" customFormat="false" ht="15" hidden="false" customHeight="false" outlineLevel="0" collapsed="false">
      <c r="A384" s="23" t="s">
        <v>217</v>
      </c>
      <c r="B384" s="23" t="s">
        <v>172</v>
      </c>
      <c r="C384" s="36" t="n">
        <v>45170</v>
      </c>
      <c r="D384" s="37" t="n">
        <v>314</v>
      </c>
      <c r="E384" s="37" t="n">
        <v>1984745.1931</v>
      </c>
      <c r="F384" s="37" t="n">
        <v>2170093.3748</v>
      </c>
      <c r="G384" s="38" t="n">
        <f aca="false">E384-F384</f>
        <v>-185348.1817</v>
      </c>
      <c r="H384" s="45" t="n">
        <v>-0.085410233426975</v>
      </c>
      <c r="I384" s="39" t="n">
        <f aca="false">IF(F384&lt;&gt;0,G384/ABS(F384),"n/a")</f>
        <v>-0.0854102334269752</v>
      </c>
      <c r="J384" s="46" t="str">
        <f aca="false">IF(H384="","guard",IF(ABS(H384-I384)&lt;0.000001,"OK","DIFF"))</f>
        <v>OK</v>
      </c>
    </row>
    <row r="385" customFormat="false" ht="15" hidden="false" customHeight="false" outlineLevel="0" collapsed="false">
      <c r="A385" s="23" t="s">
        <v>217</v>
      </c>
      <c r="B385" s="23" t="s">
        <v>172</v>
      </c>
      <c r="C385" s="36" t="n">
        <v>45200</v>
      </c>
      <c r="D385" s="37" t="n">
        <v>334</v>
      </c>
      <c r="E385" s="37" t="n">
        <v>2042129.8416</v>
      </c>
      <c r="F385" s="37" t="n">
        <v>1642309.3311</v>
      </c>
      <c r="G385" s="38" t="n">
        <f aca="false">E385-F385</f>
        <v>399820.510499998</v>
      </c>
      <c r="H385" s="45" t="n">
        <v>0.243450185010034</v>
      </c>
      <c r="I385" s="39" t="n">
        <f aca="false">IF(F385&lt;&gt;0,G385/ABS(F385),"n/a")</f>
        <v>0.243450185010032</v>
      </c>
      <c r="J385" s="46" t="str">
        <f aca="false">IF(H385="","guard",IF(ABS(H385-I385)&lt;0.000001,"OK","DIFF"))</f>
        <v>OK</v>
      </c>
    </row>
    <row r="386" customFormat="false" ht="15" hidden="false" customHeight="false" outlineLevel="0" collapsed="false">
      <c r="A386" s="23" t="s">
        <v>217</v>
      </c>
      <c r="B386" s="23" t="s">
        <v>172</v>
      </c>
      <c r="C386" s="36" t="n">
        <v>45231</v>
      </c>
      <c r="D386" s="37" t="n">
        <v>332</v>
      </c>
      <c r="E386" s="37" t="n">
        <v>2269864.5883</v>
      </c>
      <c r="F386" s="37" t="n">
        <v>2157868.8679</v>
      </c>
      <c r="G386" s="38" t="n">
        <f aca="false">E386-F386</f>
        <v>111995.720400002</v>
      </c>
      <c r="H386" s="45" t="n">
        <v>0.0519010779876501</v>
      </c>
      <c r="I386" s="39" t="n">
        <f aca="false">IF(F386&lt;&gt;0,G386/ABS(F386),"n/a")</f>
        <v>0.0519010779876511</v>
      </c>
      <c r="J386" s="46" t="str">
        <f aca="false">IF(H386="","guard",IF(ABS(H386-I386)&lt;0.000001,"OK","DIFF"))</f>
        <v>OK</v>
      </c>
    </row>
    <row r="387" customFormat="false" ht="15" hidden="false" customHeight="false" outlineLevel="0" collapsed="false">
      <c r="A387" s="23" t="s">
        <v>217</v>
      </c>
      <c r="B387" s="23" t="s">
        <v>172</v>
      </c>
      <c r="C387" s="36" t="n">
        <v>45261</v>
      </c>
      <c r="D387" s="37" t="n">
        <v>318</v>
      </c>
      <c r="E387" s="37" t="n">
        <v>2418349.7172</v>
      </c>
      <c r="F387" s="37" t="n">
        <v>2507004.339</v>
      </c>
      <c r="G387" s="38" t="n">
        <f aca="false">E387-F387</f>
        <v>-88654.6217999975</v>
      </c>
      <c r="H387" s="45" t="n">
        <v>-0.0353627715839387</v>
      </c>
      <c r="I387" s="39" t="n">
        <f aca="false">IF(F387&lt;&gt;0,G387/ABS(F387),"n/a")</f>
        <v>-0.0353627715839376</v>
      </c>
      <c r="J387" s="46" t="str">
        <f aca="false">IF(H387="","guard",IF(ABS(H387-I387)&lt;0.000001,"OK","DIFF"))</f>
        <v>OK</v>
      </c>
    </row>
    <row r="388" customFormat="false" ht="15" hidden="false" customHeight="false" outlineLevel="0" collapsed="false">
      <c r="A388" s="23" t="s">
        <v>217</v>
      </c>
      <c r="B388" s="23" t="s">
        <v>172</v>
      </c>
      <c r="C388" s="36" t="n">
        <v>45292</v>
      </c>
      <c r="D388" s="37" t="n">
        <v>313</v>
      </c>
      <c r="E388" s="37" t="n">
        <v>1611179.2533</v>
      </c>
      <c r="F388" s="37" t="n">
        <v>1721401.612</v>
      </c>
      <c r="G388" s="38" t="n">
        <f aca="false">E388-F388</f>
        <v>-110222.358699999</v>
      </c>
      <c r="H388" s="45" t="n">
        <v>-0.0640305887549036</v>
      </c>
      <c r="I388" s="39" t="n">
        <f aca="false">IF(F388&lt;&gt;0,G388/ABS(F388),"n/a")</f>
        <v>-0.0640305887549029</v>
      </c>
      <c r="J388" s="46" t="str">
        <f aca="false">IF(H388="","guard",IF(ABS(H388-I388)&lt;0.000001,"OK","DIFF"))</f>
        <v>OK</v>
      </c>
    </row>
    <row r="389" customFormat="false" ht="15" hidden="false" customHeight="false" outlineLevel="0" collapsed="false">
      <c r="A389" s="23" t="s">
        <v>217</v>
      </c>
      <c r="B389" s="23" t="s">
        <v>172</v>
      </c>
      <c r="C389" s="36" t="n">
        <v>45323</v>
      </c>
      <c r="D389" s="37" t="n">
        <v>329</v>
      </c>
      <c r="E389" s="37" t="n">
        <v>2328495.4791</v>
      </c>
      <c r="F389" s="37" t="n">
        <v>2648155.7768</v>
      </c>
      <c r="G389" s="38" t="n">
        <f aca="false">E389-F389</f>
        <v>-319660.297699997</v>
      </c>
      <c r="H389" s="45" t="n">
        <v>-0.120710533912123</v>
      </c>
      <c r="I389" s="39" t="n">
        <f aca="false">IF(F389&lt;&gt;0,G389/ABS(F389),"n/a")</f>
        <v>-0.120710533912122</v>
      </c>
      <c r="J389" s="46" t="str">
        <f aca="false">IF(H389="","guard",IF(ABS(H389-I389)&lt;0.000001,"OK","DIFF"))</f>
        <v>OK</v>
      </c>
    </row>
    <row r="390" customFormat="false" ht="15" hidden="false" customHeight="false" outlineLevel="0" collapsed="false">
      <c r="A390" s="23" t="s">
        <v>217</v>
      </c>
      <c r="B390" s="23" t="s">
        <v>172</v>
      </c>
      <c r="C390" s="36" t="n">
        <v>45352</v>
      </c>
      <c r="D390" s="37" t="n">
        <v>319</v>
      </c>
      <c r="E390" s="37" t="n">
        <v>2297368.5404</v>
      </c>
      <c r="F390" s="37" t="n">
        <v>2444185.1773</v>
      </c>
      <c r="G390" s="38" t="n">
        <f aca="false">E390-F390</f>
        <v>-146816.636900001</v>
      </c>
      <c r="H390" s="45" t="n">
        <v>-0.0600677224719049</v>
      </c>
      <c r="I390" s="39" t="n">
        <f aca="false">IF(F390&lt;&gt;0,G390/ABS(F390),"n/a")</f>
        <v>-0.0600677224719054</v>
      </c>
      <c r="J390" s="46" t="str">
        <f aca="false">IF(H390="","guard",IF(ABS(H390-I390)&lt;0.000001,"OK","DIFF"))</f>
        <v>OK</v>
      </c>
    </row>
    <row r="391" customFormat="false" ht="15" hidden="false" customHeight="false" outlineLevel="0" collapsed="false">
      <c r="A391" s="23" t="s">
        <v>217</v>
      </c>
      <c r="B391" s="23" t="s">
        <v>172</v>
      </c>
      <c r="C391" s="36" t="n">
        <v>45383</v>
      </c>
      <c r="D391" s="37" t="n">
        <v>344</v>
      </c>
      <c r="E391" s="37" t="n">
        <v>2838741.2211</v>
      </c>
      <c r="F391" s="37" t="n">
        <v>2504416.0276</v>
      </c>
      <c r="G391" s="38" t="n">
        <f aca="false">E391-F391</f>
        <v>334325.193499999</v>
      </c>
      <c r="H391" s="45" t="n">
        <v>0.13349427164479</v>
      </c>
      <c r="I391" s="39" t="n">
        <f aca="false">IF(F391&lt;&gt;0,G391/ABS(F391),"n/a")</f>
        <v>0.13349427164479</v>
      </c>
      <c r="J391" s="46" t="str">
        <f aca="false">IF(H391="","guard",IF(ABS(H391-I391)&lt;0.000001,"OK","DIFF"))</f>
        <v>OK</v>
      </c>
    </row>
    <row r="392" customFormat="false" ht="15" hidden="false" customHeight="false" outlineLevel="0" collapsed="false">
      <c r="A392" s="23" t="s">
        <v>217</v>
      </c>
      <c r="B392" s="23" t="s">
        <v>172</v>
      </c>
      <c r="C392" s="36" t="n">
        <v>45413</v>
      </c>
      <c r="D392" s="37" t="n">
        <v>325</v>
      </c>
      <c r="E392" s="37" t="n">
        <v>3036170.1143</v>
      </c>
      <c r="F392" s="37" t="n">
        <v>2767209.5386</v>
      </c>
      <c r="G392" s="38" t="n">
        <f aca="false">E392-F392</f>
        <v>268960.5757</v>
      </c>
      <c r="H392" s="45" t="n">
        <v>0.0971955943155912</v>
      </c>
      <c r="I392" s="39" t="n">
        <f aca="false">IF(F392&lt;&gt;0,G392/ABS(F392),"n/a")</f>
        <v>0.0971955943155912</v>
      </c>
      <c r="J392" s="46" t="str">
        <f aca="false">IF(H392="","guard",IF(ABS(H392-I392)&lt;0.000001,"OK","DIFF"))</f>
        <v>OK</v>
      </c>
    </row>
    <row r="393" customFormat="false" ht="15" hidden="false" customHeight="false" outlineLevel="0" collapsed="false">
      <c r="A393" s="23" t="s">
        <v>217</v>
      </c>
      <c r="B393" s="23" t="s">
        <v>172</v>
      </c>
      <c r="C393" s="36" t="n">
        <v>45444</v>
      </c>
      <c r="D393" s="37" t="n">
        <v>297</v>
      </c>
      <c r="E393" s="37" t="n">
        <v>2897659.5837</v>
      </c>
      <c r="F393" s="37" t="n">
        <v>2458498.9275</v>
      </c>
      <c r="G393" s="38" t="n">
        <f aca="false">E393-F393</f>
        <v>439160.656200003</v>
      </c>
      <c r="H393" s="45" t="n">
        <v>0.178629590311261</v>
      </c>
      <c r="I393" s="39" t="n">
        <f aca="false">IF(F393&lt;&gt;0,G393/ABS(F393),"n/a")</f>
        <v>0.178629590311263</v>
      </c>
      <c r="J393" s="46" t="str">
        <f aca="false">IF(H393="","guard",IF(ABS(H393-I393)&lt;0.000001,"OK","DIFF"))</f>
        <v>OK</v>
      </c>
    </row>
    <row r="394" customFormat="false" ht="15" hidden="false" customHeight="false" outlineLevel="0" collapsed="false">
      <c r="A394" s="23" t="s">
        <v>217</v>
      </c>
      <c r="B394" s="23" t="s">
        <v>172</v>
      </c>
      <c r="C394" s="36" t="n">
        <v>45474</v>
      </c>
      <c r="D394" s="37" t="n">
        <v>315</v>
      </c>
      <c r="E394" s="37" t="n">
        <v>2311912.8788</v>
      </c>
      <c r="F394" s="37" t="n">
        <v>2483437.2978</v>
      </c>
      <c r="G394" s="38" t="n">
        <f aca="false">E394-F394</f>
        <v>-171524.419</v>
      </c>
      <c r="H394" s="45" t="n">
        <v>-0.0690673443424355</v>
      </c>
      <c r="I394" s="39" t="n">
        <f aca="false">IF(F394&lt;&gt;0,G394/ABS(F394),"n/a")</f>
        <v>-0.0690673443424354</v>
      </c>
      <c r="J394" s="46" t="str">
        <f aca="false">IF(H394="","guard",IF(ABS(H394-I394)&lt;0.000001,"OK","DIFF"))</f>
        <v>OK</v>
      </c>
    </row>
    <row r="395" customFormat="false" ht="15" hidden="false" customHeight="false" outlineLevel="0" collapsed="false">
      <c r="A395" s="23" t="s">
        <v>217</v>
      </c>
      <c r="B395" s="23" t="s">
        <v>172</v>
      </c>
      <c r="C395" s="36" t="n">
        <v>45505</v>
      </c>
      <c r="D395" s="37" t="n">
        <v>327</v>
      </c>
      <c r="E395" s="37" t="n">
        <v>2407756.2491</v>
      </c>
      <c r="F395" s="37" t="n">
        <v>1989856.931</v>
      </c>
      <c r="G395" s="38" t="n">
        <f aca="false">E395-F395</f>
        <v>417899.3181</v>
      </c>
      <c r="H395" s="45" t="n">
        <v>0.210014756131229</v>
      </c>
      <c r="I395" s="39" t="n">
        <f aca="false">IF(F395&lt;&gt;0,G395/ABS(F395),"n/a")</f>
        <v>0.210014756131229</v>
      </c>
      <c r="J395" s="46" t="str">
        <f aca="false">IF(H395="","guard",IF(ABS(H395-I395)&lt;0.000001,"OK","DIFF"))</f>
        <v>OK</v>
      </c>
    </row>
    <row r="396" customFormat="false" ht="15" hidden="false" customHeight="false" outlineLevel="0" collapsed="false">
      <c r="A396" s="23" t="s">
        <v>217</v>
      </c>
      <c r="B396" s="23" t="s">
        <v>172</v>
      </c>
      <c r="C396" s="36" t="n">
        <v>45536</v>
      </c>
      <c r="D396" s="37" t="n">
        <v>311</v>
      </c>
      <c r="E396" s="37" t="n">
        <v>2464197.5877</v>
      </c>
      <c r="F396" s="37" t="n">
        <v>2402621.0312</v>
      </c>
      <c r="G396" s="38" t="n">
        <f aca="false">E396-F396</f>
        <v>61576.5565000009</v>
      </c>
      <c r="H396" s="45" t="n">
        <v>0.0256289093037886</v>
      </c>
      <c r="I396" s="39" t="n">
        <f aca="false">IF(F396&lt;&gt;0,G396/ABS(F396),"n/a")</f>
        <v>0.025628909303789</v>
      </c>
      <c r="J396" s="46" t="str">
        <f aca="false">IF(H396="","guard",IF(ABS(H396-I396)&lt;0.000001,"OK","DIFF"))</f>
        <v>OK</v>
      </c>
    </row>
    <row r="397" customFormat="false" ht="15" hidden="false" customHeight="false" outlineLevel="0" collapsed="false">
      <c r="A397" s="23" t="s">
        <v>217</v>
      </c>
      <c r="B397" s="23" t="s">
        <v>172</v>
      </c>
      <c r="C397" s="36" t="n">
        <v>45566</v>
      </c>
      <c r="D397" s="37" t="n">
        <v>304</v>
      </c>
      <c r="E397" s="37" t="n">
        <v>2213957.6801</v>
      </c>
      <c r="F397" s="37" t="n">
        <v>2414548.8274</v>
      </c>
      <c r="G397" s="38" t="n">
        <f aca="false">E397-F397</f>
        <v>-200591.147299998</v>
      </c>
      <c r="H397" s="45" t="n">
        <v>-0.083076036824651</v>
      </c>
      <c r="I397" s="39" t="n">
        <f aca="false">IF(F397&lt;&gt;0,G397/ABS(F397),"n/a")</f>
        <v>-0.0830760368246499</v>
      </c>
      <c r="J397" s="46" t="str">
        <f aca="false">IF(H397="","guard",IF(ABS(H397-I397)&lt;0.000001,"OK","DIFF"))</f>
        <v>OK</v>
      </c>
    </row>
    <row r="398" customFormat="false" ht="15" hidden="false" customHeight="false" outlineLevel="0" collapsed="false">
      <c r="A398" s="23" t="s">
        <v>217</v>
      </c>
      <c r="B398" s="23" t="s">
        <v>172</v>
      </c>
      <c r="C398" s="36" t="n">
        <v>45597</v>
      </c>
      <c r="D398" s="37" t="n">
        <v>311</v>
      </c>
      <c r="E398" s="37" t="n">
        <v>2311002.2594</v>
      </c>
      <c r="F398" s="37" t="n">
        <v>2053249.9638</v>
      </c>
      <c r="G398" s="38" t="n">
        <f aca="false">E398-F398</f>
        <v>257752.295599999</v>
      </c>
      <c r="H398" s="45" t="n">
        <v>0.125533812319164</v>
      </c>
      <c r="I398" s="39" t="n">
        <f aca="false">IF(F398&lt;&gt;0,G398/ABS(F398),"n/a")</f>
        <v>0.125533812319164</v>
      </c>
      <c r="J398" s="46" t="str">
        <f aca="false">IF(H398="","guard",IF(ABS(H398-I398)&lt;0.000001,"OK","DIFF"))</f>
        <v>OK</v>
      </c>
    </row>
    <row r="399" customFormat="false" ht="15" hidden="false" customHeight="false" outlineLevel="0" collapsed="false">
      <c r="A399" s="23" t="s">
        <v>217</v>
      </c>
      <c r="B399" s="23" t="s">
        <v>172</v>
      </c>
      <c r="C399" s="36" t="n">
        <v>45627</v>
      </c>
      <c r="D399" s="37" t="n">
        <v>309</v>
      </c>
      <c r="E399" s="37" t="n">
        <v>1934473.4977</v>
      </c>
      <c r="F399" s="37" t="n">
        <v>2049020.615</v>
      </c>
      <c r="G399" s="38" t="n">
        <f aca="false">E399-F399</f>
        <v>-114547.1173</v>
      </c>
      <c r="H399" s="45" t="n">
        <v>-0.0559033503428173</v>
      </c>
      <c r="I399" s="39" t="n">
        <f aca="false">IF(F399&lt;&gt;0,G399/ABS(F399),"n/a")</f>
        <v>-0.0559033503428173</v>
      </c>
      <c r="J399" s="46" t="str">
        <f aca="false">IF(H399="","guard",IF(ABS(H399-I399)&lt;0.000001,"OK","DIFF"))</f>
        <v>OK</v>
      </c>
    </row>
    <row r="400" customFormat="false" ht="15" hidden="false" customHeight="false" outlineLevel="0" collapsed="false">
      <c r="A400" s="23" t="s">
        <v>217</v>
      </c>
      <c r="B400" s="23" t="s">
        <v>172</v>
      </c>
      <c r="C400" s="36" t="n">
        <v>45658</v>
      </c>
      <c r="D400" s="37" t="n">
        <v>317</v>
      </c>
      <c r="E400" s="37" t="n">
        <v>2504817.4922</v>
      </c>
      <c r="F400" s="37" t="n">
        <v>2493237.9898</v>
      </c>
      <c r="G400" s="38" t="n">
        <f aca="false">E400-F400</f>
        <v>11579.5023999969</v>
      </c>
      <c r="H400" s="45" t="n">
        <v>0.00464436305213241</v>
      </c>
      <c r="I400" s="39" t="n">
        <f aca="false">IF(F400&lt;&gt;0,G400/ABS(F400),"n/a")</f>
        <v>0.00464436305213114</v>
      </c>
      <c r="J400" s="46" t="str">
        <f aca="false">IF(H400="","guard",IF(ABS(H400-I400)&lt;0.000001,"OK","DIFF"))</f>
        <v>OK</v>
      </c>
    </row>
    <row r="401" customFormat="false" ht="15" hidden="false" customHeight="false" outlineLevel="0" collapsed="false">
      <c r="A401" s="23" t="s">
        <v>217</v>
      </c>
      <c r="B401" s="23" t="s">
        <v>172</v>
      </c>
      <c r="C401" s="36" t="n">
        <v>45689</v>
      </c>
      <c r="D401" s="37" t="n">
        <v>321</v>
      </c>
      <c r="E401" s="37" t="n">
        <v>2321545.653</v>
      </c>
      <c r="F401" s="37" t="n">
        <v>2024113.249</v>
      </c>
      <c r="G401" s="38" t="n">
        <f aca="false">E401-F401</f>
        <v>297432.404</v>
      </c>
      <c r="H401" s="45" t="n">
        <v>0.146944546777185</v>
      </c>
      <c r="I401" s="39" t="n">
        <f aca="false">IF(F401&lt;&gt;0,G401/ABS(F401),"n/a")</f>
        <v>0.146944546777185</v>
      </c>
      <c r="J401" s="46" t="str">
        <f aca="false">IF(H401="","guard",IF(ABS(H401-I401)&lt;0.000001,"OK","DIFF"))</f>
        <v>OK</v>
      </c>
    </row>
    <row r="402" customFormat="false" ht="15" hidden="false" customHeight="false" outlineLevel="0" collapsed="false">
      <c r="A402" s="23" t="s">
        <v>217</v>
      </c>
      <c r="B402" s="23" t="s">
        <v>172</v>
      </c>
      <c r="C402" s="36" t="n">
        <v>45717</v>
      </c>
      <c r="D402" s="37" t="n">
        <v>293</v>
      </c>
      <c r="E402" s="37" t="n">
        <v>2471151.5437</v>
      </c>
      <c r="F402" s="37" t="n">
        <v>2073840.2722</v>
      </c>
      <c r="G402" s="38" t="n">
        <f aca="false">E402-F402</f>
        <v>397311.271500001</v>
      </c>
      <c r="H402" s="45" t="n">
        <v>0.191582387913858</v>
      </c>
      <c r="I402" s="39" t="n">
        <f aca="false">IF(F402&lt;&gt;0,G402/ABS(F402),"n/a")</f>
        <v>0.191582387913858</v>
      </c>
      <c r="J402" s="46" t="str">
        <f aca="false">IF(H402="","guard",IF(ABS(H402-I402)&lt;0.000001,"OK","DIFF"))</f>
        <v>OK</v>
      </c>
    </row>
    <row r="403" customFormat="false" ht="15" hidden="false" customHeight="false" outlineLevel="0" collapsed="false">
      <c r="A403" s="23" t="s">
        <v>217</v>
      </c>
      <c r="B403" s="23" t="s">
        <v>172</v>
      </c>
      <c r="C403" s="36" t="n">
        <v>45748</v>
      </c>
      <c r="D403" s="37" t="n">
        <v>327</v>
      </c>
      <c r="E403" s="37" t="n">
        <v>2311049.0755</v>
      </c>
      <c r="F403" s="37" t="n">
        <v>2290540.073</v>
      </c>
      <c r="G403" s="38" t="n">
        <f aca="false">E403-F403</f>
        <v>20509.0025000004</v>
      </c>
      <c r="H403" s="45" t="n">
        <v>0.00895378462998845</v>
      </c>
      <c r="I403" s="39" t="n">
        <f aca="false">IF(F403&lt;&gt;0,G403/ABS(F403),"n/a")</f>
        <v>0.00895378462998862</v>
      </c>
      <c r="J403" s="46" t="str">
        <f aca="false">IF(H403="","guard",IF(ABS(H403-I403)&lt;0.000001,"OK","DIFF"))</f>
        <v>OK</v>
      </c>
    </row>
    <row r="404" customFormat="false" ht="15" hidden="false" customHeight="false" outlineLevel="0" collapsed="false">
      <c r="A404" s="23" t="s">
        <v>217</v>
      </c>
      <c r="B404" s="23" t="s">
        <v>172</v>
      </c>
      <c r="C404" s="36" t="n">
        <v>45778</v>
      </c>
      <c r="D404" s="37" t="n">
        <v>307</v>
      </c>
      <c r="E404" s="37" t="n">
        <v>2892991.8874</v>
      </c>
      <c r="F404" s="37" t="n">
        <v>2750534.5198</v>
      </c>
      <c r="G404" s="38" t="n">
        <f aca="false">E404-F404</f>
        <v>142457.367599996</v>
      </c>
      <c r="H404" s="45" t="n">
        <v>0.0517926121539309</v>
      </c>
      <c r="I404" s="39" t="n">
        <f aca="false">IF(F404&lt;&gt;0,G404/ABS(F404),"n/a")</f>
        <v>0.0517926121539295</v>
      </c>
      <c r="J404" s="46" t="str">
        <f aca="false">IF(H404="","guard",IF(ABS(H404-I404)&lt;0.000001,"OK","DIFF"))</f>
        <v>OK</v>
      </c>
    </row>
    <row r="405" customFormat="false" ht="15" hidden="false" customHeight="false" outlineLevel="0" collapsed="false">
      <c r="A405" s="23" t="s">
        <v>217</v>
      </c>
      <c r="B405" s="23" t="s">
        <v>172</v>
      </c>
      <c r="C405" s="36" t="n">
        <v>45809</v>
      </c>
      <c r="D405" s="37" t="n">
        <v>295</v>
      </c>
      <c r="E405" s="37" t="n">
        <v>2773436.2625</v>
      </c>
      <c r="F405" s="37" t="n">
        <v>2407193.0987</v>
      </c>
      <c r="G405" s="38" t="n">
        <f aca="false">E405-F405</f>
        <v>366243.163800001</v>
      </c>
      <c r="H405" s="45" t="n">
        <v>0.152145319790834</v>
      </c>
      <c r="I405" s="39" t="n">
        <f aca="false">IF(F405&lt;&gt;0,G405/ABS(F405),"n/a")</f>
        <v>0.152145319790835</v>
      </c>
      <c r="J405" s="46" t="str">
        <f aca="false">IF(H405="","guard",IF(ABS(H405-I405)&lt;0.000001,"OK","DIFF"))</f>
        <v>OK</v>
      </c>
    </row>
    <row r="406" customFormat="false" ht="15" hidden="false" customHeight="false" outlineLevel="0" collapsed="false">
      <c r="A406" s="23" t="s">
        <v>217</v>
      </c>
      <c r="B406" s="23" t="s">
        <v>172</v>
      </c>
      <c r="C406" s="36" t="n">
        <v>45839</v>
      </c>
      <c r="D406" s="37" t="n">
        <v>283</v>
      </c>
      <c r="E406" s="37" t="n">
        <v>2489436.816</v>
      </c>
      <c r="F406" s="37" t="n">
        <v>2574476.3322</v>
      </c>
      <c r="G406" s="38" t="n">
        <f aca="false">E406-F406</f>
        <v>-85039.5162000009</v>
      </c>
      <c r="H406" s="45" t="n">
        <v>-0.0330317723788627</v>
      </c>
      <c r="I406" s="39" t="n">
        <f aca="false">IF(F406&lt;&gt;0,G406/ABS(F406),"n/a")</f>
        <v>-0.0330317723788631</v>
      </c>
      <c r="J406" s="46" t="str">
        <f aca="false">IF(H406="","guard",IF(ABS(H406-I406)&lt;0.000001,"OK","DIFF"))</f>
        <v>OK</v>
      </c>
    </row>
    <row r="407" customFormat="false" ht="15" hidden="false" customHeight="false" outlineLevel="0" collapsed="false">
      <c r="A407" s="23" t="s">
        <v>217</v>
      </c>
      <c r="B407" s="23" t="s">
        <v>172</v>
      </c>
      <c r="C407" s="36" t="n">
        <v>45870</v>
      </c>
      <c r="D407" s="37" t="n">
        <v>342</v>
      </c>
      <c r="E407" s="37" t="n">
        <v>3097267.3079</v>
      </c>
      <c r="F407" s="37" t="n">
        <v>2689882.3928</v>
      </c>
      <c r="G407" s="38" t="n">
        <f aca="false">E407-F407</f>
        <v>407384.915099997</v>
      </c>
      <c r="H407" s="45" t="n">
        <v>0.15145082780959</v>
      </c>
      <c r="I407" s="39" t="n">
        <f aca="false">IF(F407&lt;&gt;0,G407/ABS(F407),"n/a")</f>
        <v>0.151450827809589</v>
      </c>
      <c r="J407" s="46" t="str">
        <f aca="false">IF(H407="","guard",IF(ABS(H407-I407)&lt;0.000001,"OK","DIFF"))</f>
        <v>OK</v>
      </c>
    </row>
    <row r="408" customFormat="false" ht="15" hidden="false" customHeight="false" outlineLevel="0" collapsed="false">
      <c r="A408" s="23" t="s">
        <v>217</v>
      </c>
      <c r="B408" s="23" t="s">
        <v>172</v>
      </c>
      <c r="C408" s="36" t="n">
        <v>45901</v>
      </c>
      <c r="D408" s="37" t="n">
        <v>348</v>
      </c>
      <c r="E408" s="37" t="n">
        <v>2850159.34</v>
      </c>
      <c r="F408" s="37" t="n">
        <v>2652415.3574</v>
      </c>
      <c r="G408" s="38" t="n">
        <f aca="false">E408-F408</f>
        <v>197743.982599999</v>
      </c>
      <c r="H408" s="45" t="n">
        <v>0.0745524195704539</v>
      </c>
      <c r="I408" s="39" t="n">
        <f aca="false">IF(F408&lt;&gt;0,G408/ABS(F408),"n/a")</f>
        <v>0.0745524195704534</v>
      </c>
      <c r="J408" s="46" t="str">
        <f aca="false">IF(H408="","guard",IF(ABS(H408-I408)&lt;0.000001,"OK","DIFF"))</f>
        <v>OK</v>
      </c>
    </row>
    <row r="409" customFormat="false" ht="15" hidden="false" customHeight="false" outlineLevel="0" collapsed="false">
      <c r="A409" s="23" t="s">
        <v>217</v>
      </c>
      <c r="B409" s="23" t="s">
        <v>172</v>
      </c>
      <c r="C409" s="36" t="n">
        <v>45931</v>
      </c>
      <c r="D409" s="37" t="n">
        <v>341</v>
      </c>
      <c r="E409" s="37" t="n">
        <v>3072691.9855</v>
      </c>
      <c r="F409" s="37" t="n">
        <v>2516541.8038</v>
      </c>
      <c r="G409" s="38" t="n">
        <f aca="false">E409-F409</f>
        <v>556150.181700004</v>
      </c>
      <c r="H409" s="45" t="n">
        <v>0.220997791834894</v>
      </c>
      <c r="I409" s="39" t="n">
        <f aca="false">IF(F409&lt;&gt;0,G409/ABS(F409),"n/a")</f>
        <v>0.220997791834895</v>
      </c>
      <c r="J409" s="46" t="str">
        <f aca="false">IF(H409="","guard",IF(ABS(H409-I409)&lt;0.000001,"OK","DIFF"))</f>
        <v>OK</v>
      </c>
    </row>
    <row r="410" customFormat="false" ht="15" hidden="false" customHeight="false" outlineLevel="0" collapsed="false">
      <c r="A410" s="23" t="s">
        <v>217</v>
      </c>
      <c r="B410" s="23" t="s">
        <v>172</v>
      </c>
      <c r="C410" s="36" t="n">
        <v>45962</v>
      </c>
      <c r="D410" s="37" t="n">
        <v>316</v>
      </c>
      <c r="E410" s="37" t="n">
        <v>2573774.9876</v>
      </c>
      <c r="F410" s="37" t="n">
        <v>2531665.4855</v>
      </c>
      <c r="G410" s="38" t="n">
        <f aca="false">E410-F410</f>
        <v>42109.5021000002</v>
      </c>
      <c r="H410" s="45" t="n">
        <v>0.0166331224805095</v>
      </c>
      <c r="I410" s="39" t="n">
        <f aca="false">IF(F410&lt;&gt;0,G410/ABS(F410),"n/a")</f>
        <v>0.0166331224805095</v>
      </c>
      <c r="J410" s="46" t="str">
        <f aca="false">IF(H410="","guard",IF(ABS(H410-I410)&lt;0.000001,"OK","DIFF"))</f>
        <v>OK</v>
      </c>
    </row>
    <row r="411" customFormat="false" ht="15" hidden="false" customHeight="false" outlineLevel="0" collapsed="false">
      <c r="A411" s="23" t="s">
        <v>217</v>
      </c>
      <c r="B411" s="23" t="s">
        <v>172</v>
      </c>
      <c r="C411" s="36" t="n">
        <v>45992</v>
      </c>
      <c r="D411" s="37" t="n">
        <v>309</v>
      </c>
      <c r="E411" s="37" t="n">
        <v>2220313.0414</v>
      </c>
      <c r="F411" s="37" t="n">
        <v>2159775.3595</v>
      </c>
      <c r="G411" s="38" t="n">
        <f aca="false">E411-F411</f>
        <v>60537.6818999983</v>
      </c>
      <c r="H411" s="45" t="n">
        <v>0.0280296196702674</v>
      </c>
      <c r="I411" s="39" t="n">
        <f aca="false">IF(F411&lt;&gt;0,G411/ABS(F411),"n/a")</f>
        <v>0.0280296196702666</v>
      </c>
      <c r="J411" s="46" t="str">
        <f aca="false">IF(H411="","guard",IF(ABS(H411-I411)&lt;0.000001,"OK","DIFF"))</f>
        <v>OK</v>
      </c>
    </row>
    <row r="412" customFormat="false" ht="15" hidden="false" customHeight="false" outlineLevel="0" collapsed="false">
      <c r="A412" s="23" t="s">
        <v>217</v>
      </c>
      <c r="B412" s="23" t="s">
        <v>225</v>
      </c>
      <c r="C412" s="36" t="n">
        <v>44927</v>
      </c>
      <c r="D412" s="37" t="n">
        <v>101</v>
      </c>
      <c r="E412" s="37" t="n">
        <v>1259163.3551</v>
      </c>
      <c r="F412" s="37" t="n">
        <v>1024594.4125</v>
      </c>
      <c r="G412" s="38" t="n">
        <f aca="false">E412-F412</f>
        <v>234568.9426</v>
      </c>
      <c r="H412" s="45" t="n">
        <v>0.228938338661885</v>
      </c>
      <c r="I412" s="39" t="n">
        <f aca="false">IF(F412&lt;&gt;0,G412/ABS(F412),"n/a")</f>
        <v>0.228938338661885</v>
      </c>
      <c r="J412" s="46" t="str">
        <f aca="false">IF(H412="","guard",IF(ABS(H412-I412)&lt;0.000001,"OK","DIFF"))</f>
        <v>OK</v>
      </c>
    </row>
    <row r="413" customFormat="false" ht="15" hidden="false" customHeight="false" outlineLevel="0" collapsed="false">
      <c r="A413" s="23" t="s">
        <v>217</v>
      </c>
      <c r="B413" s="23" t="s">
        <v>225</v>
      </c>
      <c r="C413" s="36" t="n">
        <v>44958</v>
      </c>
      <c r="D413" s="37" t="n">
        <v>84</v>
      </c>
      <c r="E413" s="37" t="n">
        <v>986384.8388</v>
      </c>
      <c r="F413" s="37" t="n">
        <v>1107907.3286</v>
      </c>
      <c r="G413" s="38" t="n">
        <f aca="false">E413-F413</f>
        <v>-121522.4898</v>
      </c>
      <c r="H413" s="45" t="n">
        <v>-0.109686511374161</v>
      </c>
      <c r="I413" s="39" t="n">
        <f aca="false">IF(F413&lt;&gt;0,G413/ABS(F413),"n/a")</f>
        <v>-0.109686511374161</v>
      </c>
      <c r="J413" s="46" t="str">
        <f aca="false">IF(H413="","guard",IF(ABS(H413-I413)&lt;0.000001,"OK","DIFF"))</f>
        <v>OK</v>
      </c>
    </row>
    <row r="414" customFormat="false" ht="15" hidden="false" customHeight="false" outlineLevel="0" collapsed="false">
      <c r="A414" s="23" t="s">
        <v>217</v>
      </c>
      <c r="B414" s="23" t="s">
        <v>225</v>
      </c>
      <c r="C414" s="36" t="n">
        <v>44986</v>
      </c>
      <c r="D414" s="37" t="n">
        <v>93</v>
      </c>
      <c r="E414" s="37" t="n">
        <v>1145822.5125</v>
      </c>
      <c r="F414" s="37" t="n">
        <v>1051465.2551</v>
      </c>
      <c r="G414" s="38" t="n">
        <f aca="false">E414-F414</f>
        <v>94357.2573999998</v>
      </c>
      <c r="H414" s="45" t="n">
        <v>0.089738825835977</v>
      </c>
      <c r="I414" s="39" t="n">
        <f aca="false">IF(F414&lt;&gt;0,G414/ABS(F414),"n/a")</f>
        <v>0.0897388258359768</v>
      </c>
      <c r="J414" s="46" t="str">
        <f aca="false">IF(H414="","guard",IF(ABS(H414-I414)&lt;0.000001,"OK","DIFF"))</f>
        <v>OK</v>
      </c>
    </row>
    <row r="415" customFormat="false" ht="15" hidden="false" customHeight="false" outlineLevel="0" collapsed="false">
      <c r="A415" s="23" t="s">
        <v>217</v>
      </c>
      <c r="B415" s="23" t="s">
        <v>225</v>
      </c>
      <c r="C415" s="36" t="n">
        <v>45017</v>
      </c>
      <c r="D415" s="37" t="n">
        <v>95</v>
      </c>
      <c r="E415" s="37" t="n">
        <v>608334.4168</v>
      </c>
      <c r="F415" s="37" t="n">
        <v>950328.5979</v>
      </c>
      <c r="G415" s="38" t="n">
        <f aca="false">E415-F415</f>
        <v>-341994.1811</v>
      </c>
      <c r="H415" s="45" t="n">
        <v>-0.359869398706643</v>
      </c>
      <c r="I415" s="39" t="n">
        <f aca="false">IF(F415&lt;&gt;0,G415/ABS(F415),"n/a")</f>
        <v>-0.359869398706643</v>
      </c>
      <c r="J415" s="46" t="str">
        <f aca="false">IF(H415="","guard",IF(ABS(H415-I415)&lt;0.000001,"OK","DIFF"))</f>
        <v>OK</v>
      </c>
    </row>
    <row r="416" customFormat="false" ht="15" hidden="false" customHeight="false" outlineLevel="0" collapsed="false">
      <c r="A416" s="23" t="s">
        <v>217</v>
      </c>
      <c r="B416" s="23" t="s">
        <v>225</v>
      </c>
      <c r="C416" s="36" t="n">
        <v>45047</v>
      </c>
      <c r="D416" s="37" t="n">
        <v>78</v>
      </c>
      <c r="E416" s="37" t="n">
        <v>897310.4215</v>
      </c>
      <c r="F416" s="37" t="n">
        <v>1212769.6836</v>
      </c>
      <c r="G416" s="38" t="n">
        <f aca="false">E416-F416</f>
        <v>-315459.2621</v>
      </c>
      <c r="H416" s="45" t="n">
        <v>-0.260114732719561</v>
      </c>
      <c r="I416" s="39" t="n">
        <f aca="false">IF(F416&lt;&gt;0,G416/ABS(F416),"n/a")</f>
        <v>-0.260114732719561</v>
      </c>
      <c r="J416" s="46" t="str">
        <f aca="false">IF(H416="","guard",IF(ABS(H416-I416)&lt;0.000001,"OK","DIFF"))</f>
        <v>OK</v>
      </c>
    </row>
    <row r="417" customFormat="false" ht="15" hidden="false" customHeight="false" outlineLevel="0" collapsed="false">
      <c r="A417" s="23" t="s">
        <v>217</v>
      </c>
      <c r="B417" s="23" t="s">
        <v>225</v>
      </c>
      <c r="C417" s="36" t="n">
        <v>45078</v>
      </c>
      <c r="D417" s="37" t="n">
        <v>77</v>
      </c>
      <c r="E417" s="37" t="n">
        <v>826729.2274</v>
      </c>
      <c r="F417" s="37" t="n">
        <v>846144.0839</v>
      </c>
      <c r="G417" s="38" t="n">
        <f aca="false">E417-F417</f>
        <v>-19414.8564999996</v>
      </c>
      <c r="H417" s="45" t="n">
        <v>-0.0229450951314511</v>
      </c>
      <c r="I417" s="39" t="n">
        <f aca="false">IF(F417&lt;&gt;0,G417/ABS(F417),"n/a")</f>
        <v>-0.0229450951314506</v>
      </c>
      <c r="J417" s="46" t="str">
        <f aca="false">IF(H417="","guard",IF(ABS(H417-I417)&lt;0.000001,"OK","DIFF"))</f>
        <v>OK</v>
      </c>
    </row>
    <row r="418" customFormat="false" ht="15" hidden="false" customHeight="false" outlineLevel="0" collapsed="false">
      <c r="A418" s="23" t="s">
        <v>217</v>
      </c>
      <c r="B418" s="23" t="s">
        <v>225</v>
      </c>
      <c r="C418" s="36" t="n">
        <v>45108</v>
      </c>
      <c r="D418" s="37" t="n">
        <v>80</v>
      </c>
      <c r="E418" s="37" t="n">
        <v>1369136.8918</v>
      </c>
      <c r="F418" s="37" t="n">
        <v>1283161.9259</v>
      </c>
      <c r="G418" s="38" t="n">
        <f aca="false">E418-F418</f>
        <v>85974.9658999993</v>
      </c>
      <c r="H418" s="45" t="n">
        <v>0.0670024290501745</v>
      </c>
      <c r="I418" s="39" t="n">
        <f aca="false">IF(F418&lt;&gt;0,G418/ABS(F418),"n/a")</f>
        <v>0.0670024290501739</v>
      </c>
      <c r="J418" s="46" t="str">
        <f aca="false">IF(H418="","guard",IF(ABS(H418-I418)&lt;0.000001,"OK","DIFF"))</f>
        <v>OK</v>
      </c>
    </row>
    <row r="419" customFormat="false" ht="15" hidden="false" customHeight="false" outlineLevel="0" collapsed="false">
      <c r="A419" s="23" t="s">
        <v>217</v>
      </c>
      <c r="B419" s="23" t="s">
        <v>225</v>
      </c>
      <c r="C419" s="36" t="n">
        <v>45139</v>
      </c>
      <c r="D419" s="37" t="n">
        <v>89</v>
      </c>
      <c r="E419" s="37" t="n">
        <v>1356811.768</v>
      </c>
      <c r="F419" s="37" t="n">
        <v>1157126.1444</v>
      </c>
      <c r="G419" s="38" t="n">
        <f aca="false">E419-F419</f>
        <v>199685.6236</v>
      </c>
      <c r="H419" s="45" t="n">
        <v>0.172570315316436</v>
      </c>
      <c r="I419" s="39" t="n">
        <f aca="false">IF(F419&lt;&gt;0,G419/ABS(F419),"n/a")</f>
        <v>0.172570315316436</v>
      </c>
      <c r="J419" s="46" t="str">
        <f aca="false">IF(H419="","guard",IF(ABS(H419-I419)&lt;0.000001,"OK","DIFF"))</f>
        <v>OK</v>
      </c>
    </row>
    <row r="420" customFormat="false" ht="15" hidden="false" customHeight="false" outlineLevel="0" collapsed="false">
      <c r="A420" s="23" t="s">
        <v>217</v>
      </c>
      <c r="B420" s="23" t="s">
        <v>225</v>
      </c>
      <c r="C420" s="36" t="n">
        <v>45170</v>
      </c>
      <c r="D420" s="37" t="n">
        <v>75</v>
      </c>
      <c r="E420" s="37" t="n">
        <v>995115.385</v>
      </c>
      <c r="F420" s="37" t="n">
        <v>1022776.6469</v>
      </c>
      <c r="G420" s="38" t="n">
        <f aca="false">E420-F420</f>
        <v>-27661.2618999999</v>
      </c>
      <c r="H420" s="45" t="n">
        <v>-0.0270452615278617</v>
      </c>
      <c r="I420" s="39" t="n">
        <f aca="false">IF(F420&lt;&gt;0,G420/ABS(F420),"n/a")</f>
        <v>-0.0270452615278617</v>
      </c>
      <c r="J420" s="46" t="str">
        <f aca="false">IF(H420="","guard",IF(ABS(H420-I420)&lt;0.000001,"OK","DIFF"))</f>
        <v>OK</v>
      </c>
    </row>
    <row r="421" customFormat="false" ht="15" hidden="false" customHeight="false" outlineLevel="0" collapsed="false">
      <c r="A421" s="23" t="s">
        <v>217</v>
      </c>
      <c r="B421" s="23" t="s">
        <v>225</v>
      </c>
      <c r="C421" s="36" t="n">
        <v>45200</v>
      </c>
      <c r="D421" s="37" t="n">
        <v>91</v>
      </c>
      <c r="E421" s="37" t="n">
        <v>1332375.3968</v>
      </c>
      <c r="F421" s="37" t="n">
        <v>1088460.1733</v>
      </c>
      <c r="G421" s="38" t="n">
        <f aca="false">E421-F421</f>
        <v>243915.2235</v>
      </c>
      <c r="H421" s="45" t="n">
        <v>0.224092005829204</v>
      </c>
      <c r="I421" s="39" t="n">
        <f aca="false">IF(F421&lt;&gt;0,G421/ABS(F421),"n/a")</f>
        <v>0.224092005829204</v>
      </c>
      <c r="J421" s="46" t="str">
        <f aca="false">IF(H421="","guard",IF(ABS(H421-I421)&lt;0.000001,"OK","DIFF"))</f>
        <v>OK</v>
      </c>
    </row>
    <row r="422" customFormat="false" ht="15" hidden="false" customHeight="false" outlineLevel="0" collapsed="false">
      <c r="A422" s="23" t="s">
        <v>217</v>
      </c>
      <c r="B422" s="23" t="s">
        <v>225</v>
      </c>
      <c r="C422" s="36" t="n">
        <v>45231</v>
      </c>
      <c r="D422" s="37" t="n">
        <v>97</v>
      </c>
      <c r="E422" s="37" t="n">
        <v>834243.0091</v>
      </c>
      <c r="F422" s="37" t="n">
        <v>967367.9105</v>
      </c>
      <c r="G422" s="38" t="n">
        <f aca="false">E422-F422</f>
        <v>-133124.9014</v>
      </c>
      <c r="H422" s="45" t="n">
        <v>-0.13761558550272</v>
      </c>
      <c r="I422" s="39" t="n">
        <f aca="false">IF(F422&lt;&gt;0,G422/ABS(F422),"n/a")</f>
        <v>-0.13761558550272</v>
      </c>
      <c r="J422" s="46" t="str">
        <f aca="false">IF(H422="","guard",IF(ABS(H422-I422)&lt;0.000001,"OK","DIFF"))</f>
        <v>OK</v>
      </c>
    </row>
    <row r="423" customFormat="false" ht="15" hidden="false" customHeight="false" outlineLevel="0" collapsed="false">
      <c r="A423" s="23" t="s">
        <v>217</v>
      </c>
      <c r="B423" s="23" t="s">
        <v>225</v>
      </c>
      <c r="C423" s="36" t="n">
        <v>45261</v>
      </c>
      <c r="D423" s="37" t="n">
        <v>85</v>
      </c>
      <c r="E423" s="37" t="n">
        <v>994176.853</v>
      </c>
      <c r="F423" s="37" t="n">
        <v>922462.4072</v>
      </c>
      <c r="G423" s="38" t="n">
        <f aca="false">E423-F423</f>
        <v>71714.4457999999</v>
      </c>
      <c r="H423" s="45" t="n">
        <v>0.0777424047205119</v>
      </c>
      <c r="I423" s="39" t="n">
        <f aca="false">IF(F423&lt;&gt;0,G423/ABS(F423),"n/a")</f>
        <v>0.0777424047205117</v>
      </c>
      <c r="J423" s="46" t="str">
        <f aca="false">IF(H423="","guard",IF(ABS(H423-I423)&lt;0.000001,"OK","DIFF"))</f>
        <v>OK</v>
      </c>
    </row>
    <row r="424" customFormat="false" ht="15" hidden="false" customHeight="false" outlineLevel="0" collapsed="false">
      <c r="A424" s="23" t="s">
        <v>217</v>
      </c>
      <c r="B424" s="23" t="s">
        <v>225</v>
      </c>
      <c r="C424" s="36" t="n">
        <v>45292</v>
      </c>
      <c r="D424" s="37" t="n">
        <v>83</v>
      </c>
      <c r="E424" s="37" t="n">
        <v>906773.29</v>
      </c>
      <c r="F424" s="37" t="n">
        <v>692499.0316</v>
      </c>
      <c r="G424" s="38" t="n">
        <f aca="false">E424-F424</f>
        <v>214274.2584</v>
      </c>
      <c r="H424" s="45" t="n">
        <v>0.309421744467895</v>
      </c>
      <c r="I424" s="39" t="n">
        <f aca="false">IF(F424&lt;&gt;0,G424/ABS(F424),"n/a")</f>
        <v>0.309421744467896</v>
      </c>
      <c r="J424" s="46" t="str">
        <f aca="false">IF(H424="","guard",IF(ABS(H424-I424)&lt;0.000001,"OK","DIFF"))</f>
        <v>OK</v>
      </c>
    </row>
    <row r="425" customFormat="false" ht="15" hidden="false" customHeight="false" outlineLevel="0" collapsed="false">
      <c r="A425" s="23" t="s">
        <v>217</v>
      </c>
      <c r="B425" s="23" t="s">
        <v>225</v>
      </c>
      <c r="C425" s="36" t="n">
        <v>45323</v>
      </c>
      <c r="D425" s="37" t="n">
        <v>98</v>
      </c>
      <c r="E425" s="37" t="n">
        <v>964343.2586</v>
      </c>
      <c r="F425" s="37" t="n">
        <v>1062972.9822</v>
      </c>
      <c r="G425" s="38" t="n">
        <f aca="false">E425-F425</f>
        <v>-98629.7236</v>
      </c>
      <c r="H425" s="45" t="n">
        <v>-0.0927866702650045</v>
      </c>
      <c r="I425" s="39" t="n">
        <f aca="false">IF(F425&lt;&gt;0,G425/ABS(F425),"n/a")</f>
        <v>-0.0927866702650046</v>
      </c>
      <c r="J425" s="46" t="str">
        <f aca="false">IF(H425="","guard",IF(ABS(H425-I425)&lt;0.000001,"OK","DIFF"))</f>
        <v>OK</v>
      </c>
    </row>
    <row r="426" customFormat="false" ht="15" hidden="false" customHeight="false" outlineLevel="0" collapsed="false">
      <c r="A426" s="23" t="s">
        <v>217</v>
      </c>
      <c r="B426" s="23" t="s">
        <v>225</v>
      </c>
      <c r="C426" s="36" t="n">
        <v>45352</v>
      </c>
      <c r="D426" s="37" t="n">
        <v>91</v>
      </c>
      <c r="E426" s="37" t="n">
        <v>1070523.5616</v>
      </c>
      <c r="F426" s="37" t="n">
        <v>1069352.3576</v>
      </c>
      <c r="G426" s="38" t="n">
        <f aca="false">E426-F426</f>
        <v>1171.20399999991</v>
      </c>
      <c r="H426" s="45" t="n">
        <v>0.00109524610076011</v>
      </c>
      <c r="I426" s="39" t="n">
        <f aca="false">IF(F426&lt;&gt;0,G426/ABS(F426),"n/a")</f>
        <v>0.00109524610076</v>
      </c>
      <c r="J426" s="46" t="str">
        <f aca="false">IF(H426="","guard",IF(ABS(H426-I426)&lt;0.000001,"OK","DIFF"))</f>
        <v>OK</v>
      </c>
    </row>
    <row r="427" customFormat="false" ht="15" hidden="false" customHeight="false" outlineLevel="0" collapsed="false">
      <c r="A427" s="23" t="s">
        <v>217</v>
      </c>
      <c r="B427" s="23" t="s">
        <v>225</v>
      </c>
      <c r="C427" s="36" t="n">
        <v>45383</v>
      </c>
      <c r="D427" s="37" t="n">
        <v>88</v>
      </c>
      <c r="E427" s="37" t="n">
        <v>1182495.8334</v>
      </c>
      <c r="F427" s="37" t="n">
        <v>1251033.7393</v>
      </c>
      <c r="G427" s="38" t="n">
        <f aca="false">E427-F427</f>
        <v>-68537.9059000004</v>
      </c>
      <c r="H427" s="45" t="n">
        <v>-0.054785017979091</v>
      </c>
      <c r="I427" s="39" t="n">
        <f aca="false">IF(F427&lt;&gt;0,G427/ABS(F427),"n/a")</f>
        <v>-0.0547850179790913</v>
      </c>
      <c r="J427" s="46" t="str">
        <f aca="false">IF(H427="","guard",IF(ABS(H427-I427)&lt;0.000001,"OK","DIFF"))</f>
        <v>OK</v>
      </c>
    </row>
    <row r="428" customFormat="false" ht="15" hidden="false" customHeight="false" outlineLevel="0" collapsed="false">
      <c r="A428" s="23" t="s">
        <v>217</v>
      </c>
      <c r="B428" s="23" t="s">
        <v>225</v>
      </c>
      <c r="C428" s="36" t="n">
        <v>45413</v>
      </c>
      <c r="D428" s="37" t="n">
        <v>82</v>
      </c>
      <c r="E428" s="37" t="n">
        <v>967734.3222</v>
      </c>
      <c r="F428" s="37" t="n">
        <v>1024371.5922</v>
      </c>
      <c r="G428" s="38" t="n">
        <f aca="false">E428-F428</f>
        <v>-56637.2699999999</v>
      </c>
      <c r="H428" s="45" t="n">
        <v>-0.0552897702662395</v>
      </c>
      <c r="I428" s="39" t="n">
        <f aca="false">IF(F428&lt;&gt;0,G428/ABS(F428),"n/a")</f>
        <v>-0.0552897702662394</v>
      </c>
      <c r="J428" s="46" t="str">
        <f aca="false">IF(H428="","guard",IF(ABS(H428-I428)&lt;0.000001,"OK","DIFF"))</f>
        <v>OK</v>
      </c>
    </row>
    <row r="429" customFormat="false" ht="15" hidden="false" customHeight="false" outlineLevel="0" collapsed="false">
      <c r="A429" s="23" t="s">
        <v>217</v>
      </c>
      <c r="B429" s="23" t="s">
        <v>225</v>
      </c>
      <c r="C429" s="36" t="n">
        <v>45444</v>
      </c>
      <c r="D429" s="37" t="n">
        <v>81</v>
      </c>
      <c r="E429" s="37" t="n">
        <v>1316572.7822</v>
      </c>
      <c r="F429" s="37" t="n">
        <v>1255603.2719</v>
      </c>
      <c r="G429" s="38" t="n">
        <f aca="false">E429-F429</f>
        <v>60969.5103000002</v>
      </c>
      <c r="H429" s="45" t="n">
        <v>0.0485579415604261</v>
      </c>
      <c r="I429" s="39" t="n">
        <f aca="false">IF(F429&lt;&gt;0,G429/ABS(F429),"n/a")</f>
        <v>0.0485579415604263</v>
      </c>
      <c r="J429" s="46" t="str">
        <f aca="false">IF(H429="","guard",IF(ABS(H429-I429)&lt;0.000001,"OK","DIFF"))</f>
        <v>OK</v>
      </c>
    </row>
    <row r="430" customFormat="false" ht="15" hidden="false" customHeight="false" outlineLevel="0" collapsed="false">
      <c r="A430" s="23" t="s">
        <v>217</v>
      </c>
      <c r="B430" s="23" t="s">
        <v>225</v>
      </c>
      <c r="C430" s="36" t="n">
        <v>45474</v>
      </c>
      <c r="D430" s="37" t="n">
        <v>83</v>
      </c>
      <c r="E430" s="37" t="n">
        <v>1178667.0871</v>
      </c>
      <c r="F430" s="37" t="n">
        <v>1085629.1598</v>
      </c>
      <c r="G430" s="38" t="n">
        <f aca="false">E430-F430</f>
        <v>93037.9273000006</v>
      </c>
      <c r="H430" s="45" t="n">
        <v>0.0856995470876445</v>
      </c>
      <c r="I430" s="39" t="n">
        <f aca="false">IF(F430&lt;&gt;0,G430/ABS(F430),"n/a")</f>
        <v>0.085699547087645</v>
      </c>
      <c r="J430" s="46" t="str">
        <f aca="false">IF(H430="","guard",IF(ABS(H430-I430)&lt;0.000001,"OK","DIFF"))</f>
        <v>OK</v>
      </c>
    </row>
    <row r="431" customFormat="false" ht="15" hidden="false" customHeight="false" outlineLevel="0" collapsed="false">
      <c r="A431" s="23" t="s">
        <v>217</v>
      </c>
      <c r="B431" s="23" t="s">
        <v>225</v>
      </c>
      <c r="C431" s="36" t="n">
        <v>45505</v>
      </c>
      <c r="D431" s="37" t="n">
        <v>92</v>
      </c>
      <c r="E431" s="37" t="n">
        <v>1163533.5086</v>
      </c>
      <c r="F431" s="37" t="n">
        <v>1050420.0445</v>
      </c>
      <c r="G431" s="38" t="n">
        <f aca="false">E431-F431</f>
        <v>113113.464099999</v>
      </c>
      <c r="H431" s="45" t="n">
        <v>0.107684030490719</v>
      </c>
      <c r="I431" s="39" t="n">
        <f aca="false">IF(F431&lt;&gt;0,G431/ABS(F431),"n/a")</f>
        <v>0.107684030490718</v>
      </c>
      <c r="J431" s="46" t="str">
        <f aca="false">IF(H431="","guard",IF(ABS(H431-I431)&lt;0.000001,"OK","DIFF"))</f>
        <v>OK</v>
      </c>
    </row>
    <row r="432" customFormat="false" ht="15" hidden="false" customHeight="false" outlineLevel="0" collapsed="false">
      <c r="A432" s="23" t="s">
        <v>217</v>
      </c>
      <c r="B432" s="23" t="s">
        <v>225</v>
      </c>
      <c r="C432" s="36" t="n">
        <v>45536</v>
      </c>
      <c r="D432" s="37" t="n">
        <v>70</v>
      </c>
      <c r="E432" s="37" t="n">
        <v>1009590.231</v>
      </c>
      <c r="F432" s="37" t="n">
        <v>918257.8565</v>
      </c>
      <c r="G432" s="38" t="n">
        <f aca="false">E432-F432</f>
        <v>91332.3745000004</v>
      </c>
      <c r="H432" s="45" t="n">
        <v>0.0994626660185836</v>
      </c>
      <c r="I432" s="39" t="n">
        <f aca="false">IF(F432&lt;&gt;0,G432/ABS(F432),"n/a")</f>
        <v>0.0994626660185841</v>
      </c>
      <c r="J432" s="46" t="str">
        <f aca="false">IF(H432="","guard",IF(ABS(H432-I432)&lt;0.000001,"OK","DIFF"))</f>
        <v>OK</v>
      </c>
    </row>
    <row r="433" customFormat="false" ht="15" hidden="false" customHeight="false" outlineLevel="0" collapsed="false">
      <c r="A433" s="23" t="s">
        <v>217</v>
      </c>
      <c r="B433" s="23" t="s">
        <v>225</v>
      </c>
      <c r="C433" s="36" t="n">
        <v>45566</v>
      </c>
      <c r="D433" s="37" t="n">
        <v>90</v>
      </c>
      <c r="E433" s="37" t="n">
        <v>1153255.0933</v>
      </c>
      <c r="F433" s="37" t="n">
        <v>1213424.0825</v>
      </c>
      <c r="G433" s="38" t="n">
        <f aca="false">E433-F433</f>
        <v>-60168.9892000007</v>
      </c>
      <c r="H433" s="45" t="n">
        <v>-0.0495861175558958</v>
      </c>
      <c r="I433" s="39" t="n">
        <f aca="false">IF(F433&lt;&gt;0,G433/ABS(F433),"n/a")</f>
        <v>-0.0495861175558963</v>
      </c>
      <c r="J433" s="46" t="str">
        <f aca="false">IF(H433="","guard",IF(ABS(H433-I433)&lt;0.000001,"OK","DIFF"))</f>
        <v>OK</v>
      </c>
    </row>
    <row r="434" customFormat="false" ht="15" hidden="false" customHeight="false" outlineLevel="0" collapsed="false">
      <c r="A434" s="23" t="s">
        <v>217</v>
      </c>
      <c r="B434" s="23" t="s">
        <v>225</v>
      </c>
      <c r="C434" s="36" t="n">
        <v>45597</v>
      </c>
      <c r="D434" s="37" t="n">
        <v>86</v>
      </c>
      <c r="E434" s="37" t="n">
        <v>1091638.2309</v>
      </c>
      <c r="F434" s="37" t="n">
        <v>1060550.8424</v>
      </c>
      <c r="G434" s="38" t="n">
        <f aca="false">E434-F434</f>
        <v>31087.3884999997</v>
      </c>
      <c r="H434" s="45" t="n">
        <v>0.0293124923927739</v>
      </c>
      <c r="I434" s="39" t="n">
        <f aca="false">IF(F434&lt;&gt;0,G434/ABS(F434),"n/a")</f>
        <v>0.0293124923927736</v>
      </c>
      <c r="J434" s="46" t="str">
        <f aca="false">IF(H434="","guard",IF(ABS(H434-I434)&lt;0.000001,"OK","DIFF"))</f>
        <v>OK</v>
      </c>
    </row>
    <row r="435" customFormat="false" ht="15" hidden="false" customHeight="false" outlineLevel="0" collapsed="false">
      <c r="A435" s="23" t="s">
        <v>217</v>
      </c>
      <c r="B435" s="23" t="s">
        <v>225</v>
      </c>
      <c r="C435" s="36" t="n">
        <v>45627</v>
      </c>
      <c r="D435" s="37" t="n">
        <v>75</v>
      </c>
      <c r="E435" s="37" t="n">
        <v>308858.0376</v>
      </c>
      <c r="F435" s="37" t="n">
        <v>615518.4364</v>
      </c>
      <c r="G435" s="38" t="n">
        <f aca="false">E435-F435</f>
        <v>-306660.3988</v>
      </c>
      <c r="H435" s="45" t="n">
        <v>-0.498214806681621</v>
      </c>
      <c r="I435" s="39" t="n">
        <f aca="false">IF(F435&lt;&gt;0,G435/ABS(F435),"n/a")</f>
        <v>-0.498214806681622</v>
      </c>
      <c r="J435" s="46" t="str">
        <f aca="false">IF(H435="","guard",IF(ABS(H435-I435)&lt;0.000001,"OK","DIFF"))</f>
        <v>OK</v>
      </c>
    </row>
    <row r="436" customFormat="false" ht="15" hidden="false" customHeight="false" outlineLevel="0" collapsed="false">
      <c r="A436" s="23" t="s">
        <v>217</v>
      </c>
      <c r="B436" s="23" t="s">
        <v>225</v>
      </c>
      <c r="C436" s="36" t="n">
        <v>45658</v>
      </c>
      <c r="D436" s="37" t="n">
        <v>90</v>
      </c>
      <c r="E436" s="37" t="n">
        <v>1207699.4989</v>
      </c>
      <c r="F436" s="37" t="n">
        <v>1339789.9799</v>
      </c>
      <c r="G436" s="38" t="n">
        <f aca="false">E436-F436</f>
        <v>-132090.481</v>
      </c>
      <c r="H436" s="45" t="n">
        <v>-0.098590438040042</v>
      </c>
      <c r="I436" s="39" t="n">
        <f aca="false">IF(F436&lt;&gt;0,G436/ABS(F436),"n/a")</f>
        <v>-0.0985904380400421</v>
      </c>
      <c r="J436" s="46" t="str">
        <f aca="false">IF(H436="","guard",IF(ABS(H436-I436)&lt;0.000001,"OK","DIFF"))</f>
        <v>OK</v>
      </c>
    </row>
    <row r="437" customFormat="false" ht="15" hidden="false" customHeight="false" outlineLevel="0" collapsed="false">
      <c r="A437" s="23" t="s">
        <v>217</v>
      </c>
      <c r="B437" s="23" t="s">
        <v>225</v>
      </c>
      <c r="C437" s="36" t="n">
        <v>45689</v>
      </c>
      <c r="D437" s="37" t="n">
        <v>81</v>
      </c>
      <c r="E437" s="37" t="n">
        <v>703254.88</v>
      </c>
      <c r="F437" s="37" t="n">
        <v>591079.9583</v>
      </c>
      <c r="G437" s="38" t="n">
        <f aca="false">E437-F437</f>
        <v>112174.9217</v>
      </c>
      <c r="H437" s="45"/>
      <c r="I437" s="39" t="n">
        <f aca="false">IF(F437&lt;&gt;0,G437/ABS(F437),"n/a")</f>
        <v>0.189779606168047</v>
      </c>
      <c r="J437" s="46" t="str">
        <f aca="false">IF(H437="","guard",IF(ABS(H437-I437)&lt;0.000001,"OK","DIFF"))</f>
        <v>guard</v>
      </c>
    </row>
    <row r="438" customFormat="false" ht="15" hidden="false" customHeight="false" outlineLevel="0" collapsed="false">
      <c r="A438" s="23" t="s">
        <v>217</v>
      </c>
      <c r="B438" s="23" t="s">
        <v>225</v>
      </c>
      <c r="C438" s="36" t="n">
        <v>45717</v>
      </c>
      <c r="D438" s="37" t="n">
        <v>81</v>
      </c>
      <c r="E438" s="37" t="n">
        <v>724728.7631</v>
      </c>
      <c r="F438" s="37" t="n">
        <v>629996.9427</v>
      </c>
      <c r="G438" s="38" t="n">
        <f aca="false">E438-F438</f>
        <v>94731.8204000001</v>
      </c>
      <c r="H438" s="45" t="n">
        <v>0.150368698606702</v>
      </c>
      <c r="I438" s="39" t="n">
        <f aca="false">IF(F438&lt;&gt;0,G438/ABS(F438),"n/a")</f>
        <v>0.150368698606702</v>
      </c>
      <c r="J438" s="46" t="str">
        <f aca="false">IF(H438="","guard",IF(ABS(H438-I438)&lt;0.000001,"OK","DIFF"))</f>
        <v>OK</v>
      </c>
    </row>
    <row r="439" customFormat="false" ht="15" hidden="false" customHeight="false" outlineLevel="0" collapsed="false">
      <c r="A439" s="23" t="s">
        <v>217</v>
      </c>
      <c r="B439" s="23" t="s">
        <v>225</v>
      </c>
      <c r="C439" s="36" t="n">
        <v>45748</v>
      </c>
      <c r="D439" s="37" t="n">
        <v>81</v>
      </c>
      <c r="E439" s="37" t="n">
        <v>939843.524</v>
      </c>
      <c r="F439" s="37" t="n">
        <v>973734.2115</v>
      </c>
      <c r="G439" s="38" t="n">
        <f aca="false">E439-F439</f>
        <v>-33890.6875000004</v>
      </c>
      <c r="H439" s="45" t="n">
        <v>-0.0348048647153855</v>
      </c>
      <c r="I439" s="39" t="n">
        <f aca="false">IF(F439&lt;&gt;0,G439/ABS(F439),"n/a")</f>
        <v>-0.0348048647153858</v>
      </c>
      <c r="J439" s="46" t="str">
        <f aca="false">IF(H439="","guard",IF(ABS(H439-I439)&lt;0.000001,"OK","DIFF"))</f>
        <v>OK</v>
      </c>
    </row>
    <row r="440" customFormat="false" ht="15" hidden="false" customHeight="false" outlineLevel="0" collapsed="false">
      <c r="A440" s="23" t="s">
        <v>217</v>
      </c>
      <c r="B440" s="23" t="s">
        <v>225</v>
      </c>
      <c r="C440" s="36" t="n">
        <v>45778</v>
      </c>
      <c r="D440" s="37" t="n">
        <v>85</v>
      </c>
      <c r="E440" s="37" t="n">
        <v>1385481.0043</v>
      </c>
      <c r="F440" s="37" t="n">
        <v>1313556.6553</v>
      </c>
      <c r="G440" s="38" t="n">
        <f aca="false">E440-F440</f>
        <v>71924.3490000006</v>
      </c>
      <c r="H440" s="45" t="n">
        <v>0.0547554220138099</v>
      </c>
      <c r="I440" s="39" t="n">
        <f aca="false">IF(F440&lt;&gt;0,G440/ABS(F440),"n/a")</f>
        <v>0.0547554220138103</v>
      </c>
      <c r="J440" s="46" t="str">
        <f aca="false">IF(H440="","guard",IF(ABS(H440-I440)&lt;0.000001,"OK","DIFF"))</f>
        <v>OK</v>
      </c>
    </row>
    <row r="441" customFormat="false" ht="15" hidden="false" customHeight="false" outlineLevel="0" collapsed="false">
      <c r="A441" s="23" t="s">
        <v>217</v>
      </c>
      <c r="B441" s="23" t="s">
        <v>225</v>
      </c>
      <c r="C441" s="36" t="n">
        <v>45809</v>
      </c>
      <c r="D441" s="37" t="n">
        <v>104</v>
      </c>
      <c r="E441" s="37" t="n">
        <v>1147063.3824</v>
      </c>
      <c r="F441" s="37" t="n">
        <v>1336113.1702</v>
      </c>
      <c r="G441" s="38" t="n">
        <f aca="false">E441-F441</f>
        <v>-189049.7878</v>
      </c>
      <c r="H441" s="45" t="n">
        <v>-0.141492346618888</v>
      </c>
      <c r="I441" s="39" t="n">
        <f aca="false">IF(F441&lt;&gt;0,G441/ABS(F441),"n/a")</f>
        <v>-0.141492346618888</v>
      </c>
      <c r="J441" s="46" t="str">
        <f aca="false">IF(H441="","guard",IF(ABS(H441-I441)&lt;0.000001,"OK","DIFF"))</f>
        <v>OK</v>
      </c>
    </row>
    <row r="442" customFormat="false" ht="15" hidden="false" customHeight="false" outlineLevel="0" collapsed="false">
      <c r="A442" s="23" t="s">
        <v>217</v>
      </c>
      <c r="B442" s="23" t="s">
        <v>225</v>
      </c>
      <c r="C442" s="36" t="n">
        <v>45839</v>
      </c>
      <c r="D442" s="37" t="n">
        <v>98</v>
      </c>
      <c r="E442" s="37" t="n">
        <v>1169753.4924</v>
      </c>
      <c r="F442" s="37" t="n">
        <v>1253186.4664</v>
      </c>
      <c r="G442" s="38" t="n">
        <f aca="false">E442-F442</f>
        <v>-83432.9740000006</v>
      </c>
      <c r="H442" s="45" t="n">
        <v>-0.066576663758328</v>
      </c>
      <c r="I442" s="39" t="n">
        <f aca="false">IF(F442&lt;&gt;0,G442/ABS(F442),"n/a")</f>
        <v>-0.0665766637583285</v>
      </c>
      <c r="J442" s="46" t="str">
        <f aca="false">IF(H442="","guard",IF(ABS(H442-I442)&lt;0.000001,"OK","DIFF"))</f>
        <v>OK</v>
      </c>
    </row>
    <row r="443" customFormat="false" ht="15" hidden="false" customHeight="false" outlineLevel="0" collapsed="false">
      <c r="A443" s="23" t="s">
        <v>217</v>
      </c>
      <c r="B443" s="23" t="s">
        <v>225</v>
      </c>
      <c r="C443" s="36" t="n">
        <v>45870</v>
      </c>
      <c r="D443" s="37" t="n">
        <v>81</v>
      </c>
      <c r="E443" s="37" t="n">
        <v>976997.0948</v>
      </c>
      <c r="F443" s="37" t="n">
        <v>942317.0583</v>
      </c>
      <c r="G443" s="38" t="n">
        <f aca="false">E443-F443</f>
        <v>34680.0364999996</v>
      </c>
      <c r="H443" s="45" t="n">
        <v>0.0368029382409409</v>
      </c>
      <c r="I443" s="39" t="n">
        <f aca="false">IF(F443&lt;&gt;0,G443/ABS(F443),"n/a")</f>
        <v>0.0368029382409404</v>
      </c>
      <c r="J443" s="46" t="str">
        <f aca="false">IF(H443="","guard",IF(ABS(H443-I443)&lt;0.000001,"OK","DIFF"))</f>
        <v>OK</v>
      </c>
    </row>
    <row r="444" customFormat="false" ht="15" hidden="false" customHeight="false" outlineLevel="0" collapsed="false">
      <c r="A444" s="23" t="s">
        <v>217</v>
      </c>
      <c r="B444" s="23" t="s">
        <v>225</v>
      </c>
      <c r="C444" s="36" t="n">
        <v>45901</v>
      </c>
      <c r="D444" s="37" t="n">
        <v>86</v>
      </c>
      <c r="E444" s="37" t="n">
        <v>1136476.0923</v>
      </c>
      <c r="F444" s="37" t="n">
        <v>922208.5863</v>
      </c>
      <c r="G444" s="38" t="n">
        <f aca="false">E444-F444</f>
        <v>214267.506000001</v>
      </c>
      <c r="H444" s="45" t="n">
        <v>0.232341694908377</v>
      </c>
      <c r="I444" s="39" t="n">
        <f aca="false">IF(F444&lt;&gt;0,G444/ABS(F444),"n/a")</f>
        <v>0.232341694908377</v>
      </c>
      <c r="J444" s="46" t="str">
        <f aca="false">IF(H444="","guard",IF(ABS(H444-I444)&lt;0.000001,"OK","DIFF"))</f>
        <v>OK</v>
      </c>
    </row>
    <row r="445" customFormat="false" ht="15" hidden="false" customHeight="false" outlineLevel="0" collapsed="false">
      <c r="A445" s="23" t="s">
        <v>217</v>
      </c>
      <c r="B445" s="23" t="s">
        <v>225</v>
      </c>
      <c r="C445" s="36" t="n">
        <v>45931</v>
      </c>
      <c r="D445" s="37" t="n">
        <v>81</v>
      </c>
      <c r="E445" s="37" t="n">
        <v>816625.876</v>
      </c>
      <c r="F445" s="37" t="n">
        <v>820010.8022</v>
      </c>
      <c r="G445" s="38" t="n">
        <f aca="false">E445-F445</f>
        <v>-3384.92620000045</v>
      </c>
      <c r="H445" s="45" t="n">
        <v>-0.00412790440189153</v>
      </c>
      <c r="I445" s="39" t="n">
        <f aca="false">IF(F445&lt;&gt;0,G445/ABS(F445),"n/a")</f>
        <v>-0.0041279044018921</v>
      </c>
      <c r="J445" s="46" t="str">
        <f aca="false">IF(H445="","guard",IF(ABS(H445-I445)&lt;0.000001,"OK","DIFF"))</f>
        <v>OK</v>
      </c>
    </row>
    <row r="446" customFormat="false" ht="15" hidden="false" customHeight="false" outlineLevel="0" collapsed="false">
      <c r="A446" s="23" t="s">
        <v>217</v>
      </c>
      <c r="B446" s="23" t="s">
        <v>225</v>
      </c>
      <c r="C446" s="36" t="n">
        <v>45962</v>
      </c>
      <c r="D446" s="37" t="n">
        <v>95</v>
      </c>
      <c r="E446" s="37" t="n">
        <v>1119473.4771</v>
      </c>
      <c r="F446" s="37" t="n">
        <v>1168845.8935</v>
      </c>
      <c r="G446" s="38" t="n">
        <f aca="false">E446-F446</f>
        <v>-49372.4164</v>
      </c>
      <c r="H446" s="45" t="n">
        <v>-0.0422403130083803</v>
      </c>
      <c r="I446" s="39" t="n">
        <f aca="false">IF(F446&lt;&gt;0,G446/ABS(F446),"n/a")</f>
        <v>-0.0422403130083803</v>
      </c>
      <c r="J446" s="46" t="str">
        <f aca="false">IF(H446="","guard",IF(ABS(H446-I446)&lt;0.000001,"OK","DIFF"))</f>
        <v>OK</v>
      </c>
    </row>
    <row r="447" customFormat="false" ht="15" hidden="false" customHeight="false" outlineLevel="0" collapsed="false">
      <c r="A447" s="23" t="s">
        <v>217</v>
      </c>
      <c r="B447" s="23" t="s">
        <v>225</v>
      </c>
      <c r="C447" s="36" t="n">
        <v>45992</v>
      </c>
      <c r="D447" s="37" t="n">
        <v>74</v>
      </c>
      <c r="E447" s="37" t="n">
        <v>876081.244</v>
      </c>
      <c r="F447" s="37" t="n">
        <v>858586.215</v>
      </c>
      <c r="G447" s="38" t="n">
        <f aca="false">E447-F447</f>
        <v>17495.0290000003</v>
      </c>
      <c r="H447" s="45" t="n">
        <v>0.0203765547295679</v>
      </c>
      <c r="I447" s="39" t="n">
        <f aca="false">IF(F447&lt;&gt;0,G447/ABS(F447),"n/a")</f>
        <v>0.0203765547295682</v>
      </c>
      <c r="J447" s="46" t="str">
        <f aca="false">IF(H447="","guard",IF(ABS(H447-I447)&lt;0.000001,"OK","DIFF"))</f>
        <v>OK</v>
      </c>
    </row>
    <row r="448" customFormat="false" ht="15" hidden="false" customHeight="false" outlineLevel="0" collapsed="false">
      <c r="A448" s="23" t="s">
        <v>217</v>
      </c>
      <c r="B448" s="23" t="s">
        <v>226</v>
      </c>
      <c r="C448" s="36" t="n">
        <v>44927</v>
      </c>
      <c r="D448" s="37" t="n">
        <v>220</v>
      </c>
      <c r="E448" s="37" t="n">
        <v>822972.1239</v>
      </c>
      <c r="F448" s="37" t="n">
        <v>844491.2543</v>
      </c>
      <c r="G448" s="38" t="n">
        <f aca="false">E448-F448</f>
        <v>-21519.1304000004</v>
      </c>
      <c r="H448" s="45" t="n">
        <v>-0.0254817682130258</v>
      </c>
      <c r="I448" s="39" t="n">
        <f aca="false">IF(F448&lt;&gt;0,G448/ABS(F448),"n/a")</f>
        <v>-0.0254817682130262</v>
      </c>
      <c r="J448" s="46" t="str">
        <f aca="false">IF(H448="","guard",IF(ABS(H448-I448)&lt;0.000001,"OK","DIFF"))</f>
        <v>OK</v>
      </c>
    </row>
    <row r="449" customFormat="false" ht="15" hidden="false" customHeight="false" outlineLevel="0" collapsed="false">
      <c r="A449" s="23" t="s">
        <v>217</v>
      </c>
      <c r="B449" s="23" t="s">
        <v>226</v>
      </c>
      <c r="C449" s="36" t="n">
        <v>44958</v>
      </c>
      <c r="D449" s="37" t="n">
        <v>230</v>
      </c>
      <c r="E449" s="37" t="n">
        <v>1205402.9499</v>
      </c>
      <c r="F449" s="37" t="n">
        <v>1159655.8444</v>
      </c>
      <c r="G449" s="38" t="n">
        <f aca="false">E449-F449</f>
        <v>45747.1055000003</v>
      </c>
      <c r="H449" s="45" t="n">
        <v>0.0394488638339674</v>
      </c>
      <c r="I449" s="39" t="n">
        <f aca="false">IF(F449&lt;&gt;0,G449/ABS(F449),"n/a")</f>
        <v>0.0394488638339676</v>
      </c>
      <c r="J449" s="46" t="str">
        <f aca="false">IF(H449="","guard",IF(ABS(H449-I449)&lt;0.000001,"OK","DIFF"))</f>
        <v>OK</v>
      </c>
    </row>
    <row r="450" customFormat="false" ht="15" hidden="false" customHeight="false" outlineLevel="0" collapsed="false">
      <c r="A450" s="23" t="s">
        <v>217</v>
      </c>
      <c r="B450" s="23" t="s">
        <v>226</v>
      </c>
      <c r="C450" s="36" t="n">
        <v>44986</v>
      </c>
      <c r="D450" s="37" t="n">
        <v>251</v>
      </c>
      <c r="E450" s="37" t="n">
        <v>1375123.8321</v>
      </c>
      <c r="F450" s="37" t="n">
        <v>1267718.0877</v>
      </c>
      <c r="G450" s="38" t="n">
        <f aca="false">E450-F450</f>
        <v>107405.7444</v>
      </c>
      <c r="H450" s="45" t="n">
        <v>0.0847236822146038</v>
      </c>
      <c r="I450" s="39" t="n">
        <f aca="false">IF(F450&lt;&gt;0,G450/ABS(F450),"n/a")</f>
        <v>0.0847236822146039</v>
      </c>
      <c r="J450" s="46" t="str">
        <f aca="false">IF(H450="","guard",IF(ABS(H450-I450)&lt;0.000001,"OK","DIFF"))</f>
        <v>OK</v>
      </c>
    </row>
    <row r="451" customFormat="false" ht="15" hidden="false" customHeight="false" outlineLevel="0" collapsed="false">
      <c r="A451" s="23" t="s">
        <v>217</v>
      </c>
      <c r="B451" s="23" t="s">
        <v>226</v>
      </c>
      <c r="C451" s="36" t="n">
        <v>45017</v>
      </c>
      <c r="D451" s="37" t="n">
        <v>248</v>
      </c>
      <c r="E451" s="37" t="n">
        <v>1120032.7701</v>
      </c>
      <c r="F451" s="37" t="n">
        <v>1110945.105</v>
      </c>
      <c r="G451" s="38" t="n">
        <f aca="false">E451-F451</f>
        <v>9087.66509999964</v>
      </c>
      <c r="H451" s="45" t="n">
        <v>0.00818012074502997</v>
      </c>
      <c r="I451" s="39" t="n">
        <f aca="false">IF(F451&lt;&gt;0,G451/ABS(F451),"n/a")</f>
        <v>0.00818012074502965</v>
      </c>
      <c r="J451" s="46" t="str">
        <f aca="false">IF(H451="","guard",IF(ABS(H451-I451)&lt;0.000001,"OK","DIFF"))</f>
        <v>OK</v>
      </c>
    </row>
    <row r="452" customFormat="false" ht="15" hidden="false" customHeight="false" outlineLevel="0" collapsed="false">
      <c r="A452" s="23" t="s">
        <v>217</v>
      </c>
      <c r="B452" s="23" t="s">
        <v>226</v>
      </c>
      <c r="C452" s="36" t="n">
        <v>45047</v>
      </c>
      <c r="D452" s="37" t="n">
        <v>209</v>
      </c>
      <c r="E452" s="37" t="n">
        <v>921066.3943</v>
      </c>
      <c r="F452" s="37" t="n">
        <v>914955.0295</v>
      </c>
      <c r="G452" s="38" t="n">
        <f aca="false">E452-F452</f>
        <v>6111.3648000001</v>
      </c>
      <c r="H452" s="45" t="n">
        <v>0.00667941549361142</v>
      </c>
      <c r="I452" s="39" t="n">
        <f aca="false">IF(F452&lt;&gt;0,G452/ABS(F452),"n/a")</f>
        <v>0.00667941549361153</v>
      </c>
      <c r="J452" s="46" t="str">
        <f aca="false">IF(H452="","guard",IF(ABS(H452-I452)&lt;0.000001,"OK","DIFF"))</f>
        <v>OK</v>
      </c>
    </row>
    <row r="453" customFormat="false" ht="15" hidden="false" customHeight="false" outlineLevel="0" collapsed="false">
      <c r="A453" s="23" t="s">
        <v>217</v>
      </c>
      <c r="B453" s="23" t="s">
        <v>226</v>
      </c>
      <c r="C453" s="36" t="n">
        <v>45078</v>
      </c>
      <c r="D453" s="37" t="n">
        <v>200</v>
      </c>
      <c r="E453" s="37" t="n">
        <v>902771.4858</v>
      </c>
      <c r="F453" s="37" t="n">
        <v>918147.538600001</v>
      </c>
      <c r="G453" s="38" t="n">
        <f aca="false">E453-F453</f>
        <v>-15376.0528000006</v>
      </c>
      <c r="H453" s="45" t="n">
        <v>-0.0167468213479562</v>
      </c>
      <c r="I453" s="39" t="n">
        <f aca="false">IF(F453&lt;&gt;0,G453/ABS(F453),"n/a")</f>
        <v>-0.016746821347957</v>
      </c>
      <c r="J453" s="46" t="str">
        <f aca="false">IF(H453="","guard",IF(ABS(H453-I453)&lt;0.000001,"OK","DIFF"))</f>
        <v>OK</v>
      </c>
    </row>
    <row r="454" customFormat="false" ht="15" hidden="false" customHeight="false" outlineLevel="0" collapsed="false">
      <c r="A454" s="23" t="s">
        <v>217</v>
      </c>
      <c r="B454" s="23" t="s">
        <v>226</v>
      </c>
      <c r="C454" s="36" t="n">
        <v>45108</v>
      </c>
      <c r="D454" s="37" t="n">
        <v>228</v>
      </c>
      <c r="E454" s="37" t="n">
        <v>1294512.0225</v>
      </c>
      <c r="F454" s="37" t="n">
        <v>1200716.1682</v>
      </c>
      <c r="G454" s="38" t="n">
        <f aca="false">E454-F454</f>
        <v>93795.8543000002</v>
      </c>
      <c r="H454" s="45" t="n">
        <v>0.0781165914011218</v>
      </c>
      <c r="I454" s="39" t="n">
        <f aca="false">IF(F454&lt;&gt;0,G454/ABS(F454),"n/a")</f>
        <v>0.078116591401122</v>
      </c>
      <c r="J454" s="46" t="str">
        <f aca="false">IF(H454="","guard",IF(ABS(H454-I454)&lt;0.000001,"OK","DIFF"))</f>
        <v>OK</v>
      </c>
    </row>
    <row r="455" customFormat="false" ht="15" hidden="false" customHeight="false" outlineLevel="0" collapsed="false">
      <c r="A455" s="23" t="s">
        <v>217</v>
      </c>
      <c r="B455" s="23" t="s">
        <v>226</v>
      </c>
      <c r="C455" s="36" t="n">
        <v>45139</v>
      </c>
      <c r="D455" s="37" t="n">
        <v>222</v>
      </c>
      <c r="E455" s="37" t="n">
        <v>1182951.0239</v>
      </c>
      <c r="F455" s="37" t="n">
        <v>1032430.1003</v>
      </c>
      <c r="G455" s="38" t="n">
        <f aca="false">E455-F455</f>
        <v>150520.9236</v>
      </c>
      <c r="H455" s="45" t="n">
        <v>0.145792846950377</v>
      </c>
      <c r="I455" s="39" t="n">
        <f aca="false">IF(F455&lt;&gt;0,G455/ABS(F455),"n/a")</f>
        <v>0.145792846950377</v>
      </c>
      <c r="J455" s="46" t="str">
        <f aca="false">IF(H455="","guard",IF(ABS(H455-I455)&lt;0.000001,"OK","DIFF"))</f>
        <v>OK</v>
      </c>
    </row>
    <row r="456" customFormat="false" ht="15" hidden="false" customHeight="false" outlineLevel="0" collapsed="false">
      <c r="A456" s="23" t="s">
        <v>217</v>
      </c>
      <c r="B456" s="23" t="s">
        <v>226</v>
      </c>
      <c r="C456" s="36" t="n">
        <v>45170</v>
      </c>
      <c r="D456" s="37" t="n">
        <v>217</v>
      </c>
      <c r="E456" s="37" t="n">
        <v>858140.0421</v>
      </c>
      <c r="F456" s="37" t="n">
        <v>914131.5059</v>
      </c>
      <c r="G456" s="38" t="n">
        <f aca="false">E456-F456</f>
        <v>-55991.4638000003</v>
      </c>
      <c r="H456" s="45" t="n">
        <v>-0.0612509944560703</v>
      </c>
      <c r="I456" s="39" t="n">
        <f aca="false">IF(F456&lt;&gt;0,G456/ABS(F456),"n/a")</f>
        <v>-0.0612509944560705</v>
      </c>
      <c r="J456" s="46" t="str">
        <f aca="false">IF(H456="","guard",IF(ABS(H456-I456)&lt;0.000001,"OK","DIFF"))</f>
        <v>OK</v>
      </c>
    </row>
    <row r="457" customFormat="false" ht="15" hidden="false" customHeight="false" outlineLevel="0" collapsed="false">
      <c r="A457" s="23" t="s">
        <v>217</v>
      </c>
      <c r="B457" s="23" t="s">
        <v>226</v>
      </c>
      <c r="C457" s="36" t="n">
        <v>45200</v>
      </c>
      <c r="D457" s="37" t="n">
        <v>236</v>
      </c>
      <c r="E457" s="37" t="n">
        <v>1120527.0568</v>
      </c>
      <c r="F457" s="37" t="n">
        <v>965250.0037</v>
      </c>
      <c r="G457" s="38" t="n">
        <f aca="false">E457-F457</f>
        <v>155277.0531</v>
      </c>
      <c r="H457" s="45" t="n">
        <v>0.160867187262151</v>
      </c>
      <c r="I457" s="39" t="n">
        <f aca="false">IF(F457&lt;&gt;0,G457/ABS(F457),"n/a")</f>
        <v>0.160867187262152</v>
      </c>
      <c r="J457" s="46" t="str">
        <f aca="false">IF(H457="","guard",IF(ABS(H457-I457)&lt;0.000001,"OK","DIFF"))</f>
        <v>OK</v>
      </c>
    </row>
    <row r="458" customFormat="false" ht="15" hidden="false" customHeight="false" outlineLevel="0" collapsed="false">
      <c r="A458" s="23" t="s">
        <v>217</v>
      </c>
      <c r="B458" s="23" t="s">
        <v>226</v>
      </c>
      <c r="C458" s="36" t="n">
        <v>45231</v>
      </c>
      <c r="D458" s="37" t="n">
        <v>200</v>
      </c>
      <c r="E458" s="37" t="n">
        <v>1007308.463</v>
      </c>
      <c r="F458" s="37" t="n">
        <v>892588.690700001</v>
      </c>
      <c r="G458" s="38" t="n">
        <f aca="false">E458-F458</f>
        <v>114719.7723</v>
      </c>
      <c r="H458" s="45" t="n">
        <v>0.128524788063394</v>
      </c>
      <c r="I458" s="39" t="n">
        <f aca="false">IF(F458&lt;&gt;0,G458/ABS(F458),"n/a")</f>
        <v>0.128524788063394</v>
      </c>
      <c r="J458" s="46" t="str">
        <f aca="false">IF(H458="","guard",IF(ABS(H458-I458)&lt;0.000001,"OK","DIFF"))</f>
        <v>OK</v>
      </c>
    </row>
    <row r="459" customFormat="false" ht="15" hidden="false" customHeight="false" outlineLevel="0" collapsed="false">
      <c r="A459" s="23" t="s">
        <v>217</v>
      </c>
      <c r="B459" s="23" t="s">
        <v>226</v>
      </c>
      <c r="C459" s="36" t="n">
        <v>45261</v>
      </c>
      <c r="D459" s="37" t="n">
        <v>220</v>
      </c>
      <c r="E459" s="37" t="n">
        <v>965586.2415</v>
      </c>
      <c r="F459" s="37" t="n">
        <v>806213.7478</v>
      </c>
      <c r="G459" s="38" t="n">
        <f aca="false">E459-F459</f>
        <v>159372.4937</v>
      </c>
      <c r="H459" s="45" t="n">
        <v>0.19768019850182</v>
      </c>
      <c r="I459" s="39" t="n">
        <f aca="false">IF(F459&lt;&gt;0,G459/ABS(F459),"n/a")</f>
        <v>0.19768019850182</v>
      </c>
      <c r="J459" s="46" t="str">
        <f aca="false">IF(H459="","guard",IF(ABS(H459-I459)&lt;0.000001,"OK","DIFF"))</f>
        <v>OK</v>
      </c>
    </row>
    <row r="460" customFormat="false" ht="15" hidden="false" customHeight="false" outlineLevel="0" collapsed="false">
      <c r="A460" s="23" t="s">
        <v>217</v>
      </c>
      <c r="B460" s="23" t="s">
        <v>226</v>
      </c>
      <c r="C460" s="36" t="n">
        <v>45292</v>
      </c>
      <c r="D460" s="37" t="n">
        <v>234</v>
      </c>
      <c r="E460" s="37" t="n">
        <v>1017801.2777</v>
      </c>
      <c r="F460" s="37" t="n">
        <v>821030.880900001</v>
      </c>
      <c r="G460" s="38" t="n">
        <f aca="false">E460-F460</f>
        <v>196770.396799999</v>
      </c>
      <c r="H460" s="45" t="n">
        <v>0.239662601465494</v>
      </c>
      <c r="I460" s="39" t="n">
        <f aca="false">IF(F460&lt;&gt;0,G460/ABS(F460),"n/a")</f>
        <v>0.239662601465493</v>
      </c>
      <c r="J460" s="46" t="str">
        <f aca="false">IF(H460="","guard",IF(ABS(H460-I460)&lt;0.000001,"OK","DIFF"))</f>
        <v>OK</v>
      </c>
    </row>
    <row r="461" customFormat="false" ht="15" hidden="false" customHeight="false" outlineLevel="0" collapsed="false">
      <c r="A461" s="23" t="s">
        <v>217</v>
      </c>
      <c r="B461" s="23" t="s">
        <v>226</v>
      </c>
      <c r="C461" s="36" t="n">
        <v>45323</v>
      </c>
      <c r="D461" s="37" t="n">
        <v>239</v>
      </c>
      <c r="E461" s="37" t="n">
        <v>1087317.6809</v>
      </c>
      <c r="F461" s="37" t="n">
        <v>1102372.9912</v>
      </c>
      <c r="G461" s="38" t="n">
        <f aca="false">E461-F461</f>
        <v>-15055.3103000005</v>
      </c>
      <c r="H461" s="45" t="n">
        <v>-0.01365718356689</v>
      </c>
      <c r="I461" s="39" t="n">
        <f aca="false">IF(F461&lt;&gt;0,G461/ABS(F461),"n/a")</f>
        <v>-0.0136571835668904</v>
      </c>
      <c r="J461" s="46" t="str">
        <f aca="false">IF(H461="","guard",IF(ABS(H461-I461)&lt;0.000001,"OK","DIFF"))</f>
        <v>OK</v>
      </c>
    </row>
    <row r="462" customFormat="false" ht="15" hidden="false" customHeight="false" outlineLevel="0" collapsed="false">
      <c r="A462" s="23" t="s">
        <v>217</v>
      </c>
      <c r="B462" s="23" t="s">
        <v>226</v>
      </c>
      <c r="C462" s="36" t="n">
        <v>45352</v>
      </c>
      <c r="D462" s="37" t="n">
        <v>248</v>
      </c>
      <c r="E462" s="37" t="n">
        <v>1354494.9226</v>
      </c>
      <c r="F462" s="37" t="n">
        <v>1147417.468</v>
      </c>
      <c r="G462" s="38" t="n">
        <f aca="false">E462-F462</f>
        <v>207077.454599999</v>
      </c>
      <c r="H462" s="45" t="n">
        <v>0.180472635614434</v>
      </c>
      <c r="I462" s="39" t="n">
        <f aca="false">IF(F462&lt;&gt;0,G462/ABS(F462),"n/a")</f>
        <v>0.180472635614433</v>
      </c>
      <c r="J462" s="46" t="str">
        <f aca="false">IF(H462="","guard",IF(ABS(H462-I462)&lt;0.000001,"OK","DIFF"))</f>
        <v>OK</v>
      </c>
    </row>
    <row r="463" customFormat="false" ht="15" hidden="false" customHeight="false" outlineLevel="0" collapsed="false">
      <c r="A463" s="23" t="s">
        <v>217</v>
      </c>
      <c r="B463" s="23" t="s">
        <v>226</v>
      </c>
      <c r="C463" s="36" t="n">
        <v>45383</v>
      </c>
      <c r="D463" s="37" t="n">
        <v>220</v>
      </c>
      <c r="E463" s="37" t="n">
        <v>1131705.4767</v>
      </c>
      <c r="F463" s="37" t="n">
        <v>1009263.5399</v>
      </c>
      <c r="G463" s="38" t="n">
        <f aca="false">E463-F463</f>
        <v>122441.936800001</v>
      </c>
      <c r="H463" s="45" t="n">
        <v>0.121318101724087</v>
      </c>
      <c r="I463" s="39" t="n">
        <f aca="false">IF(F463&lt;&gt;0,G463/ABS(F463),"n/a")</f>
        <v>0.121318101724087</v>
      </c>
      <c r="J463" s="46" t="str">
        <f aca="false">IF(H463="","guard",IF(ABS(H463-I463)&lt;0.000001,"OK","DIFF"))</f>
        <v>OK</v>
      </c>
    </row>
    <row r="464" customFormat="false" ht="15" hidden="false" customHeight="false" outlineLevel="0" collapsed="false">
      <c r="A464" s="23" t="s">
        <v>217</v>
      </c>
      <c r="B464" s="23" t="s">
        <v>226</v>
      </c>
      <c r="C464" s="36" t="n">
        <v>45413</v>
      </c>
      <c r="D464" s="37" t="n">
        <v>235</v>
      </c>
      <c r="E464" s="37" t="n">
        <v>1298424.8721</v>
      </c>
      <c r="F464" s="37" t="n">
        <v>1358075.8608</v>
      </c>
      <c r="G464" s="38" t="n">
        <f aca="false">E464-F464</f>
        <v>-59650.9886999999</v>
      </c>
      <c r="H464" s="45" t="n">
        <v>-0.0439231639570278</v>
      </c>
      <c r="I464" s="39" t="n">
        <f aca="false">IF(F464&lt;&gt;0,G464/ABS(F464),"n/a")</f>
        <v>-0.0439231639570277</v>
      </c>
      <c r="J464" s="46" t="str">
        <f aca="false">IF(H464="","guard",IF(ABS(H464-I464)&lt;0.000001,"OK","DIFF"))</f>
        <v>OK</v>
      </c>
    </row>
    <row r="465" customFormat="false" ht="15" hidden="false" customHeight="false" outlineLevel="0" collapsed="false">
      <c r="A465" s="23" t="s">
        <v>217</v>
      </c>
      <c r="B465" s="23" t="s">
        <v>226</v>
      </c>
      <c r="C465" s="36" t="n">
        <v>45444</v>
      </c>
      <c r="D465" s="37" t="n">
        <v>236</v>
      </c>
      <c r="E465" s="37" t="n">
        <v>1306955.4449</v>
      </c>
      <c r="F465" s="37" t="n">
        <v>1327522.2559</v>
      </c>
      <c r="G465" s="38" t="n">
        <f aca="false">E465-F465</f>
        <v>-20566.8109999998</v>
      </c>
      <c r="H465" s="45" t="n">
        <v>-0.0154926299040137</v>
      </c>
      <c r="I465" s="39" t="n">
        <f aca="false">IF(F465&lt;&gt;0,G465/ABS(F465),"n/a")</f>
        <v>-0.0154926299040135</v>
      </c>
      <c r="J465" s="46" t="str">
        <f aca="false">IF(H465="","guard",IF(ABS(H465-I465)&lt;0.000001,"OK","DIFF"))</f>
        <v>OK</v>
      </c>
    </row>
    <row r="466" customFormat="false" ht="15" hidden="false" customHeight="false" outlineLevel="0" collapsed="false">
      <c r="A466" s="23" t="s">
        <v>217</v>
      </c>
      <c r="B466" s="23" t="s">
        <v>226</v>
      </c>
      <c r="C466" s="36" t="n">
        <v>45474</v>
      </c>
      <c r="D466" s="37" t="n">
        <v>223</v>
      </c>
      <c r="E466" s="37" t="n">
        <v>1083507.4371</v>
      </c>
      <c r="F466" s="37" t="n">
        <v>1092327.555</v>
      </c>
      <c r="G466" s="38" t="n">
        <f aca="false">E466-F466</f>
        <v>-8820.11789999949</v>
      </c>
      <c r="H466" s="45" t="n">
        <v>-0.00807460899400276</v>
      </c>
      <c r="I466" s="39" t="n">
        <f aca="false">IF(F466&lt;&gt;0,G466/ABS(F466),"n/a")</f>
        <v>-0.00807460899400226</v>
      </c>
      <c r="J466" s="46" t="str">
        <f aca="false">IF(H466="","guard",IF(ABS(H466-I466)&lt;0.000001,"OK","DIFF"))</f>
        <v>OK</v>
      </c>
    </row>
    <row r="467" customFormat="false" ht="15" hidden="false" customHeight="false" outlineLevel="0" collapsed="false">
      <c r="A467" s="23" t="s">
        <v>217</v>
      </c>
      <c r="B467" s="23" t="s">
        <v>226</v>
      </c>
      <c r="C467" s="36" t="n">
        <v>45505</v>
      </c>
      <c r="D467" s="37" t="n">
        <v>218</v>
      </c>
      <c r="E467" s="37" t="n">
        <v>1262358.8753</v>
      </c>
      <c r="F467" s="37" t="n">
        <v>1179516.3771</v>
      </c>
      <c r="G467" s="38" t="n">
        <f aca="false">E467-F467</f>
        <v>82842.4982000003</v>
      </c>
      <c r="H467" s="45" t="n">
        <v>0.0702342924679685</v>
      </c>
      <c r="I467" s="39" t="n">
        <f aca="false">IF(F467&lt;&gt;0,G467/ABS(F467),"n/a")</f>
        <v>0.0702342924679687</v>
      </c>
      <c r="J467" s="46" t="str">
        <f aca="false">IF(H467="","guard",IF(ABS(H467-I467)&lt;0.000001,"OK","DIFF"))</f>
        <v>OK</v>
      </c>
    </row>
    <row r="468" customFormat="false" ht="15" hidden="false" customHeight="false" outlineLevel="0" collapsed="false">
      <c r="A468" s="23" t="s">
        <v>217</v>
      </c>
      <c r="B468" s="23" t="s">
        <v>226</v>
      </c>
      <c r="C468" s="36" t="n">
        <v>45536</v>
      </c>
      <c r="D468" s="37" t="n">
        <v>232</v>
      </c>
      <c r="E468" s="37" t="n">
        <v>1189366.3144</v>
      </c>
      <c r="F468" s="37" t="n">
        <v>1023561.003</v>
      </c>
      <c r="G468" s="38" t="n">
        <f aca="false">E468-F468</f>
        <v>165805.3114</v>
      </c>
      <c r="H468" s="45" t="n">
        <v>0.161988695264898</v>
      </c>
      <c r="I468" s="39" t="n">
        <f aca="false">IF(F468&lt;&gt;0,G468/ABS(F468),"n/a")</f>
        <v>0.161988695264898</v>
      </c>
      <c r="J468" s="46" t="str">
        <f aca="false">IF(H468="","guard",IF(ABS(H468-I468)&lt;0.000001,"OK","DIFF"))</f>
        <v>OK</v>
      </c>
    </row>
    <row r="469" customFormat="false" ht="15" hidden="false" customHeight="false" outlineLevel="0" collapsed="false">
      <c r="A469" s="23" t="s">
        <v>217</v>
      </c>
      <c r="B469" s="23" t="s">
        <v>226</v>
      </c>
      <c r="C469" s="36" t="n">
        <v>45566</v>
      </c>
      <c r="D469" s="37" t="n">
        <v>225</v>
      </c>
      <c r="E469" s="37" t="n">
        <v>933841.68</v>
      </c>
      <c r="F469" s="37" t="n">
        <v>1112546.9172</v>
      </c>
      <c r="G469" s="38" t="n">
        <f aca="false">E469-F469</f>
        <v>-178705.2372</v>
      </c>
      <c r="H469" s="45" t="n">
        <v>-0.160627146987883</v>
      </c>
      <c r="I469" s="39" t="n">
        <f aca="false">IF(F469&lt;&gt;0,G469/ABS(F469),"n/a")</f>
        <v>-0.160627146987883</v>
      </c>
      <c r="J469" s="46" t="str">
        <f aca="false">IF(H469="","guard",IF(ABS(H469-I469)&lt;0.000001,"OK","DIFF"))</f>
        <v>OK</v>
      </c>
    </row>
    <row r="470" customFormat="false" ht="15" hidden="false" customHeight="false" outlineLevel="0" collapsed="false">
      <c r="A470" s="23" t="s">
        <v>217</v>
      </c>
      <c r="B470" s="23" t="s">
        <v>226</v>
      </c>
      <c r="C470" s="36" t="n">
        <v>45597</v>
      </c>
      <c r="D470" s="37" t="n">
        <v>245</v>
      </c>
      <c r="E470" s="37" t="n">
        <v>1138203.2009</v>
      </c>
      <c r="F470" s="37" t="n">
        <v>1149335.6139</v>
      </c>
      <c r="G470" s="38" t="n">
        <f aca="false">E470-F470</f>
        <v>-11132.412999999</v>
      </c>
      <c r="H470" s="45" t="n">
        <v>-0.009685954968562</v>
      </c>
      <c r="I470" s="39" t="n">
        <f aca="false">IF(F470&lt;&gt;0,G470/ABS(F470),"n/a")</f>
        <v>-0.00968595496856118</v>
      </c>
      <c r="J470" s="46" t="str">
        <f aca="false">IF(H470="","guard",IF(ABS(H470-I470)&lt;0.000001,"OK","DIFF"))</f>
        <v>OK</v>
      </c>
    </row>
    <row r="471" customFormat="false" ht="15" hidden="false" customHeight="false" outlineLevel="0" collapsed="false">
      <c r="A471" s="23" t="s">
        <v>217</v>
      </c>
      <c r="B471" s="23" t="s">
        <v>226</v>
      </c>
      <c r="C471" s="36" t="n">
        <v>45627</v>
      </c>
      <c r="D471" s="37" t="n">
        <v>205</v>
      </c>
      <c r="E471" s="37" t="n">
        <v>1050674.3623</v>
      </c>
      <c r="F471" s="37" t="n">
        <v>940429.1423</v>
      </c>
      <c r="G471" s="38" t="n">
        <f aca="false">E471-F471</f>
        <v>110245.219999999</v>
      </c>
      <c r="H471" s="45" t="n">
        <v>0.117228630038382</v>
      </c>
      <c r="I471" s="39" t="n">
        <f aca="false">IF(F471&lt;&gt;0,G471/ABS(F471),"n/a")</f>
        <v>0.117228630038382</v>
      </c>
      <c r="J471" s="46" t="str">
        <f aca="false">IF(H471="","guard",IF(ABS(H471-I471)&lt;0.000001,"OK","DIFF"))</f>
        <v>OK</v>
      </c>
    </row>
    <row r="472" customFormat="false" ht="15" hidden="false" customHeight="false" outlineLevel="0" collapsed="false">
      <c r="A472" s="23" t="s">
        <v>217</v>
      </c>
      <c r="B472" s="23" t="s">
        <v>226</v>
      </c>
      <c r="C472" s="36" t="n">
        <v>45658</v>
      </c>
      <c r="D472" s="37" t="n">
        <v>211</v>
      </c>
      <c r="E472" s="37" t="n">
        <v>1076629.8881</v>
      </c>
      <c r="F472" s="37" t="n">
        <v>1075090.2424</v>
      </c>
      <c r="G472" s="38" t="n">
        <f aca="false">E472-F472</f>
        <v>1539.64569999953</v>
      </c>
      <c r="H472" s="45" t="n">
        <v>0.00143210833777353</v>
      </c>
      <c r="I472" s="39" t="n">
        <f aca="false">IF(F472&lt;&gt;0,G472/ABS(F472),"n/a")</f>
        <v>0.00143210833777309</v>
      </c>
      <c r="J472" s="46" t="str">
        <f aca="false">IF(H472="","guard",IF(ABS(H472-I472)&lt;0.000001,"OK","DIFF"))</f>
        <v>OK</v>
      </c>
    </row>
    <row r="473" customFormat="false" ht="15" hidden="false" customHeight="false" outlineLevel="0" collapsed="false">
      <c r="A473" s="23" t="s">
        <v>217</v>
      </c>
      <c r="B473" s="23" t="s">
        <v>226</v>
      </c>
      <c r="C473" s="36" t="n">
        <v>45689</v>
      </c>
      <c r="D473" s="37" t="n">
        <v>223</v>
      </c>
      <c r="E473" s="37" t="n">
        <v>943930.9066</v>
      </c>
      <c r="F473" s="37" t="n">
        <v>868204.8637</v>
      </c>
      <c r="G473" s="38" t="n">
        <f aca="false">E473-F473</f>
        <v>75726.0429</v>
      </c>
      <c r="H473" s="45" t="n">
        <v>0.0872213990800292</v>
      </c>
      <c r="I473" s="39" t="n">
        <f aca="false">IF(F473&lt;&gt;0,G473/ABS(F473),"n/a")</f>
        <v>0.0872213990800291</v>
      </c>
      <c r="J473" s="46" t="str">
        <f aca="false">IF(H473="","guard",IF(ABS(H473-I473)&lt;0.000001,"OK","DIFF"))</f>
        <v>OK</v>
      </c>
    </row>
    <row r="474" customFormat="false" ht="15" hidden="false" customHeight="false" outlineLevel="0" collapsed="false">
      <c r="A474" s="23" t="s">
        <v>217</v>
      </c>
      <c r="B474" s="23" t="s">
        <v>226</v>
      </c>
      <c r="C474" s="36" t="n">
        <v>45717</v>
      </c>
      <c r="D474" s="37" t="n">
        <v>236</v>
      </c>
      <c r="E474" s="37" t="n">
        <v>1161597.403</v>
      </c>
      <c r="F474" s="37" t="n">
        <v>1335409.8723</v>
      </c>
      <c r="G474" s="38" t="n">
        <f aca="false">E474-F474</f>
        <v>-173812.469300001</v>
      </c>
      <c r="H474" s="45" t="n">
        <v>-0.13015664546544</v>
      </c>
      <c r="I474" s="39" t="n">
        <f aca="false">IF(F474&lt;&gt;0,G474/ABS(F474),"n/a")</f>
        <v>-0.130156645465441</v>
      </c>
      <c r="J474" s="46" t="str">
        <f aca="false">IF(H474="","guard",IF(ABS(H474-I474)&lt;0.000001,"OK","DIFF"))</f>
        <v>OK</v>
      </c>
    </row>
    <row r="475" customFormat="false" ht="15" hidden="false" customHeight="false" outlineLevel="0" collapsed="false">
      <c r="A475" s="23" t="s">
        <v>217</v>
      </c>
      <c r="B475" s="23" t="s">
        <v>226</v>
      </c>
      <c r="C475" s="36" t="n">
        <v>45748</v>
      </c>
      <c r="D475" s="37" t="n">
        <v>225</v>
      </c>
      <c r="E475" s="37" t="n">
        <v>1216031.3479</v>
      </c>
      <c r="F475" s="37" t="n">
        <v>1180655.874</v>
      </c>
      <c r="G475" s="38" t="n">
        <f aca="false">E475-F475</f>
        <v>35375.4738999994</v>
      </c>
      <c r="H475" s="45" t="n">
        <v>0.0299625612162075</v>
      </c>
      <c r="I475" s="39" t="n">
        <f aca="false">IF(F475&lt;&gt;0,G475/ABS(F475),"n/a")</f>
        <v>0.029962561216207</v>
      </c>
      <c r="J475" s="46" t="str">
        <f aca="false">IF(H475="","guard",IF(ABS(H475-I475)&lt;0.000001,"OK","DIFF"))</f>
        <v>OK</v>
      </c>
    </row>
    <row r="476" customFormat="false" ht="15" hidden="false" customHeight="false" outlineLevel="0" collapsed="false">
      <c r="A476" s="23" t="s">
        <v>217</v>
      </c>
      <c r="B476" s="23" t="s">
        <v>226</v>
      </c>
      <c r="C476" s="36" t="n">
        <v>45778</v>
      </c>
      <c r="D476" s="37" t="n">
        <v>227</v>
      </c>
      <c r="E476" s="37" t="n">
        <v>1311429.6305</v>
      </c>
      <c r="F476" s="37" t="n">
        <v>1225298.6584</v>
      </c>
      <c r="G476" s="38" t="n">
        <f aca="false">E476-F476</f>
        <v>86130.9721000006</v>
      </c>
      <c r="H476" s="45" t="n">
        <v>0.0702938597945339</v>
      </c>
      <c r="I476" s="39" t="n">
        <f aca="false">IF(F476&lt;&gt;0,G476/ABS(F476),"n/a")</f>
        <v>0.0702938597945344</v>
      </c>
      <c r="J476" s="46" t="str">
        <f aca="false">IF(H476="","guard",IF(ABS(H476-I476)&lt;0.000001,"OK","DIFF"))</f>
        <v>OK</v>
      </c>
    </row>
    <row r="477" customFormat="false" ht="15" hidden="false" customHeight="false" outlineLevel="0" collapsed="false">
      <c r="A477" s="23" t="s">
        <v>217</v>
      </c>
      <c r="B477" s="23" t="s">
        <v>226</v>
      </c>
      <c r="C477" s="36" t="n">
        <v>45809</v>
      </c>
      <c r="D477" s="37" t="n">
        <v>206</v>
      </c>
      <c r="E477" s="37" t="n">
        <v>1293699.7072</v>
      </c>
      <c r="F477" s="37" t="n">
        <v>1202039.0124</v>
      </c>
      <c r="G477" s="38" t="n">
        <f aca="false">E477-F477</f>
        <v>91660.6947999995</v>
      </c>
      <c r="H477" s="45" t="n">
        <v>0.0762543427080537</v>
      </c>
      <c r="I477" s="39" t="n">
        <f aca="false">IF(F477&lt;&gt;0,G477/ABS(F477),"n/a")</f>
        <v>0.0762543427080532</v>
      </c>
      <c r="J477" s="46" t="str">
        <f aca="false">IF(H477="","guard",IF(ABS(H477-I477)&lt;0.000001,"OK","DIFF"))</f>
        <v>OK</v>
      </c>
    </row>
    <row r="478" customFormat="false" ht="15" hidden="false" customHeight="false" outlineLevel="0" collapsed="false">
      <c r="A478" s="23" t="s">
        <v>217</v>
      </c>
      <c r="B478" s="23" t="s">
        <v>226</v>
      </c>
      <c r="C478" s="36" t="n">
        <v>45839</v>
      </c>
      <c r="D478" s="37" t="n">
        <v>205</v>
      </c>
      <c r="E478" s="37" t="n">
        <v>1217339.9951</v>
      </c>
      <c r="F478" s="37" t="n">
        <v>1084218.186</v>
      </c>
      <c r="G478" s="38" t="n">
        <f aca="false">E478-F478</f>
        <v>133121.809099999</v>
      </c>
      <c r="H478" s="45" t="n">
        <v>0.122781383690976</v>
      </c>
      <c r="I478" s="39" t="n">
        <f aca="false">IF(F478&lt;&gt;0,G478/ABS(F478),"n/a")</f>
        <v>0.122781383690975</v>
      </c>
      <c r="J478" s="46" t="str">
        <f aca="false">IF(H478="","guard",IF(ABS(H478-I478)&lt;0.000001,"OK","DIFF"))</f>
        <v>OK</v>
      </c>
    </row>
    <row r="479" customFormat="false" ht="15" hidden="false" customHeight="false" outlineLevel="0" collapsed="false">
      <c r="A479" s="23" t="s">
        <v>217</v>
      </c>
      <c r="B479" s="23" t="s">
        <v>226</v>
      </c>
      <c r="C479" s="36" t="n">
        <v>45870</v>
      </c>
      <c r="D479" s="37" t="n">
        <v>253</v>
      </c>
      <c r="E479" s="37" t="n">
        <v>1559368.5263</v>
      </c>
      <c r="F479" s="37" t="n">
        <v>1442700.8226</v>
      </c>
      <c r="G479" s="38" t="n">
        <f aca="false">E479-F479</f>
        <v>116667.703699999</v>
      </c>
      <c r="H479" s="45" t="n">
        <v>0.0808675657990853</v>
      </c>
      <c r="I479" s="39" t="n">
        <f aca="false">IF(F479&lt;&gt;0,G479/ABS(F479),"n/a")</f>
        <v>0.0808675657990849</v>
      </c>
      <c r="J479" s="46" t="str">
        <f aca="false">IF(H479="","guard",IF(ABS(H479-I479)&lt;0.000001,"OK","DIFF"))</f>
        <v>OK</v>
      </c>
    </row>
    <row r="480" customFormat="false" ht="15" hidden="false" customHeight="false" outlineLevel="0" collapsed="false">
      <c r="A480" s="23" t="s">
        <v>217</v>
      </c>
      <c r="B480" s="23" t="s">
        <v>226</v>
      </c>
      <c r="C480" s="36" t="n">
        <v>45901</v>
      </c>
      <c r="D480" s="37" t="n">
        <v>212</v>
      </c>
      <c r="E480" s="37" t="n">
        <v>1190632.3901</v>
      </c>
      <c r="F480" s="37" t="n">
        <v>1117254.4645</v>
      </c>
      <c r="G480" s="38" t="n">
        <f aca="false">E480-F480</f>
        <v>73377.9255999997</v>
      </c>
      <c r="H480" s="45" t="n">
        <v>0.0656770037010669</v>
      </c>
      <c r="I480" s="39" t="n">
        <f aca="false">IF(F480&lt;&gt;0,G480/ABS(F480),"n/a")</f>
        <v>0.0656770037010666</v>
      </c>
      <c r="J480" s="46" t="str">
        <f aca="false">IF(H480="","guard",IF(ABS(H480-I480)&lt;0.000001,"OK","DIFF"))</f>
        <v>OK</v>
      </c>
    </row>
    <row r="481" customFormat="false" ht="15" hidden="false" customHeight="false" outlineLevel="0" collapsed="false">
      <c r="A481" s="23" t="s">
        <v>217</v>
      </c>
      <c r="B481" s="23" t="s">
        <v>226</v>
      </c>
      <c r="C481" s="36" t="n">
        <v>45931</v>
      </c>
      <c r="D481" s="37" t="n">
        <v>229</v>
      </c>
      <c r="E481" s="37" t="n">
        <v>1184304.5381</v>
      </c>
      <c r="F481" s="37" t="n">
        <v>1133377.4528</v>
      </c>
      <c r="G481" s="38" t="n">
        <f aca="false">E481-F481</f>
        <v>50927.0853000002</v>
      </c>
      <c r="H481" s="45" t="n">
        <v>0.0449339142702946</v>
      </c>
      <c r="I481" s="39" t="n">
        <f aca="false">IF(F481&lt;&gt;0,G481/ABS(F481),"n/a")</f>
        <v>0.0449339142702947</v>
      </c>
      <c r="J481" s="46" t="str">
        <f aca="false">IF(H481="","guard",IF(ABS(H481-I481)&lt;0.000001,"OK","DIFF"))</f>
        <v>OK</v>
      </c>
    </row>
    <row r="482" customFormat="false" ht="15" hidden="false" customHeight="false" outlineLevel="0" collapsed="false">
      <c r="A482" s="23" t="s">
        <v>217</v>
      </c>
      <c r="B482" s="23" t="s">
        <v>226</v>
      </c>
      <c r="C482" s="36" t="n">
        <v>45962</v>
      </c>
      <c r="D482" s="37" t="n">
        <v>264</v>
      </c>
      <c r="E482" s="37" t="n">
        <v>1301613.5199</v>
      </c>
      <c r="F482" s="37" t="n">
        <v>1218155.0705</v>
      </c>
      <c r="G482" s="38" t="n">
        <f aca="false">E482-F482</f>
        <v>83458.4494000007</v>
      </c>
      <c r="H482" s="45" t="n">
        <v>0.0685121717432445</v>
      </c>
      <c r="I482" s="39" t="n">
        <f aca="false">IF(F482&lt;&gt;0,G482/ABS(F482),"n/a")</f>
        <v>0.068512171743245</v>
      </c>
      <c r="J482" s="46" t="str">
        <f aca="false">IF(H482="","guard",IF(ABS(H482-I482)&lt;0.000001,"OK","DIFF"))</f>
        <v>OK</v>
      </c>
    </row>
    <row r="483" customFormat="false" ht="15" hidden="false" customHeight="false" outlineLevel="0" collapsed="false">
      <c r="A483" s="23" t="s">
        <v>217</v>
      </c>
      <c r="B483" s="23" t="s">
        <v>226</v>
      </c>
      <c r="C483" s="36" t="n">
        <v>45992</v>
      </c>
      <c r="D483" s="37" t="n">
        <v>221</v>
      </c>
      <c r="E483" s="37" t="n">
        <v>1073105.799</v>
      </c>
      <c r="F483" s="37" t="n">
        <v>1063262.5366</v>
      </c>
      <c r="G483" s="38" t="n">
        <f aca="false">E483-F483</f>
        <v>9843.26240000012</v>
      </c>
      <c r="H483" s="45" t="n">
        <v>0.00925760295427678</v>
      </c>
      <c r="I483" s="39" t="n">
        <f aca="false">IF(F483&lt;&gt;0,G483/ABS(F483),"n/a")</f>
        <v>0.00925760295427691</v>
      </c>
      <c r="J483" s="46" t="str">
        <f aca="false">IF(H483="","guard",IF(ABS(H483-I483)&lt;0.000001,"OK","DIFF"))</f>
        <v>OK</v>
      </c>
    </row>
    <row r="484" customFormat="false" ht="15" hidden="false" customHeight="false" outlineLevel="0" collapsed="false">
      <c r="A484" s="23" t="s">
        <v>217</v>
      </c>
      <c r="B484" s="23" t="s">
        <v>227</v>
      </c>
      <c r="C484" s="36" t="n">
        <v>44927</v>
      </c>
      <c r="D484" s="37" t="n">
        <v>8</v>
      </c>
      <c r="E484" s="37" t="n">
        <v>27578.96</v>
      </c>
      <c r="F484" s="37" t="n">
        <v>15214.8674</v>
      </c>
      <c r="G484" s="38" t="n">
        <f aca="false">E484-F484</f>
        <v>12364.0926</v>
      </c>
      <c r="H484" s="45"/>
      <c r="I484" s="39" t="n">
        <f aca="false">IF(F484&lt;&gt;0,G484/ABS(F484),"n/a")</f>
        <v>0.812632294120421</v>
      </c>
      <c r="J484" s="46" t="str">
        <f aca="false">IF(H484="","guard",IF(ABS(H484-I484)&lt;0.000001,"OK","DIFF"))</f>
        <v>guard</v>
      </c>
    </row>
    <row r="485" customFormat="false" ht="15" hidden="false" customHeight="false" outlineLevel="0" collapsed="false">
      <c r="A485" s="23" t="s">
        <v>217</v>
      </c>
      <c r="B485" s="23" t="s">
        <v>227</v>
      </c>
      <c r="C485" s="36" t="n">
        <v>44958</v>
      </c>
      <c r="D485" s="37" t="n">
        <v>11</v>
      </c>
      <c r="E485" s="37" t="n">
        <v>64012.01</v>
      </c>
      <c r="F485" s="37" t="n">
        <v>68480.84</v>
      </c>
      <c r="G485" s="38" t="n">
        <f aca="false">E485-F485</f>
        <v>-4468.82999999999</v>
      </c>
      <c r="H485" s="45" t="n">
        <v>-0.0652566469686996</v>
      </c>
      <c r="I485" s="39" t="n">
        <f aca="false">IF(F485&lt;&gt;0,G485/ABS(F485),"n/a")</f>
        <v>-0.0652566469686994</v>
      </c>
      <c r="J485" s="46" t="str">
        <f aca="false">IF(H485="","guard",IF(ABS(H485-I485)&lt;0.000001,"OK","DIFF"))</f>
        <v>OK</v>
      </c>
    </row>
    <row r="486" customFormat="false" ht="15" hidden="false" customHeight="false" outlineLevel="0" collapsed="false">
      <c r="A486" s="23" t="s">
        <v>217</v>
      </c>
      <c r="B486" s="23" t="s">
        <v>227</v>
      </c>
      <c r="C486" s="36" t="n">
        <v>44986</v>
      </c>
      <c r="D486" s="37" t="n">
        <v>6</v>
      </c>
      <c r="E486" s="37" t="n">
        <v>28100.2316</v>
      </c>
      <c r="F486" s="37" t="n">
        <v>6162.03</v>
      </c>
      <c r="G486" s="38" t="n">
        <f aca="false">E486-F486</f>
        <v>21938.2016</v>
      </c>
      <c r="H486" s="45"/>
      <c r="I486" s="39" t="n">
        <f aca="false">IF(F486&lt;&gt;0,G486/ABS(F486),"n/a")</f>
        <v>3.56022310829386</v>
      </c>
      <c r="J486" s="46" t="str">
        <f aca="false">IF(H486="","guard",IF(ABS(H486-I486)&lt;0.000001,"OK","DIFF"))</f>
        <v>guard</v>
      </c>
    </row>
    <row r="487" customFormat="false" ht="15" hidden="false" customHeight="false" outlineLevel="0" collapsed="false">
      <c r="A487" s="23" t="s">
        <v>217</v>
      </c>
      <c r="B487" s="23" t="s">
        <v>227</v>
      </c>
      <c r="C487" s="36" t="n">
        <v>45017</v>
      </c>
      <c r="D487" s="37" t="n">
        <v>10</v>
      </c>
      <c r="E487" s="37" t="n">
        <v>45298.7802</v>
      </c>
      <c r="F487" s="37" t="n">
        <v>42536.7735</v>
      </c>
      <c r="G487" s="38" t="n">
        <f aca="false">E487-F487</f>
        <v>2762.0067</v>
      </c>
      <c r="H487" s="45" t="n">
        <v>0.0649322097737385</v>
      </c>
      <c r="I487" s="39" t="n">
        <f aca="false">IF(F487&lt;&gt;0,G487/ABS(F487),"n/a")</f>
        <v>0.0649322097737384</v>
      </c>
      <c r="J487" s="46" t="str">
        <f aca="false">IF(H487="","guard",IF(ABS(H487-I487)&lt;0.000001,"OK","DIFF"))</f>
        <v>OK</v>
      </c>
    </row>
    <row r="488" customFormat="false" ht="15" hidden="false" customHeight="false" outlineLevel="0" collapsed="false">
      <c r="A488" s="23" t="s">
        <v>217</v>
      </c>
      <c r="B488" s="23" t="s">
        <v>227</v>
      </c>
      <c r="C488" s="36" t="n">
        <v>45047</v>
      </c>
      <c r="D488" s="37" t="n">
        <v>12</v>
      </c>
      <c r="E488" s="37" t="n">
        <v>89978.81</v>
      </c>
      <c r="F488" s="37" t="n">
        <v>83879.3375</v>
      </c>
      <c r="G488" s="38" t="n">
        <f aca="false">E488-F488</f>
        <v>6099.4725</v>
      </c>
      <c r="H488" s="45" t="n">
        <v>0.072717223118268</v>
      </c>
      <c r="I488" s="39" t="n">
        <f aca="false">IF(F488&lt;&gt;0,G488/ABS(F488),"n/a")</f>
        <v>0.072717223118268</v>
      </c>
      <c r="J488" s="46" t="str">
        <f aca="false">IF(H488="","guard",IF(ABS(H488-I488)&lt;0.000001,"OK","DIFF"))</f>
        <v>OK</v>
      </c>
    </row>
    <row r="489" customFormat="false" ht="15" hidden="false" customHeight="false" outlineLevel="0" collapsed="false">
      <c r="A489" s="23" t="s">
        <v>217</v>
      </c>
      <c r="B489" s="23" t="s">
        <v>227</v>
      </c>
      <c r="C489" s="36" t="n">
        <v>45078</v>
      </c>
      <c r="D489" s="37" t="n">
        <v>9</v>
      </c>
      <c r="E489" s="37" t="n">
        <v>45497.7</v>
      </c>
      <c r="F489" s="37" t="n">
        <v>41946.54</v>
      </c>
      <c r="G489" s="38" t="n">
        <f aca="false">E489-F489</f>
        <v>3551.16</v>
      </c>
      <c r="H489" s="45" t="n">
        <v>0.0846591876231031</v>
      </c>
      <c r="I489" s="39" t="n">
        <f aca="false">IF(F489&lt;&gt;0,G489/ABS(F489),"n/a")</f>
        <v>0.084659187623103</v>
      </c>
      <c r="J489" s="46" t="str">
        <f aca="false">IF(H489="","guard",IF(ABS(H489-I489)&lt;0.000001,"OK","DIFF"))</f>
        <v>OK</v>
      </c>
    </row>
    <row r="490" customFormat="false" ht="15" hidden="false" customHeight="false" outlineLevel="0" collapsed="false">
      <c r="A490" s="23" t="s">
        <v>217</v>
      </c>
      <c r="B490" s="23" t="s">
        <v>227</v>
      </c>
      <c r="C490" s="36" t="n">
        <v>45108</v>
      </c>
      <c r="D490" s="37" t="n">
        <v>5</v>
      </c>
      <c r="E490" s="37" t="n">
        <v>47459.4956</v>
      </c>
      <c r="F490" s="37" t="n">
        <v>45010.61</v>
      </c>
      <c r="G490" s="38" t="n">
        <f aca="false">E490-F490</f>
        <v>2448.8856</v>
      </c>
      <c r="H490" s="45" t="n">
        <v>0.0544068520733222</v>
      </c>
      <c r="I490" s="39" t="n">
        <f aca="false">IF(F490&lt;&gt;0,G490/ABS(F490),"n/a")</f>
        <v>0.0544068520733223</v>
      </c>
      <c r="J490" s="46" t="str">
        <f aca="false">IF(H490="","guard",IF(ABS(H490-I490)&lt;0.000001,"OK","DIFF"))</f>
        <v>OK</v>
      </c>
    </row>
    <row r="491" customFormat="false" ht="15" hidden="false" customHeight="false" outlineLevel="0" collapsed="false">
      <c r="A491" s="23" t="s">
        <v>217</v>
      </c>
      <c r="B491" s="23" t="s">
        <v>227</v>
      </c>
      <c r="C491" s="36" t="n">
        <v>45139</v>
      </c>
      <c r="D491" s="37" t="n">
        <v>11</v>
      </c>
      <c r="E491" s="37" t="n">
        <v>23719.3</v>
      </c>
      <c r="F491" s="37" t="n">
        <v>43284.5461</v>
      </c>
      <c r="G491" s="38" t="n">
        <f aca="false">E491-F491</f>
        <v>-19565.2461</v>
      </c>
      <c r="H491" s="45" t="n">
        <v>-0.452014584022633</v>
      </c>
      <c r="I491" s="39" t="n">
        <f aca="false">IF(F491&lt;&gt;0,G491/ABS(F491),"n/a")</f>
        <v>-0.452014584022633</v>
      </c>
      <c r="J491" s="46" t="str">
        <f aca="false">IF(H491="","guard",IF(ABS(H491-I491)&lt;0.000001,"OK","DIFF"))</f>
        <v>OK</v>
      </c>
    </row>
    <row r="492" customFormat="false" ht="15" hidden="false" customHeight="false" outlineLevel="0" collapsed="false">
      <c r="A492" s="23" t="s">
        <v>217</v>
      </c>
      <c r="B492" s="23" t="s">
        <v>227</v>
      </c>
      <c r="C492" s="36" t="n">
        <v>45170</v>
      </c>
      <c r="D492" s="37" t="n">
        <v>15</v>
      </c>
      <c r="E492" s="37" t="n">
        <v>84459.6333</v>
      </c>
      <c r="F492" s="37" t="n">
        <v>69902.82</v>
      </c>
      <c r="G492" s="38" t="n">
        <f aca="false">E492-F492</f>
        <v>14556.8133</v>
      </c>
      <c r="H492" s="45" t="n">
        <v>0.20824357729774</v>
      </c>
      <c r="I492" s="39" t="n">
        <f aca="false">IF(F492&lt;&gt;0,G492/ABS(F492),"n/a")</f>
        <v>0.20824357729774</v>
      </c>
      <c r="J492" s="46" t="str">
        <f aca="false">IF(H492="","guard",IF(ABS(H492-I492)&lt;0.000001,"OK","DIFF"))</f>
        <v>OK</v>
      </c>
    </row>
    <row r="493" customFormat="false" ht="15" hidden="false" customHeight="false" outlineLevel="0" collapsed="false">
      <c r="A493" s="23" t="s">
        <v>217</v>
      </c>
      <c r="B493" s="23" t="s">
        <v>227</v>
      </c>
      <c r="C493" s="36" t="n">
        <v>45200</v>
      </c>
      <c r="D493" s="37" t="n">
        <v>8</v>
      </c>
      <c r="E493" s="37" t="n">
        <v>26361.4554</v>
      </c>
      <c r="F493" s="37" t="n">
        <v>24043.6</v>
      </c>
      <c r="G493" s="38" t="n">
        <f aca="false">E493-F493</f>
        <v>2317.8554</v>
      </c>
      <c r="H493" s="45" t="n">
        <v>0.0964021777104926</v>
      </c>
      <c r="I493" s="39" t="n">
        <f aca="false">IF(F493&lt;&gt;0,G493/ABS(F493),"n/a")</f>
        <v>0.0964021777104926</v>
      </c>
      <c r="J493" s="46" t="str">
        <f aca="false">IF(H493="","guard",IF(ABS(H493-I493)&lt;0.000001,"OK","DIFF"))</f>
        <v>OK</v>
      </c>
    </row>
    <row r="494" customFormat="false" ht="15" hidden="false" customHeight="false" outlineLevel="0" collapsed="false">
      <c r="A494" s="23" t="s">
        <v>217</v>
      </c>
      <c r="B494" s="23" t="s">
        <v>227</v>
      </c>
      <c r="C494" s="36" t="n">
        <v>45231</v>
      </c>
      <c r="D494" s="37" t="n">
        <v>9</v>
      </c>
      <c r="E494" s="37" t="n">
        <v>25768.46</v>
      </c>
      <c r="F494" s="37" t="n">
        <v>53682.21</v>
      </c>
      <c r="G494" s="38" t="n">
        <f aca="false">E494-F494</f>
        <v>-27913.75</v>
      </c>
      <c r="H494" s="45" t="n">
        <v>-0.519981386757363</v>
      </c>
      <c r="I494" s="39" t="n">
        <f aca="false">IF(F494&lt;&gt;0,G494/ABS(F494),"n/a")</f>
        <v>-0.519981386757363</v>
      </c>
      <c r="J494" s="46" t="str">
        <f aca="false">IF(H494="","guard",IF(ABS(H494-I494)&lt;0.000001,"OK","DIFF"))</f>
        <v>OK</v>
      </c>
    </row>
    <row r="495" customFormat="false" ht="15" hidden="false" customHeight="false" outlineLevel="0" collapsed="false">
      <c r="A495" s="23" t="s">
        <v>217</v>
      </c>
      <c r="B495" s="23" t="s">
        <v>227</v>
      </c>
      <c r="C495" s="36" t="n">
        <v>45261</v>
      </c>
      <c r="D495" s="37" t="n">
        <v>7</v>
      </c>
      <c r="E495" s="37" t="n">
        <v>30772.2</v>
      </c>
      <c r="F495" s="37" t="n">
        <v>29157.7</v>
      </c>
      <c r="G495" s="38" t="n">
        <f aca="false">E495-F495</f>
        <v>1614.5</v>
      </c>
      <c r="H495" s="45" t="n">
        <v>0.0553713084365365</v>
      </c>
      <c r="I495" s="39" t="n">
        <f aca="false">IF(F495&lt;&gt;0,G495/ABS(F495),"n/a")</f>
        <v>0.0553713084365365</v>
      </c>
      <c r="J495" s="46" t="str">
        <f aca="false">IF(H495="","guard",IF(ABS(H495-I495)&lt;0.000001,"OK","DIFF"))</f>
        <v>OK</v>
      </c>
    </row>
    <row r="496" customFormat="false" ht="15" hidden="false" customHeight="false" outlineLevel="0" collapsed="false">
      <c r="A496" s="23" t="s">
        <v>217</v>
      </c>
      <c r="B496" s="23" t="s">
        <v>227</v>
      </c>
      <c r="C496" s="36" t="n">
        <v>45292</v>
      </c>
      <c r="D496" s="37" t="n">
        <v>11</v>
      </c>
      <c r="E496" s="37" t="n">
        <v>24064.38</v>
      </c>
      <c r="F496" s="37" t="n">
        <v>60473.4</v>
      </c>
      <c r="G496" s="38" t="n">
        <f aca="false">E496-F496</f>
        <v>-36409.02</v>
      </c>
      <c r="H496" s="45" t="n">
        <v>-0.602066693786028</v>
      </c>
      <c r="I496" s="39" t="n">
        <f aca="false">IF(F496&lt;&gt;0,G496/ABS(F496),"n/a")</f>
        <v>-0.602066693786028</v>
      </c>
      <c r="J496" s="46" t="str">
        <f aca="false">IF(H496="","guard",IF(ABS(H496-I496)&lt;0.000001,"OK","DIFF"))</f>
        <v>OK</v>
      </c>
    </row>
    <row r="497" customFormat="false" ht="15" hidden="false" customHeight="false" outlineLevel="0" collapsed="false">
      <c r="A497" s="23" t="s">
        <v>217</v>
      </c>
      <c r="B497" s="23" t="s">
        <v>227</v>
      </c>
      <c r="C497" s="36" t="n">
        <v>45323</v>
      </c>
      <c r="D497" s="37" t="n">
        <v>7</v>
      </c>
      <c r="E497" s="37" t="n">
        <v>67534.2</v>
      </c>
      <c r="F497" s="37" t="n">
        <v>39913.48</v>
      </c>
      <c r="G497" s="38" t="n">
        <f aca="false">E497-F497</f>
        <v>27620.72</v>
      </c>
      <c r="H497" s="45" t="n">
        <v>0.692014828073122</v>
      </c>
      <c r="I497" s="39" t="n">
        <f aca="false">IF(F497&lt;&gt;0,G497/ABS(F497),"n/a")</f>
        <v>0.692014828073122</v>
      </c>
      <c r="J497" s="46" t="str">
        <f aca="false">IF(H497="","guard",IF(ABS(H497-I497)&lt;0.000001,"OK","DIFF"))</f>
        <v>OK</v>
      </c>
    </row>
    <row r="498" customFormat="false" ht="15" hidden="false" customHeight="false" outlineLevel="0" collapsed="false">
      <c r="A498" s="23" t="s">
        <v>217</v>
      </c>
      <c r="B498" s="23" t="s">
        <v>227</v>
      </c>
      <c r="C498" s="36" t="n">
        <v>45352</v>
      </c>
      <c r="D498" s="37" t="n">
        <v>7</v>
      </c>
      <c r="E498" s="37" t="n">
        <v>40640.2399</v>
      </c>
      <c r="F498" s="37" t="n">
        <v>37378.2794</v>
      </c>
      <c r="G498" s="38" t="n">
        <f aca="false">E498-F498</f>
        <v>3261.9605</v>
      </c>
      <c r="H498" s="45" t="n">
        <v>0.0872688778713555</v>
      </c>
      <c r="I498" s="39" t="n">
        <f aca="false">IF(F498&lt;&gt;0,G498/ABS(F498),"n/a")</f>
        <v>0.0872688778713554</v>
      </c>
      <c r="J498" s="46" t="str">
        <f aca="false">IF(H498="","guard",IF(ABS(H498-I498)&lt;0.000001,"OK","DIFF"))</f>
        <v>OK</v>
      </c>
    </row>
    <row r="499" customFormat="false" ht="15" hidden="false" customHeight="false" outlineLevel="0" collapsed="false">
      <c r="A499" s="23" t="s">
        <v>217</v>
      </c>
      <c r="B499" s="23" t="s">
        <v>227</v>
      </c>
      <c r="C499" s="36" t="n">
        <v>45383</v>
      </c>
      <c r="D499" s="37" t="n">
        <v>7</v>
      </c>
      <c r="E499" s="37" t="n">
        <v>8287.85</v>
      </c>
      <c r="F499" s="37" t="n">
        <v>9898.64</v>
      </c>
      <c r="G499" s="38" t="n">
        <f aca="false">E499-F499</f>
        <v>-1610.79</v>
      </c>
      <c r="H499" s="45"/>
      <c r="I499" s="39" t="n">
        <f aca="false">IF(F499&lt;&gt;0,G499/ABS(F499),"n/a")</f>
        <v>-0.162728415216636</v>
      </c>
      <c r="J499" s="46" t="str">
        <f aca="false">IF(H499="","guard",IF(ABS(H499-I499)&lt;0.000001,"OK","DIFF"))</f>
        <v>guard</v>
      </c>
    </row>
    <row r="500" customFormat="false" ht="15" hidden="false" customHeight="false" outlineLevel="0" collapsed="false">
      <c r="A500" s="23" t="s">
        <v>217</v>
      </c>
      <c r="B500" s="23" t="s">
        <v>227</v>
      </c>
      <c r="C500" s="36" t="n">
        <v>45413</v>
      </c>
      <c r="D500" s="37" t="n">
        <v>7</v>
      </c>
      <c r="E500" s="37" t="n">
        <v>23890.47</v>
      </c>
      <c r="F500" s="37" t="n">
        <v>22379.19</v>
      </c>
      <c r="G500" s="38" t="n">
        <f aca="false">E500-F500</f>
        <v>1511.28</v>
      </c>
      <c r="H500" s="45"/>
      <c r="I500" s="39" t="n">
        <f aca="false">IF(F500&lt;&gt;0,G500/ABS(F500),"n/a")</f>
        <v>0.0675305942708382</v>
      </c>
      <c r="J500" s="46" t="str">
        <f aca="false">IF(H500="","guard",IF(ABS(H500-I500)&lt;0.000001,"OK","DIFF"))</f>
        <v>guard</v>
      </c>
    </row>
    <row r="501" customFormat="false" ht="15" hidden="false" customHeight="false" outlineLevel="0" collapsed="false">
      <c r="A501" s="23" t="s">
        <v>217</v>
      </c>
      <c r="B501" s="23" t="s">
        <v>227</v>
      </c>
      <c r="C501" s="36" t="n">
        <v>45444</v>
      </c>
      <c r="D501" s="37" t="n">
        <v>12</v>
      </c>
      <c r="E501" s="37" t="n">
        <v>69564.8312</v>
      </c>
      <c r="F501" s="37" t="n">
        <v>58963.15</v>
      </c>
      <c r="G501" s="38" t="n">
        <f aca="false">E501-F501</f>
        <v>10601.6812</v>
      </c>
      <c r="H501" s="45" t="n">
        <v>0.179801811809579</v>
      </c>
      <c r="I501" s="39" t="n">
        <f aca="false">IF(F501&lt;&gt;0,G501/ABS(F501),"n/a")</f>
        <v>0.17980181180958</v>
      </c>
      <c r="J501" s="46" t="str">
        <f aca="false">IF(H501="","guard",IF(ABS(H501-I501)&lt;0.000001,"OK","DIFF"))</f>
        <v>OK</v>
      </c>
    </row>
    <row r="502" customFormat="false" ht="15" hidden="false" customHeight="false" outlineLevel="0" collapsed="false">
      <c r="A502" s="23" t="s">
        <v>217</v>
      </c>
      <c r="B502" s="23" t="s">
        <v>227</v>
      </c>
      <c r="C502" s="36" t="n">
        <v>45474</v>
      </c>
      <c r="D502" s="37" t="n">
        <v>9</v>
      </c>
      <c r="E502" s="37" t="n">
        <v>55694.7943</v>
      </c>
      <c r="F502" s="37" t="n">
        <v>45478.52</v>
      </c>
      <c r="G502" s="38" t="n">
        <f aca="false">E502-F502</f>
        <v>10216.2743</v>
      </c>
      <c r="H502" s="45" t="n">
        <v>0.224639550715371</v>
      </c>
      <c r="I502" s="39" t="n">
        <f aca="false">IF(F502&lt;&gt;0,G502/ABS(F502),"n/a")</f>
        <v>0.224639550715371</v>
      </c>
      <c r="J502" s="46" t="str">
        <f aca="false">IF(H502="","guard",IF(ABS(H502-I502)&lt;0.000001,"OK","DIFF"))</f>
        <v>OK</v>
      </c>
    </row>
    <row r="503" customFormat="false" ht="15" hidden="false" customHeight="false" outlineLevel="0" collapsed="false">
      <c r="A503" s="23" t="s">
        <v>217</v>
      </c>
      <c r="B503" s="23" t="s">
        <v>227</v>
      </c>
      <c r="C503" s="36" t="n">
        <v>45505</v>
      </c>
      <c r="D503" s="37" t="n">
        <v>11</v>
      </c>
      <c r="E503" s="37" t="n">
        <v>87714.7</v>
      </c>
      <c r="F503" s="37" t="n">
        <v>13738.85</v>
      </c>
      <c r="G503" s="38" t="n">
        <f aca="false">E503-F503</f>
        <v>73975.85</v>
      </c>
      <c r="H503" s="45"/>
      <c r="I503" s="39" t="n">
        <f aca="false">IF(F503&lt;&gt;0,G503/ABS(F503),"n/a")</f>
        <v>5.38442809987736</v>
      </c>
      <c r="J503" s="46" t="str">
        <f aca="false">IF(H503="","guard",IF(ABS(H503-I503)&lt;0.000001,"OK","DIFF"))</f>
        <v>guard</v>
      </c>
    </row>
    <row r="504" customFormat="false" ht="15" hidden="false" customHeight="false" outlineLevel="0" collapsed="false">
      <c r="A504" s="23" t="s">
        <v>217</v>
      </c>
      <c r="B504" s="23" t="s">
        <v>227</v>
      </c>
      <c r="C504" s="36" t="n">
        <v>45536</v>
      </c>
      <c r="D504" s="37" t="n">
        <v>12</v>
      </c>
      <c r="E504" s="37" t="n">
        <v>73221.0072</v>
      </c>
      <c r="F504" s="37" t="n">
        <v>100862.21</v>
      </c>
      <c r="G504" s="38" t="n">
        <f aca="false">E504-F504</f>
        <v>-27641.2028</v>
      </c>
      <c r="H504" s="45" t="n">
        <v>-0.27404914883384</v>
      </c>
      <c r="I504" s="39" t="n">
        <f aca="false">IF(F504&lt;&gt;0,G504/ABS(F504),"n/a")</f>
        <v>-0.27404914883384</v>
      </c>
      <c r="J504" s="46" t="str">
        <f aca="false">IF(H504="","guard",IF(ABS(H504-I504)&lt;0.000001,"OK","DIFF"))</f>
        <v>OK</v>
      </c>
    </row>
    <row r="505" customFormat="false" ht="15" hidden="false" customHeight="false" outlineLevel="0" collapsed="false">
      <c r="A505" s="23" t="s">
        <v>217</v>
      </c>
      <c r="B505" s="23" t="s">
        <v>227</v>
      </c>
      <c r="C505" s="36" t="n">
        <v>45566</v>
      </c>
      <c r="D505" s="37" t="n">
        <v>8</v>
      </c>
      <c r="E505" s="37" t="n">
        <v>8438.17</v>
      </c>
      <c r="F505" s="37" t="n">
        <v>7880.75</v>
      </c>
      <c r="G505" s="38" t="n">
        <f aca="false">E505-F505</f>
        <v>557.419999999996</v>
      </c>
      <c r="H505" s="45"/>
      <c r="I505" s="39" t="n">
        <f aca="false">IF(F505&lt;&gt;0,G505/ABS(F505),"n/a")</f>
        <v>0.070731846588205</v>
      </c>
      <c r="J505" s="46" t="str">
        <f aca="false">IF(H505="","guard",IF(ABS(H505-I505)&lt;0.000001,"OK","DIFF"))</f>
        <v>guard</v>
      </c>
    </row>
    <row r="506" customFormat="false" ht="15" hidden="false" customHeight="false" outlineLevel="0" collapsed="false">
      <c r="A506" s="23" t="s">
        <v>217</v>
      </c>
      <c r="B506" s="23" t="s">
        <v>227</v>
      </c>
      <c r="C506" s="36" t="n">
        <v>45597</v>
      </c>
      <c r="D506" s="37" t="n">
        <v>6</v>
      </c>
      <c r="E506" s="37" t="n">
        <v>50088.1145</v>
      </c>
      <c r="F506" s="37" t="n">
        <v>46551.04</v>
      </c>
      <c r="G506" s="38" t="n">
        <f aca="false">E506-F506</f>
        <v>3537.07450000001</v>
      </c>
      <c r="H506" s="45" t="n">
        <v>0.0759827170348933</v>
      </c>
      <c r="I506" s="39" t="n">
        <f aca="false">IF(F506&lt;&gt;0,G506/ABS(F506),"n/a")</f>
        <v>0.0759827170348935</v>
      </c>
      <c r="J506" s="46" t="str">
        <f aca="false">IF(H506="","guard",IF(ABS(H506-I506)&lt;0.000001,"OK","DIFF"))</f>
        <v>OK</v>
      </c>
    </row>
    <row r="507" customFormat="false" ht="15" hidden="false" customHeight="false" outlineLevel="0" collapsed="false">
      <c r="A507" s="23" t="s">
        <v>217</v>
      </c>
      <c r="B507" s="23" t="s">
        <v>227</v>
      </c>
      <c r="C507" s="36" t="n">
        <v>45627</v>
      </c>
      <c r="D507" s="37" t="n">
        <v>7</v>
      </c>
      <c r="E507" s="37" t="n">
        <v>38973.4613</v>
      </c>
      <c r="F507" s="37" t="n">
        <v>37166.79</v>
      </c>
      <c r="G507" s="38" t="n">
        <f aca="false">E507-F507</f>
        <v>1806.6713</v>
      </c>
      <c r="H507" s="45" t="n">
        <v>0.0486098288283707</v>
      </c>
      <c r="I507" s="39" t="n">
        <f aca="false">IF(F507&lt;&gt;0,G507/ABS(F507),"n/a")</f>
        <v>0.0486098288283708</v>
      </c>
      <c r="J507" s="46" t="str">
        <f aca="false">IF(H507="","guard",IF(ABS(H507-I507)&lt;0.000001,"OK","DIFF"))</f>
        <v>OK</v>
      </c>
    </row>
    <row r="508" customFormat="false" ht="15" hidden="false" customHeight="false" outlineLevel="0" collapsed="false">
      <c r="A508" s="23" t="s">
        <v>217</v>
      </c>
      <c r="B508" s="23" t="s">
        <v>227</v>
      </c>
      <c r="C508" s="36" t="n">
        <v>45658</v>
      </c>
      <c r="D508" s="37" t="n">
        <v>4</v>
      </c>
      <c r="E508" s="37" t="n">
        <v>20080.55</v>
      </c>
      <c r="F508" s="37" t="n">
        <v>18829.73</v>
      </c>
      <c r="G508" s="38" t="n">
        <f aca="false">E508-F508</f>
        <v>1250.82</v>
      </c>
      <c r="H508" s="45" t="n">
        <v>0.0664279307244448</v>
      </c>
      <c r="I508" s="39" t="n">
        <f aca="false">IF(F508&lt;&gt;0,G508/ABS(F508),"n/a")</f>
        <v>0.0664279307244448</v>
      </c>
      <c r="J508" s="46" t="str">
        <f aca="false">IF(H508="","guard",IF(ABS(H508-I508)&lt;0.000001,"OK","DIFF"))</f>
        <v>OK</v>
      </c>
    </row>
    <row r="509" customFormat="false" ht="15" hidden="false" customHeight="false" outlineLevel="0" collapsed="false">
      <c r="A509" s="23" t="s">
        <v>217</v>
      </c>
      <c r="B509" s="23" t="s">
        <v>227</v>
      </c>
      <c r="C509" s="36" t="n">
        <v>45689</v>
      </c>
      <c r="D509" s="37" t="n">
        <v>12</v>
      </c>
      <c r="E509" s="37" t="n">
        <v>71541.23</v>
      </c>
      <c r="F509" s="37" t="n">
        <v>67437.63</v>
      </c>
      <c r="G509" s="38" t="n">
        <f aca="false">E509-F509</f>
        <v>4103.59999999998</v>
      </c>
      <c r="H509" s="45" t="n">
        <v>0.0608502997510441</v>
      </c>
      <c r="I509" s="39" t="n">
        <f aca="false">IF(F509&lt;&gt;0,G509/ABS(F509),"n/a")</f>
        <v>0.0608502997510437</v>
      </c>
      <c r="J509" s="46" t="str">
        <f aca="false">IF(H509="","guard",IF(ABS(H509-I509)&lt;0.000001,"OK","DIFF"))</f>
        <v>OK</v>
      </c>
    </row>
    <row r="510" customFormat="false" ht="15" hidden="false" customHeight="false" outlineLevel="0" collapsed="false">
      <c r="A510" s="23" t="s">
        <v>217</v>
      </c>
      <c r="B510" s="23" t="s">
        <v>227</v>
      </c>
      <c r="C510" s="36" t="n">
        <v>45717</v>
      </c>
      <c r="D510" s="37" t="n">
        <v>10</v>
      </c>
      <c r="E510" s="37" t="n">
        <v>88499.99</v>
      </c>
      <c r="F510" s="37" t="n">
        <v>83286.9165</v>
      </c>
      <c r="G510" s="38" t="n">
        <f aca="false">E510-F510</f>
        <v>5213.0735</v>
      </c>
      <c r="H510" s="45" t="n">
        <v>0.0625917457275538</v>
      </c>
      <c r="I510" s="39" t="n">
        <f aca="false">IF(F510&lt;&gt;0,G510/ABS(F510),"n/a")</f>
        <v>0.0625917457275537</v>
      </c>
      <c r="J510" s="46" t="str">
        <f aca="false">IF(H510="","guard",IF(ABS(H510-I510)&lt;0.000001,"OK","DIFF"))</f>
        <v>OK</v>
      </c>
    </row>
    <row r="511" customFormat="false" ht="15" hidden="false" customHeight="false" outlineLevel="0" collapsed="false">
      <c r="A511" s="23" t="s">
        <v>217</v>
      </c>
      <c r="B511" s="23" t="s">
        <v>227</v>
      </c>
      <c r="C511" s="36" t="n">
        <v>45748</v>
      </c>
      <c r="D511" s="37" t="n">
        <v>10</v>
      </c>
      <c r="E511" s="37" t="n">
        <v>81783.74</v>
      </c>
      <c r="F511" s="37" t="n">
        <v>54421.8655</v>
      </c>
      <c r="G511" s="38" t="n">
        <f aca="false">E511-F511</f>
        <v>27361.8745</v>
      </c>
      <c r="H511" s="45" t="n">
        <v>0.502773549723319</v>
      </c>
      <c r="I511" s="39" t="n">
        <f aca="false">IF(F511&lt;&gt;0,G511/ABS(F511),"n/a")</f>
        <v>0.502773549723319</v>
      </c>
      <c r="J511" s="46" t="str">
        <f aca="false">IF(H511="","guard",IF(ABS(H511-I511)&lt;0.000001,"OK","DIFF"))</f>
        <v>OK</v>
      </c>
    </row>
    <row r="512" customFormat="false" ht="15" hidden="false" customHeight="false" outlineLevel="0" collapsed="false">
      <c r="A512" s="23" t="s">
        <v>217</v>
      </c>
      <c r="B512" s="23" t="s">
        <v>227</v>
      </c>
      <c r="C512" s="36" t="n">
        <v>45778</v>
      </c>
      <c r="D512" s="37" t="n">
        <v>9</v>
      </c>
      <c r="E512" s="37" t="n">
        <v>21311.37</v>
      </c>
      <c r="F512" s="37" t="n">
        <v>73781.86</v>
      </c>
      <c r="G512" s="38" t="n">
        <f aca="false">E512-F512</f>
        <v>-52470.49</v>
      </c>
      <c r="H512" s="45" t="n">
        <v>-0.711157051340262</v>
      </c>
      <c r="I512" s="39" t="n">
        <f aca="false">IF(F512&lt;&gt;0,G512/ABS(F512),"n/a")</f>
        <v>-0.711157051340262</v>
      </c>
      <c r="J512" s="46" t="str">
        <f aca="false">IF(H512="","guard",IF(ABS(H512-I512)&lt;0.000001,"OK","DIFF"))</f>
        <v>OK</v>
      </c>
    </row>
    <row r="513" customFormat="false" ht="15" hidden="false" customHeight="false" outlineLevel="0" collapsed="false">
      <c r="A513" s="23" t="s">
        <v>217</v>
      </c>
      <c r="B513" s="23" t="s">
        <v>227</v>
      </c>
      <c r="C513" s="36" t="n">
        <v>45809</v>
      </c>
      <c r="D513" s="37" t="n">
        <v>10</v>
      </c>
      <c r="E513" s="37" t="n">
        <v>79496.799</v>
      </c>
      <c r="F513" s="37" t="n">
        <v>87563.2095</v>
      </c>
      <c r="G513" s="38" t="n">
        <f aca="false">E513-F513</f>
        <v>-8066.41050000001</v>
      </c>
      <c r="H513" s="45" t="n">
        <v>-0.0921210008867936</v>
      </c>
      <c r="I513" s="39" t="n">
        <f aca="false">IF(F513&lt;&gt;0,G513/ABS(F513),"n/a")</f>
        <v>-0.0921210008867938</v>
      </c>
      <c r="J513" s="46" t="str">
        <f aca="false">IF(H513="","guard",IF(ABS(H513-I513)&lt;0.000001,"OK","DIFF"))</f>
        <v>OK</v>
      </c>
    </row>
    <row r="514" customFormat="false" ht="15" hidden="false" customHeight="false" outlineLevel="0" collapsed="false">
      <c r="A514" s="23" t="s">
        <v>217</v>
      </c>
      <c r="B514" s="23" t="s">
        <v>227</v>
      </c>
      <c r="C514" s="36" t="n">
        <v>45839</v>
      </c>
      <c r="D514" s="37" t="n">
        <v>9</v>
      </c>
      <c r="E514" s="37" t="n">
        <v>56797.3323</v>
      </c>
      <c r="F514" s="37" t="n">
        <v>54101.2357</v>
      </c>
      <c r="G514" s="38" t="n">
        <f aca="false">E514-F514</f>
        <v>2696.0966</v>
      </c>
      <c r="H514" s="45" t="n">
        <v>0.0498342887203222</v>
      </c>
      <c r="I514" s="39" t="n">
        <f aca="false">IF(F514&lt;&gt;0,G514/ABS(F514),"n/a")</f>
        <v>0.0498342887203221</v>
      </c>
      <c r="J514" s="46" t="str">
        <f aca="false">IF(H514="","guard",IF(ABS(H514-I514)&lt;0.000001,"OK","DIFF"))</f>
        <v>OK</v>
      </c>
    </row>
    <row r="515" customFormat="false" ht="15" hidden="false" customHeight="false" outlineLevel="0" collapsed="false">
      <c r="A515" s="23" t="s">
        <v>217</v>
      </c>
      <c r="B515" s="23" t="s">
        <v>227</v>
      </c>
      <c r="C515" s="36" t="n">
        <v>45870</v>
      </c>
      <c r="D515" s="37" t="n">
        <v>9</v>
      </c>
      <c r="E515" s="37" t="n">
        <v>28012.4989</v>
      </c>
      <c r="F515" s="37" t="n">
        <v>49809.5127</v>
      </c>
      <c r="G515" s="38" t="n">
        <f aca="false">E515-F515</f>
        <v>-21797.0138</v>
      </c>
      <c r="H515" s="45" t="n">
        <v>-0.437607449229271</v>
      </c>
      <c r="I515" s="39" t="n">
        <f aca="false">IF(F515&lt;&gt;0,G515/ABS(F515),"n/a")</f>
        <v>-0.437607449229271</v>
      </c>
      <c r="J515" s="46" t="str">
        <f aca="false">IF(H515="","guard",IF(ABS(H515-I515)&lt;0.000001,"OK","DIFF"))</f>
        <v>OK</v>
      </c>
    </row>
    <row r="516" customFormat="false" ht="15" hidden="false" customHeight="false" outlineLevel="0" collapsed="false">
      <c r="A516" s="23" t="s">
        <v>217</v>
      </c>
      <c r="B516" s="23" t="s">
        <v>227</v>
      </c>
      <c r="C516" s="36" t="n">
        <v>45901</v>
      </c>
      <c r="D516" s="37" t="n">
        <v>12</v>
      </c>
      <c r="E516" s="37" t="n">
        <v>109353.82</v>
      </c>
      <c r="F516" s="37" t="n">
        <v>28416.63</v>
      </c>
      <c r="G516" s="38" t="n">
        <f aca="false">E516-F516</f>
        <v>80937.19</v>
      </c>
      <c r="H516" s="45"/>
      <c r="I516" s="39" t="n">
        <f aca="false">IF(F516&lt;&gt;0,G516/ABS(F516),"n/a")</f>
        <v>2.84823323525696</v>
      </c>
      <c r="J516" s="46" t="str">
        <f aca="false">IF(H516="","guard",IF(ABS(H516-I516)&lt;0.000001,"OK","DIFF"))</f>
        <v>guard</v>
      </c>
    </row>
    <row r="517" customFormat="false" ht="15" hidden="false" customHeight="false" outlineLevel="0" collapsed="false">
      <c r="A517" s="23" t="s">
        <v>217</v>
      </c>
      <c r="B517" s="23" t="s">
        <v>227</v>
      </c>
      <c r="C517" s="36" t="n">
        <v>45931</v>
      </c>
      <c r="D517" s="37" t="n">
        <v>9</v>
      </c>
      <c r="E517" s="37" t="n">
        <v>61165.0208</v>
      </c>
      <c r="F517" s="37" t="n">
        <v>51086.09</v>
      </c>
      <c r="G517" s="38" t="n">
        <f aca="false">E517-F517</f>
        <v>10078.9308</v>
      </c>
      <c r="H517" s="45" t="n">
        <v>0.197293055702638</v>
      </c>
      <c r="I517" s="39" t="n">
        <f aca="false">IF(F517&lt;&gt;0,G517/ABS(F517),"n/a")</f>
        <v>0.197293055702638</v>
      </c>
      <c r="J517" s="46" t="str">
        <f aca="false">IF(H517="","guard",IF(ABS(H517-I517)&lt;0.000001,"OK","DIFF"))</f>
        <v>OK</v>
      </c>
    </row>
    <row r="518" customFormat="false" ht="15" hidden="false" customHeight="false" outlineLevel="0" collapsed="false">
      <c r="A518" s="23" t="s">
        <v>217</v>
      </c>
      <c r="B518" s="23" t="s">
        <v>227</v>
      </c>
      <c r="C518" s="36" t="n">
        <v>45962</v>
      </c>
      <c r="D518" s="37" t="n">
        <v>8</v>
      </c>
      <c r="E518" s="37" t="n">
        <v>19815.2583</v>
      </c>
      <c r="F518" s="37" t="n">
        <v>18802.46</v>
      </c>
      <c r="G518" s="38" t="n">
        <f aca="false">E518-F518</f>
        <v>1012.79830000001</v>
      </c>
      <c r="H518" s="45" t="n">
        <v>0.0538652016810567</v>
      </c>
      <c r="I518" s="39" t="n">
        <f aca="false">IF(F518&lt;&gt;0,G518/ABS(F518),"n/a")</f>
        <v>0.053865201681057</v>
      </c>
      <c r="J518" s="46" t="str">
        <f aca="false">IF(H518="","guard",IF(ABS(H518-I518)&lt;0.000001,"OK","DIFF"))</f>
        <v>OK</v>
      </c>
    </row>
    <row r="519" customFormat="false" ht="15" hidden="false" customHeight="false" outlineLevel="0" collapsed="false">
      <c r="A519" s="23" t="s">
        <v>217</v>
      </c>
      <c r="B519" s="23" t="s">
        <v>227</v>
      </c>
      <c r="C519" s="36" t="n">
        <v>45992</v>
      </c>
      <c r="D519" s="37" t="n">
        <v>8</v>
      </c>
      <c r="E519" s="37" t="n">
        <v>37477.93</v>
      </c>
      <c r="F519" s="37" t="n">
        <v>29957.75</v>
      </c>
      <c r="G519" s="38" t="n">
        <f aca="false">E519-F519</f>
        <v>7520.18</v>
      </c>
      <c r="H519" s="45" t="n">
        <v>0.251026195224942</v>
      </c>
      <c r="I519" s="39" t="n">
        <f aca="false">IF(F519&lt;&gt;0,G519/ABS(F519),"n/a")</f>
        <v>0.251026195224942</v>
      </c>
      <c r="J519" s="46" t="str">
        <f aca="false">IF(H519="","guard",IF(ABS(H519-I519)&lt;0.000001,"OK","DIFF"))</f>
        <v>OK</v>
      </c>
    </row>
    <row r="520" customFormat="false" ht="15" hidden="false" customHeight="false" outlineLevel="0" collapsed="false">
      <c r="A520" s="23" t="s">
        <v>217</v>
      </c>
      <c r="B520" s="23" t="s">
        <v>228</v>
      </c>
      <c r="C520" s="36" t="n">
        <v>44927</v>
      </c>
      <c r="D520" s="37" t="n">
        <v>14</v>
      </c>
      <c r="E520" s="37" t="n">
        <v>-1643.2018</v>
      </c>
      <c r="F520" s="37" t="n">
        <v>-1744.21</v>
      </c>
      <c r="G520" s="38" t="n">
        <f aca="false">E520-F520</f>
        <v>101.008199999999</v>
      </c>
      <c r="H520" s="45"/>
      <c r="I520" s="39" t="n">
        <f aca="false">IF(F520&lt;&gt;0,G520/ABS(F520),"n/a")</f>
        <v>0.057910572694801</v>
      </c>
      <c r="J520" s="46" t="str">
        <f aca="false">IF(H520="","guard",IF(ABS(H520-I520)&lt;0.000001,"OK","DIFF"))</f>
        <v>guard</v>
      </c>
    </row>
    <row r="521" customFormat="false" ht="15" hidden="false" customHeight="false" outlineLevel="0" collapsed="false">
      <c r="A521" s="23" t="s">
        <v>217</v>
      </c>
      <c r="B521" s="23" t="s">
        <v>228</v>
      </c>
      <c r="C521" s="36" t="n">
        <v>44958</v>
      </c>
      <c r="D521" s="37" t="n">
        <v>21</v>
      </c>
      <c r="E521" s="37" t="n">
        <v>18665.2735</v>
      </c>
      <c r="F521" s="37" t="n">
        <v>19932.8</v>
      </c>
      <c r="G521" s="38" t="n">
        <f aca="false">E521-F521</f>
        <v>-1267.5265</v>
      </c>
      <c r="H521" s="45" t="n">
        <v>-0.0635899873575213</v>
      </c>
      <c r="I521" s="39" t="n">
        <f aca="false">IF(F521&lt;&gt;0,G521/ABS(F521),"n/a")</f>
        <v>-0.0635899873575213</v>
      </c>
      <c r="J521" s="46" t="str">
        <f aca="false">IF(H521="","guard",IF(ABS(H521-I521)&lt;0.000001,"OK","DIFF"))</f>
        <v>OK</v>
      </c>
    </row>
    <row r="522" customFormat="false" ht="15" hidden="false" customHeight="false" outlineLevel="0" collapsed="false">
      <c r="A522" s="23" t="s">
        <v>217</v>
      </c>
      <c r="B522" s="23" t="s">
        <v>228</v>
      </c>
      <c r="C522" s="36" t="n">
        <v>44986</v>
      </c>
      <c r="D522" s="37" t="n">
        <v>19</v>
      </c>
      <c r="E522" s="37" t="n">
        <v>20522.5506</v>
      </c>
      <c r="F522" s="37" t="n">
        <v>16632.17</v>
      </c>
      <c r="G522" s="38" t="n">
        <f aca="false">E522-F522</f>
        <v>3890.3806</v>
      </c>
      <c r="H522" s="45" t="n">
        <v>0.233906976660292</v>
      </c>
      <c r="I522" s="39" t="n">
        <f aca="false">IF(F522&lt;&gt;0,G522/ABS(F522),"n/a")</f>
        <v>0.233906976660292</v>
      </c>
      <c r="J522" s="46" t="str">
        <f aca="false">IF(H522="","guard",IF(ABS(H522-I522)&lt;0.000001,"OK","DIFF"))</f>
        <v>OK</v>
      </c>
    </row>
    <row r="523" customFormat="false" ht="15" hidden="false" customHeight="false" outlineLevel="0" collapsed="false">
      <c r="A523" s="23" t="s">
        <v>217</v>
      </c>
      <c r="B523" s="23" t="s">
        <v>228</v>
      </c>
      <c r="C523" s="36" t="n">
        <v>45017</v>
      </c>
      <c r="D523" s="37" t="n">
        <v>17</v>
      </c>
      <c r="E523" s="37" t="n">
        <v>7004.82</v>
      </c>
      <c r="F523" s="37" t="n">
        <v>7030.5521</v>
      </c>
      <c r="G523" s="38" t="n">
        <f aca="false">E523-F523</f>
        <v>-25.732100000002</v>
      </c>
      <c r="H523" s="45"/>
      <c r="I523" s="39" t="n">
        <f aca="false">IF(F523&lt;&gt;0,G523/ABS(F523),"n/a")</f>
        <v>-0.0036600397286014</v>
      </c>
      <c r="J523" s="46" t="str">
        <f aca="false">IF(H523="","guard",IF(ABS(H523-I523)&lt;0.000001,"OK","DIFF"))</f>
        <v>guard</v>
      </c>
    </row>
    <row r="524" customFormat="false" ht="15" hidden="false" customHeight="false" outlineLevel="0" collapsed="false">
      <c r="A524" s="23" t="s">
        <v>217</v>
      </c>
      <c r="B524" s="23" t="s">
        <v>228</v>
      </c>
      <c r="C524" s="36" t="n">
        <v>45047</v>
      </c>
      <c r="D524" s="37" t="n">
        <v>13</v>
      </c>
      <c r="E524" s="37" t="n">
        <v>4628.3198</v>
      </c>
      <c r="F524" s="37" t="n">
        <v>8853.0341</v>
      </c>
      <c r="G524" s="38" t="n">
        <f aca="false">E524-F524</f>
        <v>-4224.7143</v>
      </c>
      <c r="H524" s="45" t="n">
        <v>-0.477205244245021</v>
      </c>
      <c r="I524" s="39" t="n">
        <f aca="false">IF(F524&lt;&gt;0,G524/ABS(F524),"n/a")</f>
        <v>-0.477205244245021</v>
      </c>
      <c r="J524" s="46" t="str">
        <f aca="false">IF(H524="","guard",IF(ABS(H524-I524)&lt;0.000001,"OK","DIFF"))</f>
        <v>OK</v>
      </c>
    </row>
    <row r="525" customFormat="false" ht="15" hidden="false" customHeight="false" outlineLevel="0" collapsed="false">
      <c r="A525" s="23" t="s">
        <v>217</v>
      </c>
      <c r="B525" s="23" t="s">
        <v>228</v>
      </c>
      <c r="C525" s="36" t="n">
        <v>45078</v>
      </c>
      <c r="D525" s="37" t="n">
        <v>18</v>
      </c>
      <c r="E525" s="37" t="n">
        <v>12238.1687</v>
      </c>
      <c r="F525" s="37" t="n">
        <v>13492.7768</v>
      </c>
      <c r="G525" s="38" t="n">
        <f aca="false">E525-F525</f>
        <v>-1254.60810000001</v>
      </c>
      <c r="H525" s="45" t="n">
        <v>-0.0929836844258773</v>
      </c>
      <c r="I525" s="39" t="n">
        <f aca="false">IF(F525&lt;&gt;0,G525/ABS(F525),"n/a")</f>
        <v>-0.0929836844258778</v>
      </c>
      <c r="J525" s="46" t="str">
        <f aca="false">IF(H525="","guard",IF(ABS(H525-I525)&lt;0.000001,"OK","DIFF"))</f>
        <v>OK</v>
      </c>
    </row>
    <row r="526" customFormat="false" ht="15" hidden="false" customHeight="false" outlineLevel="0" collapsed="false">
      <c r="A526" s="23" t="s">
        <v>217</v>
      </c>
      <c r="B526" s="23" t="s">
        <v>228</v>
      </c>
      <c r="C526" s="36" t="n">
        <v>45108</v>
      </c>
      <c r="D526" s="37" t="n">
        <v>21</v>
      </c>
      <c r="E526" s="37" t="n">
        <v>36953.56</v>
      </c>
      <c r="F526" s="37" t="n">
        <v>32546.1224</v>
      </c>
      <c r="G526" s="38" t="n">
        <f aca="false">E526-F526</f>
        <v>4407.4376</v>
      </c>
      <c r="H526" s="45" t="n">
        <v>0.135421281399716</v>
      </c>
      <c r="I526" s="39" t="n">
        <f aca="false">IF(F526&lt;&gt;0,G526/ABS(F526),"n/a")</f>
        <v>0.135421281399716</v>
      </c>
      <c r="J526" s="46" t="str">
        <f aca="false">IF(H526="","guard",IF(ABS(H526-I526)&lt;0.000001,"OK","DIFF"))</f>
        <v>OK</v>
      </c>
    </row>
    <row r="527" customFormat="false" ht="15" hidden="false" customHeight="false" outlineLevel="0" collapsed="false">
      <c r="A527" s="23" t="s">
        <v>217</v>
      </c>
      <c r="B527" s="23" t="s">
        <v>228</v>
      </c>
      <c r="C527" s="36" t="n">
        <v>45139</v>
      </c>
      <c r="D527" s="37" t="n">
        <v>21</v>
      </c>
      <c r="E527" s="37" t="n">
        <v>16223.2189</v>
      </c>
      <c r="F527" s="37" t="n">
        <v>13178.6074</v>
      </c>
      <c r="G527" s="38" t="n">
        <f aca="false">E527-F527</f>
        <v>3044.6115</v>
      </c>
      <c r="H527" s="45"/>
      <c r="I527" s="39" t="n">
        <f aca="false">IF(F527&lt;&gt;0,G527/ABS(F527),"n/a")</f>
        <v>0.231026800297579</v>
      </c>
      <c r="J527" s="46" t="str">
        <f aca="false">IF(H527="","guard",IF(ABS(H527-I527)&lt;0.000001,"OK","DIFF"))</f>
        <v>guard</v>
      </c>
    </row>
    <row r="528" customFormat="false" ht="15" hidden="false" customHeight="false" outlineLevel="0" collapsed="false">
      <c r="A528" s="23" t="s">
        <v>217</v>
      </c>
      <c r="B528" s="23" t="s">
        <v>228</v>
      </c>
      <c r="C528" s="36" t="n">
        <v>45170</v>
      </c>
      <c r="D528" s="37" t="n">
        <v>21</v>
      </c>
      <c r="E528" s="37" t="n">
        <v>27460.03</v>
      </c>
      <c r="F528" s="37" t="n">
        <v>10663.73</v>
      </c>
      <c r="G528" s="38" t="n">
        <f aca="false">E528-F528</f>
        <v>16796.3</v>
      </c>
      <c r="H528" s="45"/>
      <c r="I528" s="39" t="n">
        <f aca="false">IF(F528&lt;&gt;0,G528/ABS(F528),"n/a")</f>
        <v>1.57508676607529</v>
      </c>
      <c r="J528" s="46" t="str">
        <f aca="false">IF(H528="","guard",IF(ABS(H528-I528)&lt;0.000001,"OK","DIFF"))</f>
        <v>guard</v>
      </c>
    </row>
    <row r="529" customFormat="false" ht="15" hidden="false" customHeight="false" outlineLevel="0" collapsed="false">
      <c r="A529" s="23" t="s">
        <v>217</v>
      </c>
      <c r="B529" s="23" t="s">
        <v>228</v>
      </c>
      <c r="C529" s="36" t="n">
        <v>45200</v>
      </c>
      <c r="D529" s="37" t="n">
        <v>17</v>
      </c>
      <c r="E529" s="37" t="n">
        <v>11461.8605</v>
      </c>
      <c r="F529" s="37" t="n">
        <v>12139.5214</v>
      </c>
      <c r="G529" s="38" t="n">
        <f aca="false">E529-F529</f>
        <v>-677.660899999999</v>
      </c>
      <c r="H529" s="45" t="n">
        <v>-0.0558227031915772</v>
      </c>
      <c r="I529" s="39" t="n">
        <f aca="false">IF(F529&lt;&gt;0,G529/ABS(F529),"n/a")</f>
        <v>-0.0558227031915771</v>
      </c>
      <c r="J529" s="46" t="str">
        <f aca="false">IF(H529="","guard",IF(ABS(H529-I529)&lt;0.000001,"OK","DIFF"))</f>
        <v>OK</v>
      </c>
    </row>
    <row r="530" customFormat="false" ht="15" hidden="false" customHeight="false" outlineLevel="0" collapsed="false">
      <c r="A530" s="23" t="s">
        <v>217</v>
      </c>
      <c r="B530" s="23" t="s">
        <v>228</v>
      </c>
      <c r="C530" s="36" t="n">
        <v>45231</v>
      </c>
      <c r="D530" s="37" t="n">
        <v>15</v>
      </c>
      <c r="E530" s="37" t="n">
        <v>19528.09</v>
      </c>
      <c r="F530" s="37" t="n">
        <v>17771.56</v>
      </c>
      <c r="G530" s="38" t="n">
        <f aca="false">E530-F530</f>
        <v>1756.53</v>
      </c>
      <c r="H530" s="45" t="n">
        <v>0.0988393815737053</v>
      </c>
      <c r="I530" s="39" t="n">
        <f aca="false">IF(F530&lt;&gt;0,G530/ABS(F530),"n/a")</f>
        <v>0.0988393815737053</v>
      </c>
      <c r="J530" s="46" t="str">
        <f aca="false">IF(H530="","guard",IF(ABS(H530-I530)&lt;0.000001,"OK","DIFF"))</f>
        <v>OK</v>
      </c>
    </row>
    <row r="531" customFormat="false" ht="15" hidden="false" customHeight="false" outlineLevel="0" collapsed="false">
      <c r="A531" s="23" t="s">
        <v>217</v>
      </c>
      <c r="B531" s="23" t="s">
        <v>228</v>
      </c>
      <c r="C531" s="36" t="n">
        <v>45261</v>
      </c>
      <c r="D531" s="37" t="n">
        <v>15</v>
      </c>
      <c r="E531" s="37" t="n">
        <v>13733.92</v>
      </c>
      <c r="F531" s="37" t="n">
        <v>12850.39</v>
      </c>
      <c r="G531" s="38" t="n">
        <f aca="false">E531-F531</f>
        <v>883.529999999999</v>
      </c>
      <c r="H531" s="45" t="n">
        <v>0.0687551117125628</v>
      </c>
      <c r="I531" s="39" t="n">
        <f aca="false">IF(F531&lt;&gt;0,G531/ABS(F531),"n/a")</f>
        <v>0.0687551117125627</v>
      </c>
      <c r="J531" s="46" t="str">
        <f aca="false">IF(H531="","guard",IF(ABS(H531-I531)&lt;0.000001,"OK","DIFF"))</f>
        <v>OK</v>
      </c>
    </row>
    <row r="532" customFormat="false" ht="15" hidden="false" customHeight="false" outlineLevel="0" collapsed="false">
      <c r="A532" s="23" t="s">
        <v>217</v>
      </c>
      <c r="B532" s="23" t="s">
        <v>228</v>
      </c>
      <c r="C532" s="36" t="n">
        <v>45292</v>
      </c>
      <c r="D532" s="37" t="n">
        <v>14</v>
      </c>
      <c r="E532" s="37" t="n">
        <v>16465.88</v>
      </c>
      <c r="F532" s="37" t="n">
        <v>793.9872</v>
      </c>
      <c r="G532" s="38" t="n">
        <f aca="false">E532-F532</f>
        <v>15671.8928</v>
      </c>
      <c r="H532" s="45"/>
      <c r="I532" s="39" t="n">
        <f aca="false">IF(F532&lt;&gt;0,G532/ABS(F532),"n/a")</f>
        <v>19.7382184498692</v>
      </c>
      <c r="J532" s="46" t="str">
        <f aca="false">IF(H532="","guard",IF(ABS(H532-I532)&lt;0.000001,"OK","DIFF"))</f>
        <v>guard</v>
      </c>
    </row>
    <row r="533" customFormat="false" ht="15" hidden="false" customHeight="false" outlineLevel="0" collapsed="false">
      <c r="A533" s="23" t="s">
        <v>217</v>
      </c>
      <c r="B533" s="23" t="s">
        <v>228</v>
      </c>
      <c r="C533" s="36" t="n">
        <v>45323</v>
      </c>
      <c r="D533" s="37" t="n">
        <v>19</v>
      </c>
      <c r="E533" s="37" t="n">
        <v>4767.2</v>
      </c>
      <c r="F533" s="37" t="n">
        <v>11123.87</v>
      </c>
      <c r="G533" s="38" t="n">
        <f aca="false">E533-F533</f>
        <v>-6356.67</v>
      </c>
      <c r="H533" s="45"/>
      <c r="I533" s="39" t="n">
        <f aca="false">IF(F533&lt;&gt;0,G533/ABS(F533),"n/a")</f>
        <v>-0.571444110727651</v>
      </c>
      <c r="J533" s="46" t="str">
        <f aca="false">IF(H533="","guard",IF(ABS(H533-I533)&lt;0.000001,"OK","DIFF"))</f>
        <v>guard</v>
      </c>
    </row>
    <row r="534" customFormat="false" ht="15" hidden="false" customHeight="false" outlineLevel="0" collapsed="false">
      <c r="A534" s="23" t="s">
        <v>217</v>
      </c>
      <c r="B534" s="23" t="s">
        <v>228</v>
      </c>
      <c r="C534" s="36" t="n">
        <v>45352</v>
      </c>
      <c r="D534" s="37" t="n">
        <v>27</v>
      </c>
      <c r="E534" s="37" t="n">
        <v>20247.1579</v>
      </c>
      <c r="F534" s="37" t="n">
        <v>17759.5174</v>
      </c>
      <c r="G534" s="38" t="n">
        <f aca="false">E534-F534</f>
        <v>2487.6405</v>
      </c>
      <c r="H534" s="45"/>
      <c r="I534" s="39" t="n">
        <f aca="false">IF(F534&lt;&gt;0,G534/ABS(F534),"n/a")</f>
        <v>0.140073654253691</v>
      </c>
      <c r="J534" s="46" t="str">
        <f aca="false">IF(H534="","guard",IF(ABS(H534-I534)&lt;0.000001,"OK","DIFF"))</f>
        <v>guard</v>
      </c>
    </row>
    <row r="535" customFormat="false" ht="15" hidden="false" customHeight="false" outlineLevel="0" collapsed="false">
      <c r="A535" s="23" t="s">
        <v>217</v>
      </c>
      <c r="B535" s="23" t="s">
        <v>228</v>
      </c>
      <c r="C535" s="36" t="n">
        <v>45383</v>
      </c>
      <c r="D535" s="37" t="n">
        <v>17</v>
      </c>
      <c r="E535" s="37" t="n">
        <v>8562.9807</v>
      </c>
      <c r="F535" s="37" t="n">
        <v>22224.06</v>
      </c>
      <c r="G535" s="38" t="n">
        <f aca="false">E535-F535</f>
        <v>-13661.0793</v>
      </c>
      <c r="H535" s="45" t="n">
        <v>-0.614697732997481</v>
      </c>
      <c r="I535" s="39" t="n">
        <f aca="false">IF(F535&lt;&gt;0,G535/ABS(F535),"n/a")</f>
        <v>-0.614697732997481</v>
      </c>
      <c r="J535" s="46" t="str">
        <f aca="false">IF(H535="","guard",IF(ABS(H535-I535)&lt;0.000001,"OK","DIFF"))</f>
        <v>OK</v>
      </c>
    </row>
    <row r="536" customFormat="false" ht="15" hidden="false" customHeight="false" outlineLevel="0" collapsed="false">
      <c r="A536" s="23" t="s">
        <v>217</v>
      </c>
      <c r="B536" s="23" t="s">
        <v>228</v>
      </c>
      <c r="C536" s="36" t="n">
        <v>45413</v>
      </c>
      <c r="D536" s="37" t="n">
        <v>14</v>
      </c>
      <c r="E536" s="37" t="n">
        <v>15620.23</v>
      </c>
      <c r="F536" s="37" t="n">
        <v>25018.6917</v>
      </c>
      <c r="G536" s="38" t="n">
        <f aca="false">E536-F536</f>
        <v>-9398.4617</v>
      </c>
      <c r="H536" s="45" t="n">
        <v>-0.375657600832901</v>
      </c>
      <c r="I536" s="39" t="n">
        <f aca="false">IF(F536&lt;&gt;0,G536/ABS(F536),"n/a")</f>
        <v>-0.3756576008329</v>
      </c>
      <c r="J536" s="46" t="str">
        <f aca="false">IF(H536="","guard",IF(ABS(H536-I536)&lt;0.000001,"OK","DIFF"))</f>
        <v>OK</v>
      </c>
    </row>
    <row r="537" customFormat="false" ht="15" hidden="false" customHeight="false" outlineLevel="0" collapsed="false">
      <c r="A537" s="23" t="s">
        <v>217</v>
      </c>
      <c r="B537" s="23" t="s">
        <v>228</v>
      </c>
      <c r="C537" s="36" t="n">
        <v>45444</v>
      </c>
      <c r="D537" s="37" t="n">
        <v>23</v>
      </c>
      <c r="E537" s="37" t="n">
        <v>9707.14</v>
      </c>
      <c r="F537" s="37" t="n">
        <v>10394.37</v>
      </c>
      <c r="G537" s="38" t="n">
        <f aca="false">E537-F537</f>
        <v>-687.229999999998</v>
      </c>
      <c r="H537" s="45"/>
      <c r="I537" s="39" t="n">
        <f aca="false">IF(F537&lt;&gt;0,G537/ABS(F537),"n/a")</f>
        <v>-0.066115599117599</v>
      </c>
      <c r="J537" s="46" t="str">
        <f aca="false">IF(H537="","guard",IF(ABS(H537-I537)&lt;0.000001,"OK","DIFF"))</f>
        <v>guard</v>
      </c>
    </row>
    <row r="538" customFormat="false" ht="15" hidden="false" customHeight="false" outlineLevel="0" collapsed="false">
      <c r="A538" s="23" t="s">
        <v>217</v>
      </c>
      <c r="B538" s="23" t="s">
        <v>228</v>
      </c>
      <c r="C538" s="36" t="n">
        <v>45474</v>
      </c>
      <c r="D538" s="37" t="n">
        <v>23</v>
      </c>
      <c r="E538" s="37" t="n">
        <v>21057.5557</v>
      </c>
      <c r="F538" s="37" t="n">
        <v>22055.93</v>
      </c>
      <c r="G538" s="38" t="n">
        <f aca="false">E538-F538</f>
        <v>-998.374299999996</v>
      </c>
      <c r="H538" s="45" t="n">
        <v>-0.0452655725693725</v>
      </c>
      <c r="I538" s="39" t="n">
        <f aca="false">IF(F538&lt;&gt;0,G538/ABS(F538),"n/a")</f>
        <v>-0.0452655725693723</v>
      </c>
      <c r="J538" s="46" t="str">
        <f aca="false">IF(H538="","guard",IF(ABS(H538-I538)&lt;0.000001,"OK","DIFF"))</f>
        <v>OK</v>
      </c>
    </row>
    <row r="539" customFormat="false" ht="15" hidden="false" customHeight="false" outlineLevel="0" collapsed="false">
      <c r="A539" s="23" t="s">
        <v>217</v>
      </c>
      <c r="B539" s="23" t="s">
        <v>228</v>
      </c>
      <c r="C539" s="36" t="n">
        <v>45505</v>
      </c>
      <c r="D539" s="37" t="n">
        <v>18</v>
      </c>
      <c r="E539" s="37" t="n">
        <v>17907.9662</v>
      </c>
      <c r="F539" s="37" t="n">
        <v>14893.7474</v>
      </c>
      <c r="G539" s="38" t="n">
        <f aca="false">E539-F539</f>
        <v>3014.2188</v>
      </c>
      <c r="H539" s="45" t="n">
        <v>0.202381490638145</v>
      </c>
      <c r="I539" s="39" t="n">
        <f aca="false">IF(F539&lt;&gt;0,G539/ABS(F539),"n/a")</f>
        <v>0.202381490638146</v>
      </c>
      <c r="J539" s="46" t="str">
        <f aca="false">IF(H539="","guard",IF(ABS(H539-I539)&lt;0.000001,"OK","DIFF"))</f>
        <v>OK</v>
      </c>
    </row>
    <row r="540" customFormat="false" ht="15" hidden="false" customHeight="false" outlineLevel="0" collapsed="false">
      <c r="A540" s="23" t="s">
        <v>217</v>
      </c>
      <c r="B540" s="23" t="s">
        <v>228</v>
      </c>
      <c r="C540" s="36" t="n">
        <v>45536</v>
      </c>
      <c r="D540" s="37" t="n">
        <v>11</v>
      </c>
      <c r="E540" s="37" t="n">
        <v>8261.3</v>
      </c>
      <c r="F540" s="37" t="n">
        <v>-4587.4299</v>
      </c>
      <c r="G540" s="38" t="n">
        <f aca="false">E540-F540</f>
        <v>12848.7299</v>
      </c>
      <c r="H540" s="45"/>
      <c r="I540" s="39" t="n">
        <f aca="false">IF(F540&lt;&gt;0,G540/ABS(F540),"n/a")</f>
        <v>2.80085585612981</v>
      </c>
      <c r="J540" s="46" t="str">
        <f aca="false">IF(H540="","guard",IF(ABS(H540-I540)&lt;0.000001,"OK","DIFF"))</f>
        <v>guard</v>
      </c>
    </row>
    <row r="541" customFormat="false" ht="15" hidden="false" customHeight="false" outlineLevel="0" collapsed="false">
      <c r="A541" s="23" t="s">
        <v>217</v>
      </c>
      <c r="B541" s="23" t="s">
        <v>228</v>
      </c>
      <c r="C541" s="36" t="n">
        <v>45566</v>
      </c>
      <c r="D541" s="37" t="n">
        <v>18</v>
      </c>
      <c r="E541" s="37" t="n">
        <v>33376.2818</v>
      </c>
      <c r="F541" s="37" t="n">
        <v>19375.6004</v>
      </c>
      <c r="G541" s="38" t="n">
        <f aca="false">E541-F541</f>
        <v>14000.6814</v>
      </c>
      <c r="H541" s="45" t="n">
        <v>0.722593422188868</v>
      </c>
      <c r="I541" s="39" t="n">
        <f aca="false">IF(F541&lt;&gt;0,G541/ABS(F541),"n/a")</f>
        <v>0.722593422188868</v>
      </c>
      <c r="J541" s="46" t="str">
        <f aca="false">IF(H541="","guard",IF(ABS(H541-I541)&lt;0.000001,"OK","DIFF"))</f>
        <v>OK</v>
      </c>
    </row>
    <row r="542" customFormat="false" ht="15" hidden="false" customHeight="false" outlineLevel="0" collapsed="false">
      <c r="A542" s="23" t="s">
        <v>217</v>
      </c>
      <c r="B542" s="23" t="s">
        <v>228</v>
      </c>
      <c r="C542" s="36" t="n">
        <v>45597</v>
      </c>
      <c r="D542" s="37" t="n">
        <v>20</v>
      </c>
      <c r="E542" s="37" t="n">
        <v>12183.0165</v>
      </c>
      <c r="F542" s="37" t="n">
        <v>5693.4156</v>
      </c>
      <c r="G542" s="38" t="n">
        <f aca="false">E542-F542</f>
        <v>6489.6009</v>
      </c>
      <c r="H542" s="45"/>
      <c r="I542" s="39" t="n">
        <f aca="false">IF(F542&lt;&gt;0,G542/ABS(F542),"n/a")</f>
        <v>1.13984317252371</v>
      </c>
      <c r="J542" s="46" t="str">
        <f aca="false">IF(H542="","guard",IF(ABS(H542-I542)&lt;0.000001,"OK","DIFF"))</f>
        <v>guard</v>
      </c>
    </row>
    <row r="543" customFormat="false" ht="15" hidden="false" customHeight="false" outlineLevel="0" collapsed="false">
      <c r="A543" s="23" t="s">
        <v>217</v>
      </c>
      <c r="B543" s="23" t="s">
        <v>228</v>
      </c>
      <c r="C543" s="36" t="n">
        <v>45627</v>
      </c>
      <c r="D543" s="37" t="n">
        <v>17</v>
      </c>
      <c r="E543" s="37" t="n">
        <v>6184.4391</v>
      </c>
      <c r="F543" s="37" t="n">
        <v>13674.1366</v>
      </c>
      <c r="G543" s="38" t="n">
        <f aca="false">E543-F543</f>
        <v>-7489.6975</v>
      </c>
      <c r="H543" s="45" t="n">
        <v>-0.547727269303424</v>
      </c>
      <c r="I543" s="39" t="n">
        <f aca="false">IF(F543&lt;&gt;0,G543/ABS(F543),"n/a")</f>
        <v>-0.547727269303424</v>
      </c>
      <c r="J543" s="46" t="str">
        <f aca="false">IF(H543="","guard",IF(ABS(H543-I543)&lt;0.000001,"OK","DIFF"))</f>
        <v>OK</v>
      </c>
    </row>
    <row r="544" customFormat="false" ht="15" hidden="false" customHeight="false" outlineLevel="0" collapsed="false">
      <c r="A544" s="23" t="s">
        <v>217</v>
      </c>
      <c r="B544" s="23" t="s">
        <v>228</v>
      </c>
      <c r="C544" s="36" t="n">
        <v>45658</v>
      </c>
      <c r="D544" s="37" t="n">
        <v>18</v>
      </c>
      <c r="E544" s="37" t="n">
        <v>22623.2848</v>
      </c>
      <c r="F544" s="37" t="n">
        <v>21379.2394</v>
      </c>
      <c r="G544" s="38" t="n">
        <f aca="false">E544-F544</f>
        <v>1244.0454</v>
      </c>
      <c r="H544" s="45" t="n">
        <v>0.0581894134175793</v>
      </c>
      <c r="I544" s="39" t="n">
        <f aca="false">IF(F544&lt;&gt;0,G544/ABS(F544),"n/a")</f>
        <v>0.0581894134175793</v>
      </c>
      <c r="J544" s="46" t="str">
        <f aca="false">IF(H544="","guard",IF(ABS(H544-I544)&lt;0.000001,"OK","DIFF"))</f>
        <v>OK</v>
      </c>
    </row>
    <row r="545" customFormat="false" ht="15" hidden="false" customHeight="false" outlineLevel="0" collapsed="false">
      <c r="A545" s="23" t="s">
        <v>217</v>
      </c>
      <c r="B545" s="23" t="s">
        <v>228</v>
      </c>
      <c r="C545" s="36" t="n">
        <v>45689</v>
      </c>
      <c r="D545" s="37" t="n">
        <v>23</v>
      </c>
      <c r="E545" s="37" t="n">
        <v>20551.4722</v>
      </c>
      <c r="F545" s="37" t="n">
        <v>19499.2</v>
      </c>
      <c r="G545" s="38" t="n">
        <f aca="false">E545-F545</f>
        <v>1052.2722</v>
      </c>
      <c r="H545" s="45" t="n">
        <v>0.0539648908673176</v>
      </c>
      <c r="I545" s="39" t="n">
        <f aca="false">IF(F545&lt;&gt;0,G545/ABS(F545),"n/a")</f>
        <v>0.0539648908673174</v>
      </c>
      <c r="J545" s="46" t="str">
        <f aca="false">IF(H545="","guard",IF(ABS(H545-I545)&lt;0.000001,"OK","DIFF"))</f>
        <v>OK</v>
      </c>
    </row>
    <row r="546" customFormat="false" ht="15" hidden="false" customHeight="false" outlineLevel="0" collapsed="false">
      <c r="A546" s="23" t="s">
        <v>217</v>
      </c>
      <c r="B546" s="23" t="s">
        <v>228</v>
      </c>
      <c r="C546" s="36" t="n">
        <v>45717</v>
      </c>
      <c r="D546" s="37" t="n">
        <v>19</v>
      </c>
      <c r="E546" s="37" t="n">
        <v>7247.91</v>
      </c>
      <c r="F546" s="37" t="n">
        <v>6108.8704</v>
      </c>
      <c r="G546" s="38" t="n">
        <f aca="false">E546-F546</f>
        <v>1139.0396</v>
      </c>
      <c r="H546" s="45"/>
      <c r="I546" s="39" t="n">
        <f aca="false">IF(F546&lt;&gt;0,G546/ABS(F546),"n/a")</f>
        <v>0.186456664721517</v>
      </c>
      <c r="J546" s="46" t="str">
        <f aca="false">IF(H546="","guard",IF(ABS(H546-I546)&lt;0.000001,"OK","DIFF"))</f>
        <v>guard</v>
      </c>
    </row>
    <row r="547" customFormat="false" ht="15" hidden="false" customHeight="false" outlineLevel="0" collapsed="false">
      <c r="A547" s="23" t="s">
        <v>217</v>
      </c>
      <c r="B547" s="23" t="s">
        <v>228</v>
      </c>
      <c r="C547" s="36" t="n">
        <v>45748</v>
      </c>
      <c r="D547" s="37" t="n">
        <v>23</v>
      </c>
      <c r="E547" s="37" t="n">
        <v>9066.5969</v>
      </c>
      <c r="F547" s="37" t="n">
        <v>5404.06</v>
      </c>
      <c r="G547" s="38" t="n">
        <f aca="false">E547-F547</f>
        <v>3662.5369</v>
      </c>
      <c r="H547" s="45"/>
      <c r="I547" s="39" t="n">
        <f aca="false">IF(F547&lt;&gt;0,G547/ABS(F547),"n/a")</f>
        <v>0.677738015492057</v>
      </c>
      <c r="J547" s="46" t="str">
        <f aca="false">IF(H547="","guard",IF(ABS(H547-I547)&lt;0.000001,"OK","DIFF"))</f>
        <v>guard</v>
      </c>
    </row>
    <row r="548" customFormat="false" ht="15" hidden="false" customHeight="false" outlineLevel="0" collapsed="false">
      <c r="A548" s="23" t="s">
        <v>217</v>
      </c>
      <c r="B548" s="23" t="s">
        <v>228</v>
      </c>
      <c r="C548" s="36" t="n">
        <v>45778</v>
      </c>
      <c r="D548" s="37" t="n">
        <v>9</v>
      </c>
      <c r="E548" s="37" t="n">
        <v>2272.8557</v>
      </c>
      <c r="F548" s="37" t="n">
        <v>3925.17</v>
      </c>
      <c r="G548" s="38" t="n">
        <f aca="false">E548-F548</f>
        <v>-1652.3143</v>
      </c>
      <c r="H548" s="45"/>
      <c r="I548" s="39" t="n">
        <f aca="false">IF(F548&lt;&gt;0,G548/ABS(F548),"n/a")</f>
        <v>-0.420953563794689</v>
      </c>
      <c r="J548" s="46" t="str">
        <f aca="false">IF(H548="","guard",IF(ABS(H548-I548)&lt;0.000001,"OK","DIFF"))</f>
        <v>guard</v>
      </c>
    </row>
    <row r="549" customFormat="false" ht="15" hidden="false" customHeight="false" outlineLevel="0" collapsed="false">
      <c r="A549" s="23" t="s">
        <v>217</v>
      </c>
      <c r="B549" s="23" t="s">
        <v>228</v>
      </c>
      <c r="C549" s="36" t="n">
        <v>45809</v>
      </c>
      <c r="D549" s="37" t="n">
        <v>19</v>
      </c>
      <c r="E549" s="37" t="n">
        <v>8084.61</v>
      </c>
      <c r="F549" s="37" t="n">
        <v>19731.4586</v>
      </c>
      <c r="G549" s="38" t="n">
        <f aca="false">E549-F549</f>
        <v>-11646.8486</v>
      </c>
      <c r="H549" s="45" t="n">
        <v>-0.590267999751422</v>
      </c>
      <c r="I549" s="39" t="n">
        <f aca="false">IF(F549&lt;&gt;0,G549/ABS(F549),"n/a")</f>
        <v>-0.590267999751422</v>
      </c>
      <c r="J549" s="46" t="str">
        <f aca="false">IF(H549="","guard",IF(ABS(H549-I549)&lt;0.000001,"OK","DIFF"))</f>
        <v>OK</v>
      </c>
    </row>
    <row r="550" customFormat="false" ht="15" hidden="false" customHeight="false" outlineLevel="0" collapsed="false">
      <c r="A550" s="23" t="s">
        <v>217</v>
      </c>
      <c r="B550" s="23" t="s">
        <v>228</v>
      </c>
      <c r="C550" s="36" t="n">
        <v>45839</v>
      </c>
      <c r="D550" s="37" t="n">
        <v>21</v>
      </c>
      <c r="E550" s="37" t="n">
        <v>9098.9493</v>
      </c>
      <c r="F550" s="37" t="n">
        <v>11240.07</v>
      </c>
      <c r="G550" s="38" t="n">
        <f aca="false">E550-F550</f>
        <v>-2141.1207</v>
      </c>
      <c r="H550" s="45"/>
      <c r="I550" s="39" t="n">
        <f aca="false">IF(F550&lt;&gt;0,G550/ABS(F550),"n/a")</f>
        <v>-0.190489979154934</v>
      </c>
      <c r="J550" s="46" t="str">
        <f aca="false">IF(H550="","guard",IF(ABS(H550-I550)&lt;0.000001,"OK","DIFF"))</f>
        <v>guard</v>
      </c>
    </row>
    <row r="551" customFormat="false" ht="15" hidden="false" customHeight="false" outlineLevel="0" collapsed="false">
      <c r="A551" s="23" t="s">
        <v>217</v>
      </c>
      <c r="B551" s="23" t="s">
        <v>228</v>
      </c>
      <c r="C551" s="36" t="n">
        <v>45870</v>
      </c>
      <c r="D551" s="37" t="n">
        <v>14</v>
      </c>
      <c r="E551" s="37" t="n">
        <v>30287.043</v>
      </c>
      <c r="F551" s="37" t="n">
        <v>16377.93</v>
      </c>
      <c r="G551" s="38" t="n">
        <f aca="false">E551-F551</f>
        <v>13909.113</v>
      </c>
      <c r="H551" s="45" t="n">
        <v>0.849259521807701</v>
      </c>
      <c r="I551" s="39" t="n">
        <f aca="false">IF(F551&lt;&gt;0,G551/ABS(F551),"n/a")</f>
        <v>0.849259521807701</v>
      </c>
      <c r="J551" s="46" t="str">
        <f aca="false">IF(H551="","guard",IF(ABS(H551-I551)&lt;0.000001,"OK","DIFF"))</f>
        <v>OK</v>
      </c>
    </row>
    <row r="552" customFormat="false" ht="15" hidden="false" customHeight="false" outlineLevel="0" collapsed="false">
      <c r="A552" s="23" t="s">
        <v>217</v>
      </c>
      <c r="B552" s="23" t="s">
        <v>228</v>
      </c>
      <c r="C552" s="36" t="n">
        <v>45901</v>
      </c>
      <c r="D552" s="37" t="n">
        <v>19</v>
      </c>
      <c r="E552" s="37" t="n">
        <v>24277.01</v>
      </c>
      <c r="F552" s="37" t="n">
        <v>16799.0602</v>
      </c>
      <c r="G552" s="38" t="n">
        <f aca="false">E552-F552</f>
        <v>7477.9498</v>
      </c>
      <c r="H552" s="45" t="n">
        <v>0.445140960921136</v>
      </c>
      <c r="I552" s="39" t="n">
        <f aca="false">IF(F552&lt;&gt;0,G552/ABS(F552),"n/a")</f>
        <v>0.445140960921135</v>
      </c>
      <c r="J552" s="46" t="str">
        <f aca="false">IF(H552="","guard",IF(ABS(H552-I552)&lt;0.000001,"OK","DIFF"))</f>
        <v>OK</v>
      </c>
    </row>
    <row r="553" customFormat="false" ht="15" hidden="false" customHeight="false" outlineLevel="0" collapsed="false">
      <c r="A553" s="23" t="s">
        <v>217</v>
      </c>
      <c r="B553" s="23" t="s">
        <v>228</v>
      </c>
      <c r="C553" s="36" t="n">
        <v>45931</v>
      </c>
      <c r="D553" s="37" t="n">
        <v>18</v>
      </c>
      <c r="E553" s="37" t="n">
        <v>25800.88</v>
      </c>
      <c r="F553" s="37" t="n">
        <v>23366.6189</v>
      </c>
      <c r="G553" s="38" t="n">
        <f aca="false">E553-F553</f>
        <v>2434.2611</v>
      </c>
      <c r="H553" s="45" t="n">
        <v>0.104176864886516</v>
      </c>
      <c r="I553" s="39" t="n">
        <f aca="false">IF(F553&lt;&gt;0,G553/ABS(F553),"n/a")</f>
        <v>0.104176864886515</v>
      </c>
      <c r="J553" s="46" t="str">
        <f aca="false">IF(H553="","guard",IF(ABS(H553-I553)&lt;0.000001,"OK","DIFF"))</f>
        <v>OK</v>
      </c>
    </row>
    <row r="554" customFormat="false" ht="15" hidden="false" customHeight="false" outlineLevel="0" collapsed="false">
      <c r="A554" s="23" t="s">
        <v>217</v>
      </c>
      <c r="B554" s="23" t="s">
        <v>228</v>
      </c>
      <c r="C554" s="36" t="n">
        <v>45962</v>
      </c>
      <c r="D554" s="37" t="n">
        <v>17</v>
      </c>
      <c r="E554" s="37" t="n">
        <v>11524.58</v>
      </c>
      <c r="F554" s="37" t="n">
        <v>11954.4323</v>
      </c>
      <c r="G554" s="38" t="n">
        <f aca="false">E554-F554</f>
        <v>-429.852299999999</v>
      </c>
      <c r="H554" s="45" t="n">
        <v>-0.0359575669686967</v>
      </c>
      <c r="I554" s="39" t="n">
        <f aca="false">IF(F554&lt;&gt;0,G554/ABS(F554),"n/a")</f>
        <v>-0.0359575669686965</v>
      </c>
      <c r="J554" s="46" t="str">
        <f aca="false">IF(H554="","guard",IF(ABS(H554-I554)&lt;0.000001,"OK","DIFF"))</f>
        <v>OK</v>
      </c>
    </row>
    <row r="555" customFormat="false" ht="15" hidden="false" customHeight="false" outlineLevel="0" collapsed="false">
      <c r="A555" s="23" t="s">
        <v>217</v>
      </c>
      <c r="B555" s="23" t="s">
        <v>228</v>
      </c>
      <c r="C555" s="36" t="n">
        <v>45992</v>
      </c>
      <c r="D555" s="37" t="n">
        <v>22</v>
      </c>
      <c r="E555" s="37" t="n">
        <v>7751.4</v>
      </c>
      <c r="F555" s="37" t="n">
        <v>3763.21</v>
      </c>
      <c r="G555" s="38" t="n">
        <f aca="false">E555-F555</f>
        <v>3988.19</v>
      </c>
      <c r="H555" s="45"/>
      <c r="I555" s="39" t="n">
        <f aca="false">IF(F555&lt;&gt;0,G555/ABS(F555),"n/a")</f>
        <v>1.0597840673255</v>
      </c>
      <c r="J555" s="46" t="str">
        <f aca="false">IF(H555="","guard",IF(ABS(H555-I555)&lt;0.000001,"OK","DIFF"))</f>
        <v>guard</v>
      </c>
    </row>
    <row r="556" customFormat="false" ht="15" hidden="false" customHeight="false" outlineLevel="0" collapsed="false">
      <c r="A556" s="23" t="s">
        <v>217</v>
      </c>
      <c r="B556" s="23" t="s">
        <v>229</v>
      </c>
      <c r="C556" s="36" t="n">
        <v>44927</v>
      </c>
      <c r="D556" s="37" t="n">
        <v>12</v>
      </c>
      <c r="E556" s="37" t="n">
        <v>102547.78</v>
      </c>
      <c r="F556" s="37" t="n">
        <v>87223.59</v>
      </c>
      <c r="G556" s="38" t="n">
        <f aca="false">E556-F556</f>
        <v>15324.19</v>
      </c>
      <c r="H556" s="45" t="n">
        <v>0.175688595252729</v>
      </c>
      <c r="I556" s="39" t="n">
        <f aca="false">IF(F556&lt;&gt;0,G556/ABS(F556),"n/a")</f>
        <v>0.175688595252729</v>
      </c>
      <c r="J556" s="46" t="str">
        <f aca="false">IF(H556="","guard",IF(ABS(H556-I556)&lt;0.000001,"OK","DIFF"))</f>
        <v>OK</v>
      </c>
    </row>
    <row r="557" customFormat="false" ht="15" hidden="false" customHeight="false" outlineLevel="0" collapsed="false">
      <c r="A557" s="23" t="s">
        <v>217</v>
      </c>
      <c r="B557" s="23" t="s">
        <v>229</v>
      </c>
      <c r="C557" s="36" t="n">
        <v>44958</v>
      </c>
      <c r="D557" s="37" t="n">
        <v>11</v>
      </c>
      <c r="E557" s="37" t="n">
        <v>66955.04</v>
      </c>
      <c r="F557" s="37" t="n">
        <v>61336.9975</v>
      </c>
      <c r="G557" s="38" t="n">
        <f aca="false">E557-F557</f>
        <v>5618.0425</v>
      </c>
      <c r="H557" s="45"/>
      <c r="I557" s="39" t="n">
        <f aca="false">IF(F557&lt;&gt;0,G557/ABS(F557),"n/a")</f>
        <v>0.0915930470838584</v>
      </c>
      <c r="J557" s="46" t="str">
        <f aca="false">IF(H557="","guard",IF(ABS(H557-I557)&lt;0.000001,"OK","DIFF"))</f>
        <v>guard</v>
      </c>
    </row>
    <row r="558" customFormat="false" ht="15" hidden="false" customHeight="false" outlineLevel="0" collapsed="false">
      <c r="A558" s="23" t="s">
        <v>217</v>
      </c>
      <c r="B558" s="23" t="s">
        <v>229</v>
      </c>
      <c r="C558" s="36" t="n">
        <v>44986</v>
      </c>
      <c r="D558" s="37" t="n">
        <v>8</v>
      </c>
      <c r="E558" s="37" t="n">
        <v>96289.68</v>
      </c>
      <c r="F558" s="37" t="n">
        <v>82440.85</v>
      </c>
      <c r="G558" s="38" t="n">
        <f aca="false">E558-F558</f>
        <v>13848.83</v>
      </c>
      <c r="H558" s="45" t="n">
        <v>0.16798504624831</v>
      </c>
      <c r="I558" s="39" t="n">
        <f aca="false">IF(F558&lt;&gt;0,G558/ABS(F558),"n/a")</f>
        <v>0.16798504624831</v>
      </c>
      <c r="J558" s="46" t="str">
        <f aca="false">IF(H558="","guard",IF(ABS(H558-I558)&lt;0.000001,"OK","DIFF"))</f>
        <v>OK</v>
      </c>
    </row>
    <row r="559" customFormat="false" ht="15" hidden="false" customHeight="false" outlineLevel="0" collapsed="false">
      <c r="A559" s="23" t="s">
        <v>217</v>
      </c>
      <c r="B559" s="23" t="s">
        <v>229</v>
      </c>
      <c r="C559" s="36" t="n">
        <v>45017</v>
      </c>
      <c r="D559" s="37" t="n">
        <v>9</v>
      </c>
      <c r="E559" s="37" t="n">
        <v>75446.31</v>
      </c>
      <c r="F559" s="37" t="n">
        <v>98443.8586</v>
      </c>
      <c r="G559" s="38" t="n">
        <f aca="false">E559-F559</f>
        <v>-22997.5486</v>
      </c>
      <c r="H559" s="45" t="n">
        <v>-0.233610800379578</v>
      </c>
      <c r="I559" s="39" t="n">
        <f aca="false">IF(F559&lt;&gt;0,G559/ABS(F559),"n/a")</f>
        <v>-0.233610800379578</v>
      </c>
      <c r="J559" s="46" t="str">
        <f aca="false">IF(H559="","guard",IF(ABS(H559-I559)&lt;0.000001,"OK","DIFF"))</f>
        <v>OK</v>
      </c>
    </row>
    <row r="560" customFormat="false" ht="15" hidden="false" customHeight="false" outlineLevel="0" collapsed="false">
      <c r="A560" s="23" t="s">
        <v>217</v>
      </c>
      <c r="B560" s="23" t="s">
        <v>229</v>
      </c>
      <c r="C560" s="36" t="n">
        <v>45047</v>
      </c>
      <c r="D560" s="37" t="n">
        <v>9</v>
      </c>
      <c r="E560" s="37" t="n">
        <v>76859.84</v>
      </c>
      <c r="F560" s="37" t="n">
        <v>97144.77</v>
      </c>
      <c r="G560" s="38" t="n">
        <f aca="false">E560-F560</f>
        <v>-20284.93</v>
      </c>
      <c r="H560" s="45" t="n">
        <v>-0.208811344141326</v>
      </c>
      <c r="I560" s="39" t="n">
        <f aca="false">IF(F560&lt;&gt;0,G560/ABS(F560),"n/a")</f>
        <v>-0.208811344141326</v>
      </c>
      <c r="J560" s="46" t="str">
        <f aca="false">IF(H560="","guard",IF(ABS(H560-I560)&lt;0.000001,"OK","DIFF"))</f>
        <v>OK</v>
      </c>
    </row>
    <row r="561" customFormat="false" ht="15" hidden="false" customHeight="false" outlineLevel="0" collapsed="false">
      <c r="A561" s="23" t="s">
        <v>217</v>
      </c>
      <c r="B561" s="23" t="s">
        <v>229</v>
      </c>
      <c r="C561" s="36" t="n">
        <v>45078</v>
      </c>
      <c r="D561" s="37" t="n">
        <v>10</v>
      </c>
      <c r="E561" s="37" t="n">
        <v>98367.2208</v>
      </c>
      <c r="F561" s="37" t="n">
        <v>94218.19</v>
      </c>
      <c r="G561" s="38" t="n">
        <f aca="false">E561-F561</f>
        <v>4149.03080000002</v>
      </c>
      <c r="H561" s="45" t="n">
        <v>0.0440364095298371</v>
      </c>
      <c r="I561" s="39" t="n">
        <f aca="false">IF(F561&lt;&gt;0,G561/ABS(F561),"n/a")</f>
        <v>0.0440364095298373</v>
      </c>
      <c r="J561" s="46" t="str">
        <f aca="false">IF(H561="","guard",IF(ABS(H561-I561)&lt;0.000001,"OK","DIFF"))</f>
        <v>OK</v>
      </c>
    </row>
    <row r="562" customFormat="false" ht="15" hidden="false" customHeight="false" outlineLevel="0" collapsed="false">
      <c r="A562" s="23" t="s">
        <v>217</v>
      </c>
      <c r="B562" s="23" t="s">
        <v>229</v>
      </c>
      <c r="C562" s="36" t="n">
        <v>45108</v>
      </c>
      <c r="D562" s="37" t="n">
        <v>14</v>
      </c>
      <c r="E562" s="37" t="n">
        <v>113254.996</v>
      </c>
      <c r="F562" s="37" t="n">
        <v>141513.6189</v>
      </c>
      <c r="G562" s="38" t="n">
        <f aca="false">E562-F562</f>
        <v>-28258.6229</v>
      </c>
      <c r="H562" s="45" t="n">
        <v>-0.199688362997549</v>
      </c>
      <c r="I562" s="39" t="n">
        <f aca="false">IF(F562&lt;&gt;0,G562/ABS(F562),"n/a")</f>
        <v>-0.199688362997549</v>
      </c>
      <c r="J562" s="46" t="str">
        <f aca="false">IF(H562="","guard",IF(ABS(H562-I562)&lt;0.000001,"OK","DIFF"))</f>
        <v>OK</v>
      </c>
    </row>
    <row r="563" customFormat="false" ht="15" hidden="false" customHeight="false" outlineLevel="0" collapsed="false">
      <c r="A563" s="23" t="s">
        <v>217</v>
      </c>
      <c r="B563" s="23" t="s">
        <v>229</v>
      </c>
      <c r="C563" s="36" t="n">
        <v>45139</v>
      </c>
      <c r="D563" s="37" t="n">
        <v>7</v>
      </c>
      <c r="E563" s="37" t="n">
        <v>120947</v>
      </c>
      <c r="F563" s="37" t="n">
        <v>114301.26</v>
      </c>
      <c r="G563" s="38" t="n">
        <f aca="false">E563-F563</f>
        <v>6645.74000000001</v>
      </c>
      <c r="H563" s="45" t="n">
        <v>0.0581423161914401</v>
      </c>
      <c r="I563" s="39" t="n">
        <f aca="false">IF(F563&lt;&gt;0,G563/ABS(F563),"n/a")</f>
        <v>0.0581423161914401</v>
      </c>
      <c r="J563" s="46" t="str">
        <f aca="false">IF(H563="","guard",IF(ABS(H563-I563)&lt;0.000001,"OK","DIFF"))</f>
        <v>OK</v>
      </c>
    </row>
    <row r="564" customFormat="false" ht="15" hidden="false" customHeight="false" outlineLevel="0" collapsed="false">
      <c r="A564" s="23" t="s">
        <v>217</v>
      </c>
      <c r="B564" s="23" t="s">
        <v>229</v>
      </c>
      <c r="C564" s="36" t="n">
        <v>45170</v>
      </c>
      <c r="D564" s="37" t="n">
        <v>7</v>
      </c>
      <c r="E564" s="37" t="n">
        <v>24332.717</v>
      </c>
      <c r="F564" s="37" t="n">
        <v>44949.3006</v>
      </c>
      <c r="G564" s="38" t="n">
        <f aca="false">E564-F564</f>
        <v>-20616.5836</v>
      </c>
      <c r="H564" s="45" t="n">
        <v>-0.458663056483686</v>
      </c>
      <c r="I564" s="39" t="n">
        <f aca="false">IF(F564&lt;&gt;0,G564/ABS(F564),"n/a")</f>
        <v>-0.458663056483686</v>
      </c>
      <c r="J564" s="46" t="str">
        <f aca="false">IF(H564="","guard",IF(ABS(H564-I564)&lt;0.000001,"OK","DIFF"))</f>
        <v>OK</v>
      </c>
    </row>
    <row r="565" customFormat="false" ht="15" hidden="false" customHeight="false" outlineLevel="0" collapsed="false">
      <c r="A565" s="23" t="s">
        <v>217</v>
      </c>
      <c r="B565" s="23" t="s">
        <v>229</v>
      </c>
      <c r="C565" s="36" t="n">
        <v>45200</v>
      </c>
      <c r="D565" s="37" t="n">
        <v>10</v>
      </c>
      <c r="E565" s="37" t="n">
        <v>69099.7617</v>
      </c>
      <c r="F565" s="37" t="n">
        <v>28564.05</v>
      </c>
      <c r="G565" s="38" t="n">
        <f aca="false">E565-F565</f>
        <v>40535.7117</v>
      </c>
      <c r="H565" s="45"/>
      <c r="I565" s="39" t="n">
        <f aca="false">IF(F565&lt;&gt;0,G565/ABS(F565),"n/a")</f>
        <v>1.41911639630935</v>
      </c>
      <c r="J565" s="46" t="str">
        <f aca="false">IF(H565="","guard",IF(ABS(H565-I565)&lt;0.000001,"OK","DIFF"))</f>
        <v>guard</v>
      </c>
    </row>
    <row r="566" customFormat="false" ht="15" hidden="false" customHeight="false" outlineLevel="0" collapsed="false">
      <c r="A566" s="23" t="s">
        <v>217</v>
      </c>
      <c r="B566" s="23" t="s">
        <v>229</v>
      </c>
      <c r="C566" s="36" t="n">
        <v>45231</v>
      </c>
      <c r="D566" s="37" t="n">
        <v>9</v>
      </c>
      <c r="E566" s="37" t="n">
        <v>38621.8269</v>
      </c>
      <c r="F566" s="37" t="n">
        <v>46127.0468</v>
      </c>
      <c r="G566" s="38" t="n">
        <f aca="false">E566-F566</f>
        <v>-7505.2199</v>
      </c>
      <c r="H566" s="45" t="n">
        <v>-0.162707574420307</v>
      </c>
      <c r="I566" s="39" t="n">
        <f aca="false">IF(F566&lt;&gt;0,G566/ABS(F566),"n/a")</f>
        <v>-0.162707574420307</v>
      </c>
      <c r="J566" s="46" t="str">
        <f aca="false">IF(H566="","guard",IF(ABS(H566-I566)&lt;0.000001,"OK","DIFF"))</f>
        <v>OK</v>
      </c>
    </row>
    <row r="567" customFormat="false" ht="15" hidden="false" customHeight="false" outlineLevel="0" collapsed="false">
      <c r="A567" s="23" t="s">
        <v>217</v>
      </c>
      <c r="B567" s="23" t="s">
        <v>229</v>
      </c>
      <c r="C567" s="36" t="n">
        <v>45261</v>
      </c>
      <c r="D567" s="37" t="n">
        <v>12</v>
      </c>
      <c r="E567" s="37" t="n">
        <v>108076.55</v>
      </c>
      <c r="F567" s="37" t="n">
        <v>77005.0305</v>
      </c>
      <c r="G567" s="38" t="n">
        <f aca="false">E567-F567</f>
        <v>31071.5195</v>
      </c>
      <c r="H567" s="45" t="n">
        <v>0.403499866154848</v>
      </c>
      <c r="I567" s="39" t="n">
        <f aca="false">IF(F567&lt;&gt;0,G567/ABS(F567),"n/a")</f>
        <v>0.403499866154848</v>
      </c>
      <c r="J567" s="46" t="str">
        <f aca="false">IF(H567="","guard",IF(ABS(H567-I567)&lt;0.000001,"OK","DIFF"))</f>
        <v>OK</v>
      </c>
    </row>
    <row r="568" customFormat="false" ht="15" hidden="false" customHeight="false" outlineLevel="0" collapsed="false">
      <c r="A568" s="23" t="s">
        <v>217</v>
      </c>
      <c r="B568" s="23" t="s">
        <v>229</v>
      </c>
      <c r="C568" s="36" t="n">
        <v>45292</v>
      </c>
      <c r="D568" s="37" t="n">
        <v>11</v>
      </c>
      <c r="E568" s="37" t="n">
        <v>85797.1</v>
      </c>
      <c r="F568" s="37" t="n">
        <v>87980.87</v>
      </c>
      <c r="G568" s="38" t="n">
        <f aca="false">E568-F568</f>
        <v>-2183.77000000002</v>
      </c>
      <c r="H568" s="45" t="n">
        <v>-0.0248209639209069</v>
      </c>
      <c r="I568" s="39" t="n">
        <f aca="false">IF(F568&lt;&gt;0,G568/ABS(F568),"n/a")</f>
        <v>-0.0248209639209071</v>
      </c>
      <c r="J568" s="46" t="str">
        <f aca="false">IF(H568="","guard",IF(ABS(H568-I568)&lt;0.000001,"OK","DIFF"))</f>
        <v>OK</v>
      </c>
    </row>
    <row r="569" customFormat="false" ht="15" hidden="false" customHeight="false" outlineLevel="0" collapsed="false">
      <c r="A569" s="23" t="s">
        <v>217</v>
      </c>
      <c r="B569" s="23" t="s">
        <v>229</v>
      </c>
      <c r="C569" s="36" t="n">
        <v>45323</v>
      </c>
      <c r="D569" s="37" t="n">
        <v>7</v>
      </c>
      <c r="E569" s="37" t="n">
        <v>21758.42</v>
      </c>
      <c r="F569" s="37" t="n">
        <v>20736.86</v>
      </c>
      <c r="G569" s="38" t="n">
        <f aca="false">E569-F569</f>
        <v>1021.56</v>
      </c>
      <c r="H569" s="45"/>
      <c r="I569" s="39" t="n">
        <f aca="false">IF(F569&lt;&gt;0,G569/ABS(F569),"n/a")</f>
        <v>0.0492630031740583</v>
      </c>
      <c r="J569" s="46" t="str">
        <f aca="false">IF(H569="","guard",IF(ABS(H569-I569)&lt;0.000001,"OK","DIFF"))</f>
        <v>guard</v>
      </c>
    </row>
    <row r="570" customFormat="false" ht="15" hidden="false" customHeight="false" outlineLevel="0" collapsed="false">
      <c r="A570" s="23" t="s">
        <v>217</v>
      </c>
      <c r="B570" s="23" t="s">
        <v>229</v>
      </c>
      <c r="C570" s="36" t="n">
        <v>45352</v>
      </c>
      <c r="D570" s="37" t="n">
        <v>8</v>
      </c>
      <c r="E570" s="37" t="n">
        <v>43113.51</v>
      </c>
      <c r="F570" s="37" t="n">
        <v>20453.276</v>
      </c>
      <c r="G570" s="38" t="n">
        <f aca="false">E570-F570</f>
        <v>22660.234</v>
      </c>
      <c r="H570" s="45"/>
      <c r="I570" s="39" t="n">
        <f aca="false">IF(F570&lt;&gt;0,G570/ABS(F570),"n/a")</f>
        <v>1.10790242110848</v>
      </c>
      <c r="J570" s="46" t="str">
        <f aca="false">IF(H570="","guard",IF(ABS(H570-I570)&lt;0.000001,"OK","DIFF"))</f>
        <v>guard</v>
      </c>
    </row>
    <row r="571" customFormat="false" ht="15" hidden="false" customHeight="false" outlineLevel="0" collapsed="false">
      <c r="A571" s="23" t="s">
        <v>217</v>
      </c>
      <c r="B571" s="23" t="s">
        <v>229</v>
      </c>
      <c r="C571" s="36" t="n">
        <v>45383</v>
      </c>
      <c r="D571" s="37" t="n">
        <v>6</v>
      </c>
      <c r="E571" s="37" t="n">
        <v>40897.26</v>
      </c>
      <c r="F571" s="37" t="n">
        <v>17087.95</v>
      </c>
      <c r="G571" s="38" t="n">
        <f aca="false">E571-F571</f>
        <v>23809.31</v>
      </c>
      <c r="H571" s="45"/>
      <c r="I571" s="39" t="n">
        <f aca="false">IF(F571&lt;&gt;0,G571/ABS(F571),"n/a")</f>
        <v>1.39333916590346</v>
      </c>
      <c r="J571" s="46" t="str">
        <f aca="false">IF(H571="","guard",IF(ABS(H571-I571)&lt;0.000001,"OK","DIFF"))</f>
        <v>guard</v>
      </c>
    </row>
    <row r="572" customFormat="false" ht="15" hidden="false" customHeight="false" outlineLevel="0" collapsed="false">
      <c r="A572" s="23" t="s">
        <v>217</v>
      </c>
      <c r="B572" s="23" t="s">
        <v>229</v>
      </c>
      <c r="C572" s="36" t="n">
        <v>45413</v>
      </c>
      <c r="D572" s="37" t="n">
        <v>9</v>
      </c>
      <c r="E572" s="37" t="n">
        <v>45584.4011</v>
      </c>
      <c r="F572" s="37" t="n">
        <v>44560.4941</v>
      </c>
      <c r="G572" s="38" t="n">
        <f aca="false">E572-F572</f>
        <v>1023.907</v>
      </c>
      <c r="H572" s="45" t="n">
        <v>0.0229779094841769</v>
      </c>
      <c r="I572" s="39" t="n">
        <f aca="false">IF(F572&lt;&gt;0,G572/ABS(F572),"n/a")</f>
        <v>0.0229779094841769</v>
      </c>
      <c r="J572" s="46" t="str">
        <f aca="false">IF(H572="","guard",IF(ABS(H572-I572)&lt;0.000001,"OK","DIFF"))</f>
        <v>OK</v>
      </c>
    </row>
    <row r="573" customFormat="false" ht="15" hidden="false" customHeight="false" outlineLevel="0" collapsed="false">
      <c r="A573" s="23" t="s">
        <v>217</v>
      </c>
      <c r="B573" s="23" t="s">
        <v>229</v>
      </c>
      <c r="C573" s="36" t="n">
        <v>45444</v>
      </c>
      <c r="D573" s="37" t="n">
        <v>7</v>
      </c>
      <c r="E573" s="37" t="n">
        <v>52259.231</v>
      </c>
      <c r="F573" s="37" t="n">
        <v>49172.04</v>
      </c>
      <c r="G573" s="38" t="n">
        <f aca="false">E573-F573</f>
        <v>3087.191</v>
      </c>
      <c r="H573" s="45" t="n">
        <v>0.0627834639360092</v>
      </c>
      <c r="I573" s="39" t="n">
        <f aca="false">IF(F573&lt;&gt;0,G573/ABS(F573),"n/a")</f>
        <v>0.0627834639360091</v>
      </c>
      <c r="J573" s="46" t="str">
        <f aca="false">IF(H573="","guard",IF(ABS(H573-I573)&lt;0.000001,"OK","DIFF"))</f>
        <v>OK</v>
      </c>
    </row>
    <row r="574" customFormat="false" ht="15" hidden="false" customHeight="false" outlineLevel="0" collapsed="false">
      <c r="A574" s="23" t="s">
        <v>217</v>
      </c>
      <c r="B574" s="23" t="s">
        <v>229</v>
      </c>
      <c r="C574" s="36" t="n">
        <v>45474</v>
      </c>
      <c r="D574" s="37" t="n">
        <v>12</v>
      </c>
      <c r="E574" s="37" t="n">
        <v>145761.8041</v>
      </c>
      <c r="F574" s="37" t="n">
        <v>123388.99</v>
      </c>
      <c r="G574" s="38" t="n">
        <f aca="false">E574-F574</f>
        <v>22372.8141</v>
      </c>
      <c r="H574" s="45" t="n">
        <v>0.181319371363685</v>
      </c>
      <c r="I574" s="39" t="n">
        <f aca="false">IF(F574&lt;&gt;0,G574/ABS(F574),"n/a")</f>
        <v>0.181319371363685</v>
      </c>
      <c r="J574" s="46" t="str">
        <f aca="false">IF(H574="","guard",IF(ABS(H574-I574)&lt;0.000001,"OK","DIFF"))</f>
        <v>OK</v>
      </c>
    </row>
    <row r="575" customFormat="false" ht="15" hidden="false" customHeight="false" outlineLevel="0" collapsed="false">
      <c r="A575" s="23" t="s">
        <v>217</v>
      </c>
      <c r="B575" s="23" t="s">
        <v>229</v>
      </c>
      <c r="C575" s="36" t="n">
        <v>45505</v>
      </c>
      <c r="D575" s="37" t="n">
        <v>9</v>
      </c>
      <c r="E575" s="37" t="n">
        <v>87933.6848</v>
      </c>
      <c r="F575" s="37" t="n">
        <v>71964.93</v>
      </c>
      <c r="G575" s="38" t="n">
        <f aca="false">E575-F575</f>
        <v>15968.7548</v>
      </c>
      <c r="H575" s="45" t="n">
        <v>0.221896343121573</v>
      </c>
      <c r="I575" s="39" t="n">
        <f aca="false">IF(F575&lt;&gt;0,G575/ABS(F575),"n/a")</f>
        <v>0.221896343121573</v>
      </c>
      <c r="J575" s="46" t="str">
        <f aca="false">IF(H575="","guard",IF(ABS(H575-I575)&lt;0.000001,"OK","DIFF"))</f>
        <v>OK</v>
      </c>
    </row>
    <row r="576" customFormat="false" ht="15" hidden="false" customHeight="false" outlineLevel="0" collapsed="false">
      <c r="A576" s="23" t="s">
        <v>217</v>
      </c>
      <c r="B576" s="23" t="s">
        <v>229</v>
      </c>
      <c r="C576" s="36" t="n">
        <v>45536</v>
      </c>
      <c r="D576" s="37" t="n">
        <v>9</v>
      </c>
      <c r="E576" s="37" t="n">
        <v>70003.54</v>
      </c>
      <c r="F576" s="37" t="n">
        <v>99883.4414</v>
      </c>
      <c r="G576" s="38" t="n">
        <f aca="false">E576-F576</f>
        <v>-29879.9014</v>
      </c>
      <c r="H576" s="45" t="n">
        <v>-0.299147696366817</v>
      </c>
      <c r="I576" s="39" t="n">
        <f aca="false">IF(F576&lt;&gt;0,G576/ABS(F576),"n/a")</f>
        <v>-0.299147696366817</v>
      </c>
      <c r="J576" s="46" t="str">
        <f aca="false">IF(H576="","guard",IF(ABS(H576-I576)&lt;0.000001,"OK","DIFF"))</f>
        <v>OK</v>
      </c>
    </row>
    <row r="577" customFormat="false" ht="15" hidden="false" customHeight="false" outlineLevel="0" collapsed="false">
      <c r="A577" s="23" t="s">
        <v>217</v>
      </c>
      <c r="B577" s="23" t="s">
        <v>229</v>
      </c>
      <c r="C577" s="36" t="n">
        <v>45566</v>
      </c>
      <c r="D577" s="37" t="n">
        <v>16</v>
      </c>
      <c r="E577" s="37" t="n">
        <v>126346.183</v>
      </c>
      <c r="F577" s="37" t="n">
        <v>119912.2386</v>
      </c>
      <c r="G577" s="38" t="n">
        <f aca="false">E577-F577</f>
        <v>6433.94439999999</v>
      </c>
      <c r="H577" s="45" t="n">
        <v>0.0536554439740065</v>
      </c>
      <c r="I577" s="39" t="n">
        <f aca="false">IF(F577&lt;&gt;0,G577/ABS(F577),"n/a")</f>
        <v>0.0536554439740065</v>
      </c>
      <c r="J577" s="46" t="str">
        <f aca="false">IF(H577="","guard",IF(ABS(H577-I577)&lt;0.000001,"OK","DIFF"))</f>
        <v>OK</v>
      </c>
    </row>
    <row r="578" customFormat="false" ht="15" hidden="false" customHeight="false" outlineLevel="0" collapsed="false">
      <c r="A578" s="23" t="s">
        <v>217</v>
      </c>
      <c r="B578" s="23" t="s">
        <v>229</v>
      </c>
      <c r="C578" s="36" t="n">
        <v>45597</v>
      </c>
      <c r="D578" s="37" t="n">
        <v>7</v>
      </c>
      <c r="E578" s="37" t="n">
        <v>11482.3</v>
      </c>
      <c r="F578" s="37" t="n">
        <v>40951.62</v>
      </c>
      <c r="G578" s="38" t="n">
        <f aca="false">E578-F578</f>
        <v>-29469.32</v>
      </c>
      <c r="H578" s="45" t="n">
        <v>-0.719613045833107</v>
      </c>
      <c r="I578" s="39" t="n">
        <f aca="false">IF(F578&lt;&gt;0,G578/ABS(F578),"n/a")</f>
        <v>-0.719613045833108</v>
      </c>
      <c r="J578" s="46" t="str">
        <f aca="false">IF(H578="","guard",IF(ABS(H578-I578)&lt;0.000001,"OK","DIFF"))</f>
        <v>OK</v>
      </c>
    </row>
    <row r="579" customFormat="false" ht="15" hidden="false" customHeight="false" outlineLevel="0" collapsed="false">
      <c r="A579" s="23" t="s">
        <v>217</v>
      </c>
      <c r="B579" s="23" t="s">
        <v>229</v>
      </c>
      <c r="C579" s="36" t="n">
        <v>45627</v>
      </c>
      <c r="D579" s="37" t="n">
        <v>8</v>
      </c>
      <c r="E579" s="37" t="n">
        <v>31297.49</v>
      </c>
      <c r="F579" s="37" t="n">
        <v>60709.44</v>
      </c>
      <c r="G579" s="38" t="n">
        <f aca="false">E579-F579</f>
        <v>-29411.95</v>
      </c>
      <c r="H579" s="45" t="n">
        <v>-0.484470784115287</v>
      </c>
      <c r="I579" s="39" t="n">
        <f aca="false">IF(F579&lt;&gt;0,G579/ABS(F579),"n/a")</f>
        <v>-0.484470784115288</v>
      </c>
      <c r="J579" s="46" t="str">
        <f aca="false">IF(H579="","guard",IF(ABS(H579-I579)&lt;0.000001,"OK","DIFF"))</f>
        <v>OK</v>
      </c>
    </row>
    <row r="580" customFormat="false" ht="15" hidden="false" customHeight="false" outlineLevel="0" collapsed="false">
      <c r="A580" s="23" t="s">
        <v>217</v>
      </c>
      <c r="B580" s="23" t="s">
        <v>229</v>
      </c>
      <c r="C580" s="36" t="n">
        <v>45658</v>
      </c>
      <c r="D580" s="37" t="n">
        <v>7</v>
      </c>
      <c r="E580" s="37" t="n">
        <v>88236.2639</v>
      </c>
      <c r="F580" s="37" t="n">
        <v>95017.12</v>
      </c>
      <c r="G580" s="38" t="n">
        <f aca="false">E580-F580</f>
        <v>-6780.8561</v>
      </c>
      <c r="H580" s="45" t="n">
        <v>-0.0713645719845013</v>
      </c>
      <c r="I580" s="39" t="n">
        <f aca="false">IF(F580&lt;&gt;0,G580/ABS(F580),"n/a")</f>
        <v>-0.0713645719845014</v>
      </c>
      <c r="J580" s="46" t="str">
        <f aca="false">IF(H580="","guard",IF(ABS(H580-I580)&lt;0.000001,"OK","DIFF"))</f>
        <v>OK</v>
      </c>
    </row>
    <row r="581" customFormat="false" ht="15" hidden="false" customHeight="false" outlineLevel="0" collapsed="false">
      <c r="A581" s="23" t="s">
        <v>217</v>
      </c>
      <c r="B581" s="23" t="s">
        <v>229</v>
      </c>
      <c r="C581" s="36" t="n">
        <v>45689</v>
      </c>
      <c r="D581" s="37" t="n">
        <v>12</v>
      </c>
      <c r="E581" s="37" t="n">
        <v>107257.57</v>
      </c>
      <c r="F581" s="37" t="n">
        <v>96585.11</v>
      </c>
      <c r="G581" s="38" t="n">
        <f aca="false">E581-F581</f>
        <v>10672.46</v>
      </c>
      <c r="H581" s="45" t="n">
        <v>0.110497984627237</v>
      </c>
      <c r="I581" s="39" t="n">
        <f aca="false">IF(F581&lt;&gt;0,G581/ABS(F581),"n/a")</f>
        <v>0.110497984627237</v>
      </c>
      <c r="J581" s="46" t="str">
        <f aca="false">IF(H581="","guard",IF(ABS(H581-I581)&lt;0.000001,"OK","DIFF"))</f>
        <v>OK</v>
      </c>
    </row>
    <row r="582" customFormat="false" ht="15" hidden="false" customHeight="false" outlineLevel="0" collapsed="false">
      <c r="A582" s="23" t="s">
        <v>217</v>
      </c>
      <c r="B582" s="23" t="s">
        <v>229</v>
      </c>
      <c r="C582" s="36" t="n">
        <v>45717</v>
      </c>
      <c r="D582" s="37" t="n">
        <v>4</v>
      </c>
      <c r="E582" s="37" t="n">
        <v>43531.6452</v>
      </c>
      <c r="F582" s="37" t="n">
        <v>19108.25</v>
      </c>
      <c r="G582" s="38" t="n">
        <f aca="false">E582-F582</f>
        <v>24423.3952</v>
      </c>
      <c r="H582" s="45"/>
      <c r="I582" s="39" t="n">
        <f aca="false">IF(F582&lt;&gt;0,G582/ABS(F582),"n/a")</f>
        <v>1.2781597058862</v>
      </c>
      <c r="J582" s="46" t="str">
        <f aca="false">IF(H582="","guard",IF(ABS(H582-I582)&lt;0.000001,"OK","DIFF"))</f>
        <v>guard</v>
      </c>
    </row>
    <row r="583" customFormat="false" ht="15" hidden="false" customHeight="false" outlineLevel="0" collapsed="false">
      <c r="A583" s="23" t="s">
        <v>217</v>
      </c>
      <c r="B583" s="23" t="s">
        <v>229</v>
      </c>
      <c r="C583" s="36" t="n">
        <v>45748</v>
      </c>
      <c r="D583" s="37" t="n">
        <v>10</v>
      </c>
      <c r="E583" s="37" t="n">
        <v>98780.78</v>
      </c>
      <c r="F583" s="37" t="n">
        <v>114669.37</v>
      </c>
      <c r="G583" s="38" t="n">
        <f aca="false">E583-F583</f>
        <v>-15888.59</v>
      </c>
      <c r="H583" s="45" t="n">
        <v>-0.138560018250733</v>
      </c>
      <c r="I583" s="39" t="n">
        <f aca="false">IF(F583&lt;&gt;0,G583/ABS(F583),"n/a")</f>
        <v>-0.138560018250733</v>
      </c>
      <c r="J583" s="46" t="str">
        <f aca="false">IF(H583="","guard",IF(ABS(H583-I583)&lt;0.000001,"OK","DIFF"))</f>
        <v>OK</v>
      </c>
    </row>
    <row r="584" customFormat="false" ht="15" hidden="false" customHeight="false" outlineLevel="0" collapsed="false">
      <c r="A584" s="23" t="s">
        <v>217</v>
      </c>
      <c r="B584" s="23" t="s">
        <v>229</v>
      </c>
      <c r="C584" s="36" t="n">
        <v>45778</v>
      </c>
      <c r="D584" s="37" t="n">
        <v>11</v>
      </c>
      <c r="E584" s="37" t="n">
        <v>63770.15</v>
      </c>
      <c r="F584" s="37" t="n">
        <v>98508.82</v>
      </c>
      <c r="G584" s="38" t="n">
        <f aca="false">E584-F584</f>
        <v>-34738.67</v>
      </c>
      <c r="H584" s="45" t="n">
        <v>-0.352645275824033</v>
      </c>
      <c r="I584" s="39" t="n">
        <f aca="false">IF(F584&lt;&gt;0,G584/ABS(F584),"n/a")</f>
        <v>-0.352645275824033</v>
      </c>
      <c r="J584" s="46" t="str">
        <f aca="false">IF(H584="","guard",IF(ABS(H584-I584)&lt;0.000001,"OK","DIFF"))</f>
        <v>OK</v>
      </c>
    </row>
    <row r="585" customFormat="false" ht="15" hidden="false" customHeight="false" outlineLevel="0" collapsed="false">
      <c r="A585" s="23" t="s">
        <v>217</v>
      </c>
      <c r="B585" s="23" t="s">
        <v>229</v>
      </c>
      <c r="C585" s="36" t="n">
        <v>45809</v>
      </c>
      <c r="D585" s="37" t="n">
        <v>8</v>
      </c>
      <c r="E585" s="37" t="n">
        <v>105285.79</v>
      </c>
      <c r="F585" s="37" t="n">
        <v>96932.7734</v>
      </c>
      <c r="G585" s="38" t="n">
        <f aca="false">E585-F585</f>
        <v>8353.0166</v>
      </c>
      <c r="H585" s="45" t="n">
        <v>0.0861732962651412</v>
      </c>
      <c r="I585" s="39" t="n">
        <f aca="false">IF(F585&lt;&gt;0,G585/ABS(F585),"n/a")</f>
        <v>0.0861732962651413</v>
      </c>
      <c r="J585" s="46" t="str">
        <f aca="false">IF(H585="","guard",IF(ABS(H585-I585)&lt;0.000001,"OK","DIFF"))</f>
        <v>OK</v>
      </c>
    </row>
    <row r="586" customFormat="false" ht="15" hidden="false" customHeight="false" outlineLevel="0" collapsed="false">
      <c r="A586" s="23" t="s">
        <v>217</v>
      </c>
      <c r="B586" s="23" t="s">
        <v>229</v>
      </c>
      <c r="C586" s="36" t="n">
        <v>45839</v>
      </c>
      <c r="D586" s="37" t="n">
        <v>12</v>
      </c>
      <c r="E586" s="37" t="n">
        <v>178594.6023</v>
      </c>
      <c r="F586" s="37" t="n">
        <v>114340.8</v>
      </c>
      <c r="G586" s="38" t="n">
        <f aca="false">E586-F586</f>
        <v>64253.8023</v>
      </c>
      <c r="H586" s="45" t="n">
        <v>0.561949910268251</v>
      </c>
      <c r="I586" s="39" t="n">
        <f aca="false">IF(F586&lt;&gt;0,G586/ABS(F586),"n/a")</f>
        <v>0.561949910268251</v>
      </c>
      <c r="J586" s="46" t="str">
        <f aca="false">IF(H586="","guard",IF(ABS(H586-I586)&lt;0.000001,"OK","DIFF"))</f>
        <v>OK</v>
      </c>
    </row>
    <row r="587" customFormat="false" ht="15" hidden="false" customHeight="false" outlineLevel="0" collapsed="false">
      <c r="A587" s="23" t="s">
        <v>217</v>
      </c>
      <c r="B587" s="23" t="s">
        <v>229</v>
      </c>
      <c r="C587" s="36" t="n">
        <v>45870</v>
      </c>
      <c r="D587" s="37" t="n">
        <v>10</v>
      </c>
      <c r="E587" s="37" t="n">
        <v>46848.76</v>
      </c>
      <c r="F587" s="37" t="n">
        <v>75497.91</v>
      </c>
      <c r="G587" s="38" t="n">
        <f aca="false">E587-F587</f>
        <v>-28649.15</v>
      </c>
      <c r="H587" s="45" t="n">
        <v>-0.37946944491576</v>
      </c>
      <c r="I587" s="39" t="n">
        <f aca="false">IF(F587&lt;&gt;0,G587/ABS(F587),"n/a")</f>
        <v>-0.37946944491576</v>
      </c>
      <c r="J587" s="46" t="str">
        <f aca="false">IF(H587="","guard",IF(ABS(H587-I587)&lt;0.000001,"OK","DIFF"))</f>
        <v>OK</v>
      </c>
    </row>
    <row r="588" customFormat="false" ht="15" hidden="false" customHeight="false" outlineLevel="0" collapsed="false">
      <c r="A588" s="23" t="s">
        <v>217</v>
      </c>
      <c r="B588" s="23" t="s">
        <v>229</v>
      </c>
      <c r="C588" s="36" t="n">
        <v>45901</v>
      </c>
      <c r="D588" s="37" t="n">
        <v>13</v>
      </c>
      <c r="E588" s="37" t="n">
        <v>87638.42</v>
      </c>
      <c r="F588" s="37" t="n">
        <v>68091.63</v>
      </c>
      <c r="G588" s="38" t="n">
        <f aca="false">E588-F588</f>
        <v>19546.79</v>
      </c>
      <c r="H588" s="45" t="n">
        <v>0.287065972719408</v>
      </c>
      <c r="I588" s="39" t="n">
        <f aca="false">IF(F588&lt;&gt;0,G588/ABS(F588),"n/a")</f>
        <v>0.287065972719408</v>
      </c>
      <c r="J588" s="46" t="str">
        <f aca="false">IF(H588="","guard",IF(ABS(H588-I588)&lt;0.000001,"OK","DIFF"))</f>
        <v>OK</v>
      </c>
    </row>
    <row r="589" customFormat="false" ht="15" hidden="false" customHeight="false" outlineLevel="0" collapsed="false">
      <c r="A589" s="23" t="s">
        <v>217</v>
      </c>
      <c r="B589" s="23" t="s">
        <v>229</v>
      </c>
      <c r="C589" s="36" t="n">
        <v>45931</v>
      </c>
      <c r="D589" s="37" t="n">
        <v>12</v>
      </c>
      <c r="E589" s="37" t="n">
        <v>101997.03</v>
      </c>
      <c r="F589" s="37" t="n">
        <v>118989.98</v>
      </c>
      <c r="G589" s="38" t="n">
        <f aca="false">E589-F589</f>
        <v>-16992.95</v>
      </c>
      <c r="H589" s="45" t="n">
        <v>-0.142809923995281</v>
      </c>
      <c r="I589" s="39" t="n">
        <f aca="false">IF(F589&lt;&gt;0,G589/ABS(F589),"n/a")</f>
        <v>-0.142809923995281</v>
      </c>
      <c r="J589" s="46" t="str">
        <f aca="false">IF(H589="","guard",IF(ABS(H589-I589)&lt;0.000001,"OK","DIFF"))</f>
        <v>OK</v>
      </c>
    </row>
    <row r="590" customFormat="false" ht="15" hidden="false" customHeight="false" outlineLevel="0" collapsed="false">
      <c r="A590" s="23" t="s">
        <v>217</v>
      </c>
      <c r="B590" s="23" t="s">
        <v>229</v>
      </c>
      <c r="C590" s="36" t="n">
        <v>45962</v>
      </c>
      <c r="D590" s="37" t="n">
        <v>10</v>
      </c>
      <c r="E590" s="37" t="n">
        <v>-2461.2</v>
      </c>
      <c r="F590" s="37" t="n">
        <v>82875.11</v>
      </c>
      <c r="G590" s="38" t="n">
        <f aca="false">E590-F590</f>
        <v>-85336.31</v>
      </c>
      <c r="H590" s="45" t="n">
        <v>-1.0296976981388</v>
      </c>
      <c r="I590" s="39" t="n">
        <f aca="false">IF(F590&lt;&gt;0,G590/ABS(F590),"n/a")</f>
        <v>-1.0296976981388</v>
      </c>
      <c r="J590" s="46" t="str">
        <f aca="false">IF(H590="","guard",IF(ABS(H590-I590)&lt;0.000001,"OK","DIFF"))</f>
        <v>OK</v>
      </c>
    </row>
    <row r="591" customFormat="false" ht="15" hidden="false" customHeight="false" outlineLevel="0" collapsed="false">
      <c r="A591" s="23" t="s">
        <v>217</v>
      </c>
      <c r="B591" s="23" t="s">
        <v>229</v>
      </c>
      <c r="C591" s="36" t="n">
        <v>45992</v>
      </c>
      <c r="D591" s="37" t="n">
        <v>3</v>
      </c>
      <c r="E591" s="37" t="n">
        <v>43326.4728</v>
      </c>
      <c r="F591" s="37" t="n">
        <v>40262.38</v>
      </c>
      <c r="G591" s="38" t="n">
        <f aca="false">E591-F591</f>
        <v>3064.0928</v>
      </c>
      <c r="H591" s="45" t="n">
        <v>0.0761031215740351</v>
      </c>
      <c r="I591" s="39" t="n">
        <f aca="false">IF(F591&lt;&gt;0,G591/ABS(F591),"n/a")</f>
        <v>0.0761031215740351</v>
      </c>
      <c r="J591" s="46" t="str">
        <f aca="false">IF(H591="","guard",IF(ABS(H591-I591)&lt;0.000001,"OK","DIFF"))</f>
        <v>OK</v>
      </c>
    </row>
    <row r="592" customFormat="false" ht="15" hidden="false" customHeight="false" outlineLevel="0" collapsed="false">
      <c r="I592" s="50" t="s">
        <v>230</v>
      </c>
      <c r="J592" s="51" t="n">
        <f aca="false">COUNTIF($J$88:$J$591,"DIFF")</f>
        <v>0</v>
      </c>
    </row>
  </sheetData>
  <mergeCells count="8">
    <mergeCell ref="A3:M3"/>
    <mergeCell ref="A8:M8"/>
    <mergeCell ref="A20:M20"/>
    <mergeCell ref="A32:M32"/>
    <mergeCell ref="A44:M44"/>
    <mergeCell ref="A69:M69"/>
    <mergeCell ref="A82:M82"/>
    <mergeCell ref="A86:M86"/>
  </mergeCells>
  <conditionalFormatting sqref="G10:G16">
    <cfRule type="expression" priority="2" aboveAverage="0" equalAverage="0" bottom="0" percent="0" rank="0" text="" dxfId="9">
      <formula>AND(ISNUMBER($G10),ABS($G10)&gt;=$J$5)</formula>
    </cfRule>
  </conditionalFormatting>
  <conditionalFormatting sqref="G22:G28">
    <cfRule type="expression" priority="3" aboveAverage="0" equalAverage="0" bottom="0" percent="0" rank="0" text="" dxfId="9">
      <formula>AND(ISNUMBER($G22),ABS($G22)&gt;=$J$5)</formula>
    </cfRule>
  </conditionalFormatting>
  <conditionalFormatting sqref="J88:J591">
    <cfRule type="cellIs" priority="4" operator="equal" aboveAverage="0" equalAverage="0" bottom="0" percent="0" rank="0" text="" dxfId="10">
      <formula>"DIFF"</formula>
    </cfRule>
  </conditionalFormatting>
  <hyperlinks>
    <hyperlink ref="M1" location="'Start Here'!A1" display="Back to Start Here"/>
  </hyperlink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DC3E6"/>
    <pageSetUpPr fitToPage="true"/>
  </sheetPr>
  <dimension ref="A1:L3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26.71"/>
    <col collapsed="false" customWidth="true" hidden="false" outlineLevel="0" max="7" min="4" style="0" width="15.71"/>
    <col collapsed="false" customWidth="true" hidden="false" outlineLevel="0" max="8" min="8" style="0" width="12.71"/>
    <col collapsed="false" customWidth="true" hidden="false" outlineLevel="0" max="9" min="9" style="0" width="11.71"/>
    <col collapsed="false" customWidth="true" hidden="false" outlineLevel="0" max="10" min="10" style="0" width="22.71"/>
  </cols>
  <sheetData>
    <row r="1" customFormat="false" ht="19.7" hidden="false" customHeight="false" outlineLevel="0" collapsed="false">
      <c r="A1" s="19" t="s">
        <v>231</v>
      </c>
      <c r="L1" s="5" t="s">
        <v>61</v>
      </c>
    </row>
    <row r="2" customFormat="false" ht="15" hidden="false" customHeight="false" outlineLevel="0" collapsed="false">
      <c r="A2" s="2" t="s">
        <v>232</v>
      </c>
    </row>
    <row r="3" customFormat="false" ht="60" hidden="false" customHeight="true" outlineLevel="0" collapsed="false">
      <c r="A3" s="3" t="s">
        <v>233</v>
      </c>
      <c r="B3" s="3"/>
      <c r="C3" s="3"/>
      <c r="D3" s="3"/>
      <c r="E3" s="3"/>
      <c r="F3" s="3"/>
      <c r="G3" s="3"/>
      <c r="H3" s="3"/>
      <c r="I3" s="3"/>
      <c r="J3" s="3"/>
      <c r="K3" s="3"/>
      <c r="L3" s="3"/>
    </row>
    <row r="5" customFormat="false" ht="15" hidden="false" customHeight="false" outlineLevel="0" collapsed="false">
      <c r="A5" s="20" t="s">
        <v>234</v>
      </c>
      <c r="B5" s="21"/>
      <c r="C5" s="21"/>
      <c r="D5" s="21"/>
      <c r="E5" s="21"/>
      <c r="F5" s="21"/>
      <c r="G5" s="21"/>
      <c r="H5" s="21"/>
      <c r="I5" s="21"/>
      <c r="J5" s="21"/>
      <c r="K5" s="21"/>
      <c r="L5" s="21"/>
    </row>
    <row r="6" customFormat="false" ht="27.75" hidden="false" customHeight="true" outlineLevel="0" collapsed="false">
      <c r="A6" s="26" t="s">
        <v>235</v>
      </c>
      <c r="B6" s="26"/>
      <c r="C6" s="26"/>
      <c r="D6" s="26"/>
      <c r="E6" s="26"/>
      <c r="F6" s="26"/>
      <c r="G6" s="26"/>
      <c r="H6" s="26"/>
      <c r="I6" s="26"/>
      <c r="J6" s="26"/>
      <c r="K6" s="26"/>
      <c r="L6" s="26"/>
    </row>
    <row r="7" customFormat="false" ht="43.5" hidden="false" customHeight="true" outlineLevel="0" collapsed="false">
      <c r="A7" s="22" t="s">
        <v>162</v>
      </c>
      <c r="B7" s="22" t="s">
        <v>92</v>
      </c>
      <c r="C7" s="22" t="s">
        <v>163</v>
      </c>
      <c r="D7" s="22" t="s">
        <v>236</v>
      </c>
      <c r="E7" s="22" t="s">
        <v>237</v>
      </c>
      <c r="F7" s="22" t="s">
        <v>238</v>
      </c>
      <c r="G7" s="22" t="s">
        <v>239</v>
      </c>
      <c r="H7" s="22" t="s">
        <v>240</v>
      </c>
      <c r="I7" s="22" t="s">
        <v>241</v>
      </c>
      <c r="J7" s="22" t="s">
        <v>242</v>
      </c>
    </row>
    <row r="8" customFormat="false" ht="15" hidden="false" customHeight="false" outlineLevel="0" collapsed="false">
      <c r="A8" s="23" t="s">
        <v>171</v>
      </c>
      <c r="B8" s="37" t="n">
        <v>27593</v>
      </c>
      <c r="C8" s="37" t="n">
        <v>191731090.977701</v>
      </c>
      <c r="D8" s="37" t="n">
        <v>195214403.630399</v>
      </c>
      <c r="E8" s="38" t="n">
        <f aca="false">D8-C8</f>
        <v>3483312.65269834</v>
      </c>
      <c r="F8" s="37" t="n">
        <v>5505538.30289999</v>
      </c>
      <c r="G8" s="37" t="n">
        <v>211445770.477901</v>
      </c>
      <c r="H8" s="52" t="n">
        <f aca="false">IF(G8&gt;0,E8/G8,"n/a")</f>
        <v>0.0164737873206236</v>
      </c>
      <c r="I8" s="52" t="n">
        <f aca="false">IF(G8&gt;0,F8/G8,"n/a")</f>
        <v>0.026037590113326</v>
      </c>
      <c r="J8" s="46" t="str">
        <f aca="false">IF(E8&gt;0,"Forecast above actual",IF(E8&lt;0,"Forecast below actual","Equal"))</f>
        <v>Forecast above actual</v>
      </c>
    </row>
    <row r="9" customFormat="false" ht="15" hidden="false" customHeight="false" outlineLevel="0" collapsed="false">
      <c r="A9" s="23" t="s">
        <v>172</v>
      </c>
      <c r="B9" s="37" t="n">
        <v>10051</v>
      </c>
      <c r="C9" s="37" t="n">
        <v>87006528.6022998</v>
      </c>
      <c r="D9" s="37" t="n">
        <v>84342693.3672001</v>
      </c>
      <c r="E9" s="38" t="n">
        <f aca="false">D9-C9</f>
        <v>-2663835.23509963</v>
      </c>
      <c r="F9" s="37" t="n">
        <v>3600247.18030001</v>
      </c>
      <c r="G9" s="37" t="n">
        <v>105078257.9563</v>
      </c>
      <c r="H9" s="52" t="n">
        <f aca="false">IF(G9&gt;0,E9/G9,"n/a")</f>
        <v>-0.0253509649561137</v>
      </c>
      <c r="I9" s="52" t="n">
        <f aca="false">IF(G9&gt;0,F9/G9,"n/a")</f>
        <v>0.0342625320434727</v>
      </c>
      <c r="J9" s="46" t="str">
        <f aca="false">IF(E9&gt;0,"Forecast above actual",IF(E9&lt;0,"Forecast below actual","Equal"))</f>
        <v>Forecast below actual</v>
      </c>
    </row>
    <row r="10" customFormat="false" ht="15" hidden="false" customHeight="false" outlineLevel="0" collapsed="false">
      <c r="A10" s="23" t="s">
        <v>173</v>
      </c>
      <c r="B10" s="37" t="n">
        <v>2690</v>
      </c>
      <c r="C10" s="37" t="n">
        <v>37742905.7371001</v>
      </c>
      <c r="D10" s="37" t="n">
        <v>36607976.3113001</v>
      </c>
      <c r="E10" s="38" t="n">
        <f aca="false">D10-C10</f>
        <v>-1134929.42579993</v>
      </c>
      <c r="F10" s="37" t="n">
        <v>1513623.0506</v>
      </c>
      <c r="G10" s="37" t="n">
        <v>44889275.0095001</v>
      </c>
      <c r="H10" s="52" t="n">
        <f aca="false">IF(G10&gt;0,E10/G10,"n/a")</f>
        <v>-0.025282863792292</v>
      </c>
      <c r="I10" s="52" t="n">
        <f aca="false">IF(G10&gt;0,F10/G10,"n/a")</f>
        <v>0.0337190353437356</v>
      </c>
      <c r="J10" s="46" t="str">
        <f aca="false">IF(E10&gt;0,"Forecast above actual",IF(E10&lt;0,"Forecast below actual","Equal"))</f>
        <v>Forecast below actual</v>
      </c>
    </row>
    <row r="11" customFormat="false" ht="15" hidden="false" customHeight="false" outlineLevel="0" collapsed="false">
      <c r="A11" s="23" t="s">
        <v>174</v>
      </c>
      <c r="B11" s="37" t="n">
        <v>7048</v>
      </c>
      <c r="C11" s="37" t="n">
        <v>41408223.0556002</v>
      </c>
      <c r="D11" s="37" t="n">
        <v>40141629.0911001</v>
      </c>
      <c r="E11" s="38" t="n">
        <f aca="false">D11-C11</f>
        <v>-1266593.96450017</v>
      </c>
      <c r="F11" s="37" t="n">
        <v>1703776.7903</v>
      </c>
      <c r="G11" s="37" t="n">
        <v>49859050.6022002</v>
      </c>
      <c r="H11" s="52" t="n">
        <f aca="false">IF(G11&gt;0,E11/G11,"n/a")</f>
        <v>-0.0254034914263745</v>
      </c>
      <c r="I11" s="52" t="n">
        <f aca="false">IF(G11&gt;0,F11/G11,"n/a")</f>
        <v>0.0341718658843619</v>
      </c>
      <c r="J11" s="46" t="str">
        <f aca="false">IF(E11&gt;0,"Forecast above actual",IF(E11&lt;0,"Forecast below actual","Equal"))</f>
        <v>Forecast below actual</v>
      </c>
    </row>
    <row r="12" customFormat="false" ht="15" hidden="false" customHeight="false" outlineLevel="0" collapsed="false">
      <c r="A12" s="23" t="s">
        <v>175</v>
      </c>
      <c r="B12" s="37" t="n">
        <v>291</v>
      </c>
      <c r="C12" s="37" t="n">
        <v>1706887.7466</v>
      </c>
      <c r="D12" s="37" t="n">
        <v>1653527.9551</v>
      </c>
      <c r="E12" s="38" t="n">
        <f aca="false">D12-C12</f>
        <v>-53359.7914999996</v>
      </c>
      <c r="F12" s="37" t="n">
        <v>72067.8231</v>
      </c>
      <c r="G12" s="37" t="n">
        <v>2018086.4744</v>
      </c>
      <c r="H12" s="52" t="n">
        <f aca="false">IF(G12&gt;0,E12/G12,"n/a")</f>
        <v>-0.0264407854553726</v>
      </c>
      <c r="I12" s="52" t="n">
        <f aca="false">IF(G12&gt;0,F12/G12,"n/a")</f>
        <v>0.0357109687886029</v>
      </c>
      <c r="J12" s="46" t="str">
        <f aca="false">IF(E12&gt;0,"Forecast above actual",IF(E12&lt;0,"Forecast below actual","Equal"))</f>
        <v>Forecast below actual</v>
      </c>
    </row>
    <row r="13" customFormat="false" ht="15" hidden="false" customHeight="false" outlineLevel="0" collapsed="false">
      <c r="A13" s="23" t="s">
        <v>176</v>
      </c>
      <c r="B13" s="37" t="n">
        <v>588</v>
      </c>
      <c r="C13" s="37" t="n">
        <v>573571.011</v>
      </c>
      <c r="D13" s="37" t="n">
        <v>556448.340800001</v>
      </c>
      <c r="E13" s="38" t="n">
        <f aca="false">D13-C13</f>
        <v>-17122.6701999996</v>
      </c>
      <c r="F13" s="37" t="n">
        <v>31016.5262</v>
      </c>
      <c r="G13" s="37" t="n">
        <v>898734.5326</v>
      </c>
      <c r="H13" s="52" t="n">
        <f aca="false">IF(G13&gt;0,E13/G13,"n/a")</f>
        <v>-0.0190519776184236</v>
      </c>
      <c r="I13" s="52" t="n">
        <f aca="false">IF(G13&gt;0,F13/G13,"n/a")</f>
        <v>0.0345113324067681</v>
      </c>
      <c r="J13" s="46" t="str">
        <f aca="false">IF(E13&gt;0,"Forecast above actual",IF(E13&lt;0,"Forecast below actual","Equal"))</f>
        <v>Forecast below actual</v>
      </c>
    </row>
    <row r="14" customFormat="false" ht="15" hidden="false" customHeight="false" outlineLevel="0" collapsed="false">
      <c r="A14" s="23" t="s">
        <v>177</v>
      </c>
      <c r="B14" s="37" t="n">
        <v>273</v>
      </c>
      <c r="C14" s="37" t="n">
        <v>2404992.9583</v>
      </c>
      <c r="D14" s="37" t="n">
        <v>2336093.657</v>
      </c>
      <c r="E14" s="38" t="n">
        <f aca="false">D14-C14</f>
        <v>-68899.3012999995</v>
      </c>
      <c r="F14" s="37" t="n">
        <v>95908.0709</v>
      </c>
      <c r="G14" s="37" t="n">
        <v>2867875.0773</v>
      </c>
      <c r="H14" s="52" t="n">
        <f aca="false">IF(G14&gt;0,E14/G14,"n/a")</f>
        <v>-0.024024512729078</v>
      </c>
      <c r="I14" s="52" t="n">
        <f aca="false">IF(G14&gt;0,F14/G14,"n/a")</f>
        <v>0.0334422066215987</v>
      </c>
      <c r="J14" s="46" t="str">
        <f aca="false">IF(E14&gt;0,"Forecast above actual",IF(E14&lt;0,"Forecast below actual","Equal"))</f>
        <v>Forecast below actual</v>
      </c>
    </row>
    <row r="17" customFormat="false" ht="15" hidden="false" customHeight="false" outlineLevel="0" collapsed="false">
      <c r="A17" s="20" t="s">
        <v>243</v>
      </c>
      <c r="B17" s="21"/>
      <c r="C17" s="21"/>
      <c r="D17" s="21"/>
      <c r="E17" s="21"/>
      <c r="F17" s="21"/>
      <c r="G17" s="21"/>
      <c r="H17" s="21"/>
      <c r="I17" s="21"/>
      <c r="J17" s="21"/>
      <c r="K17" s="21"/>
      <c r="L17" s="21"/>
    </row>
    <row r="18" customFormat="false" ht="27.75" hidden="false" customHeight="true" outlineLevel="0" collapsed="false">
      <c r="A18" s="26" t="s">
        <v>235</v>
      </c>
      <c r="B18" s="26"/>
      <c r="C18" s="26"/>
      <c r="D18" s="26"/>
      <c r="E18" s="26"/>
      <c r="F18" s="26"/>
      <c r="G18" s="26"/>
      <c r="H18" s="26"/>
      <c r="I18" s="26"/>
      <c r="J18" s="26"/>
      <c r="K18" s="26"/>
      <c r="L18" s="26"/>
    </row>
    <row r="19" customFormat="false" ht="43.5" hidden="false" customHeight="true" outlineLevel="0" collapsed="false">
      <c r="A19" s="22" t="s">
        <v>162</v>
      </c>
      <c r="B19" s="22" t="s">
        <v>92</v>
      </c>
      <c r="C19" s="22" t="s">
        <v>163</v>
      </c>
      <c r="D19" s="22" t="s">
        <v>236</v>
      </c>
      <c r="E19" s="22" t="s">
        <v>237</v>
      </c>
      <c r="F19" s="22" t="s">
        <v>238</v>
      </c>
      <c r="G19" s="22" t="s">
        <v>239</v>
      </c>
      <c r="H19" s="22" t="s">
        <v>240</v>
      </c>
      <c r="I19" s="22" t="s">
        <v>241</v>
      </c>
      <c r="J19" s="22" t="s">
        <v>242</v>
      </c>
    </row>
    <row r="20" customFormat="false" ht="15" hidden="false" customHeight="false" outlineLevel="0" collapsed="false">
      <c r="A20" s="23" t="s">
        <v>171</v>
      </c>
      <c r="B20" s="37" t="n">
        <v>30879</v>
      </c>
      <c r="C20" s="37" t="n">
        <v>191719083.642801</v>
      </c>
      <c r="D20" s="37" t="n">
        <v>195275599.852799</v>
      </c>
      <c r="E20" s="38" t="n">
        <f aca="false">D20-C20</f>
        <v>3556516.2099981</v>
      </c>
      <c r="F20" s="37" t="n">
        <v>63934715.2904</v>
      </c>
      <c r="G20" s="37" t="n">
        <v>240428205.443002</v>
      </c>
      <c r="H20" s="52" t="n">
        <f aca="false">IF(G20&gt;0,E20/G20,"n/a")</f>
        <v>0.0147924250544774</v>
      </c>
      <c r="I20" s="52" t="n">
        <f aca="false">IF(G20&gt;0,F20/G20,"n/a")</f>
        <v>0.265920195064456</v>
      </c>
      <c r="J20" s="46" t="str">
        <f aca="false">IF(E20&gt;0,"Forecast above actual",IF(E20&lt;0,"Forecast below actual","Equal"))</f>
        <v>Forecast above actual</v>
      </c>
    </row>
    <row r="21" customFormat="false" ht="15" hidden="false" customHeight="false" outlineLevel="0" collapsed="false">
      <c r="A21" s="23" t="s">
        <v>172</v>
      </c>
      <c r="B21" s="37" t="n">
        <v>11443</v>
      </c>
      <c r="C21" s="37" t="n">
        <v>86904915.8174997</v>
      </c>
      <c r="D21" s="37" t="n">
        <v>84491282.3682002</v>
      </c>
      <c r="E21" s="38" t="n">
        <f aca="false">D21-C21</f>
        <v>-2413633.44929944</v>
      </c>
      <c r="F21" s="37" t="n">
        <v>32296581.1765001</v>
      </c>
      <c r="G21" s="37" t="n">
        <v>119636143.651499</v>
      </c>
      <c r="H21" s="52" t="n">
        <f aca="false">IF(G21&gt;0,E21/G21,"n/a")</f>
        <v>-0.0201747847734909</v>
      </c>
      <c r="I21" s="52" t="n">
        <f aca="false">IF(G21&gt;0,F21/G21,"n/a")</f>
        <v>0.26995672203026</v>
      </c>
      <c r="J21" s="46" t="str">
        <f aca="false">IF(E21&gt;0,"Forecast above actual",IF(E21&lt;0,"Forecast below actual","Equal"))</f>
        <v>Forecast below actual</v>
      </c>
    </row>
    <row r="22" customFormat="false" ht="15" hidden="false" customHeight="false" outlineLevel="0" collapsed="false">
      <c r="A22" s="23" t="s">
        <v>173</v>
      </c>
      <c r="B22" s="37" t="n">
        <v>3102</v>
      </c>
      <c r="C22" s="37" t="n">
        <v>37478988.3170001</v>
      </c>
      <c r="D22" s="37" t="n">
        <v>36857250.3438001</v>
      </c>
      <c r="E22" s="38" t="n">
        <f aca="false">D22-C22</f>
        <v>-621737.973199949</v>
      </c>
      <c r="F22" s="37" t="n">
        <v>15204990.563</v>
      </c>
      <c r="G22" s="37" t="n">
        <v>51844399.1094</v>
      </c>
      <c r="H22" s="52" t="n">
        <f aca="false">IF(G22&gt;0,E22/G22,"n/a")</f>
        <v>-0.0119923845946788</v>
      </c>
      <c r="I22" s="52" t="n">
        <f aca="false">IF(G22&gt;0,F22/G22,"n/a")</f>
        <v>0.293281257458786</v>
      </c>
      <c r="J22" s="46" t="str">
        <f aca="false">IF(E22&gt;0,"Forecast above actual",IF(E22&lt;0,"Forecast below actual","Equal"))</f>
        <v>Forecast below actual</v>
      </c>
    </row>
    <row r="23" customFormat="false" ht="15" hidden="false" customHeight="false" outlineLevel="0" collapsed="false">
      <c r="A23" s="23" t="s">
        <v>174</v>
      </c>
      <c r="B23" s="37" t="n">
        <v>8119</v>
      </c>
      <c r="C23" s="37" t="n">
        <v>40927995.4123002</v>
      </c>
      <c r="D23" s="37" t="n">
        <v>40599945.6386001</v>
      </c>
      <c r="E23" s="38" t="n">
        <f aca="false">D23-C23</f>
        <v>-328049.773700081</v>
      </c>
      <c r="F23" s="37" t="n">
        <v>15905905.5145</v>
      </c>
      <c r="G23" s="37" t="n">
        <v>57064671.0589</v>
      </c>
      <c r="H23" s="52" t="n">
        <f aca="false">IF(G23&gt;0,E23/G23,"n/a")</f>
        <v>-0.00574873678604894</v>
      </c>
      <c r="I23" s="52" t="n">
        <f aca="false">IF(G23&gt;0,F23/G23,"n/a")</f>
        <v>0.278734727097305</v>
      </c>
      <c r="J23" s="46" t="str">
        <f aca="false">IF(E23&gt;0,"Forecast above actual",IF(E23&lt;0,"Forecast below actual","Equal"))</f>
        <v>Forecast below actual</v>
      </c>
    </row>
    <row r="24" customFormat="false" ht="15" hidden="false" customHeight="false" outlineLevel="0" collapsed="false">
      <c r="A24" s="23" t="s">
        <v>175</v>
      </c>
      <c r="B24" s="37" t="n">
        <v>335</v>
      </c>
      <c r="C24" s="37" t="n">
        <v>1739141.3466</v>
      </c>
      <c r="D24" s="37" t="n">
        <v>1640330.7051</v>
      </c>
      <c r="E24" s="38" t="n">
        <f aca="false">D24-C24</f>
        <v>-98810.6414999994</v>
      </c>
      <c r="F24" s="37" t="n">
        <v>672444.7931</v>
      </c>
      <c r="G24" s="37" t="n">
        <v>2329898.2944</v>
      </c>
      <c r="H24" s="52" t="n">
        <f aca="false">IF(G24&gt;0,E24/G24,"n/a")</f>
        <v>-0.0424098518538319</v>
      </c>
      <c r="I24" s="52" t="n">
        <f aca="false">IF(G24&gt;0,F24/G24,"n/a")</f>
        <v>0.288615513696992</v>
      </c>
      <c r="J24" s="46" t="str">
        <f aca="false">IF(E24&gt;0,"Forecast above actual",IF(E24&lt;0,"Forecast below actual","Equal"))</f>
        <v>Forecast below actual</v>
      </c>
    </row>
    <row r="25" customFormat="false" ht="15" hidden="false" customHeight="false" outlineLevel="0" collapsed="false">
      <c r="A25" s="23" t="s">
        <v>176</v>
      </c>
      <c r="B25" s="37" t="n">
        <v>648</v>
      </c>
      <c r="C25" s="37" t="n">
        <v>574242.6704</v>
      </c>
      <c r="D25" s="37" t="n">
        <v>554901.342900001</v>
      </c>
      <c r="E25" s="38" t="n">
        <f aca="false">D25-C25</f>
        <v>-19341.3274999991</v>
      </c>
      <c r="F25" s="37" t="n">
        <v>253860.4277</v>
      </c>
      <c r="G25" s="37" t="n">
        <v>1011565.452</v>
      </c>
      <c r="H25" s="52" t="n">
        <f aca="false">IF(G25&gt;0,E25/G25,"n/a")</f>
        <v>-0.0191201938161873</v>
      </c>
      <c r="I25" s="52" t="n">
        <f aca="false">IF(G25&gt;0,F25/G25,"n/a")</f>
        <v>0.250957985168517</v>
      </c>
      <c r="J25" s="46" t="str">
        <f aca="false">IF(E25&gt;0,"Forecast above actual",IF(E25&lt;0,"Forecast below actual","Equal"))</f>
        <v>Forecast below actual</v>
      </c>
    </row>
    <row r="26" customFormat="false" ht="15" hidden="false" customHeight="false" outlineLevel="0" collapsed="false">
      <c r="A26" s="23" t="s">
        <v>177</v>
      </c>
      <c r="B26" s="37" t="n">
        <v>325</v>
      </c>
      <c r="C26" s="37" t="n">
        <v>2536774.7283</v>
      </c>
      <c r="D26" s="37" t="n">
        <v>2204433.9735</v>
      </c>
      <c r="E26" s="38" t="n">
        <f aca="false">D26-C26</f>
        <v>-332340.754799999</v>
      </c>
      <c r="F26" s="37" t="n">
        <v>1285776.1974</v>
      </c>
      <c r="G26" s="37" t="n">
        <v>3471849.7273</v>
      </c>
      <c r="H26" s="52" t="n">
        <f aca="false">IF(G26&gt;0,E26/G26,"n/a")</f>
        <v>-0.0957244065567476</v>
      </c>
      <c r="I26" s="52" t="n">
        <f aca="false">IF(G26&gt;0,F26/G26,"n/a")</f>
        <v>0.370343274736123</v>
      </c>
      <c r="J26" s="46" t="str">
        <f aca="false">IF(E26&gt;0,"Forecast above actual",IF(E26&lt;0,"Forecast below actual","Equal"))</f>
        <v>Forecast below actual</v>
      </c>
    </row>
    <row r="29" customFormat="false" ht="15" hidden="false" customHeight="false" outlineLevel="0" collapsed="false">
      <c r="A29" s="20" t="s">
        <v>244</v>
      </c>
      <c r="B29" s="21"/>
      <c r="C29" s="21"/>
      <c r="D29" s="21"/>
      <c r="E29" s="21"/>
      <c r="F29" s="21"/>
      <c r="G29" s="21"/>
      <c r="H29" s="21"/>
      <c r="I29" s="21"/>
      <c r="J29" s="21"/>
      <c r="K29" s="21"/>
      <c r="L29" s="21"/>
    </row>
    <row r="30" customFormat="false" ht="27.75" hidden="false" customHeight="true" outlineLevel="0" collapsed="false">
      <c r="A30" s="26" t="s">
        <v>245</v>
      </c>
      <c r="B30" s="26"/>
      <c r="C30" s="26"/>
      <c r="D30" s="26"/>
      <c r="E30" s="26"/>
      <c r="F30" s="26"/>
      <c r="G30" s="26"/>
      <c r="H30" s="26"/>
      <c r="I30" s="26"/>
      <c r="J30" s="26"/>
      <c r="K30" s="26"/>
      <c r="L30" s="26"/>
    </row>
    <row r="31" customFormat="false" ht="43.5" hidden="false" customHeight="true" outlineLevel="0" collapsed="false">
      <c r="A31" s="22" t="s">
        <v>162</v>
      </c>
      <c r="B31" s="22" t="s">
        <v>246</v>
      </c>
      <c r="C31" s="22" t="s">
        <v>247</v>
      </c>
      <c r="D31" s="22" t="s">
        <v>248</v>
      </c>
      <c r="E31" s="22" t="s">
        <v>249</v>
      </c>
      <c r="F31" s="22" t="s">
        <v>250</v>
      </c>
      <c r="G31" s="22" t="s">
        <v>251</v>
      </c>
    </row>
    <row r="32" customFormat="false" ht="15" hidden="false" customHeight="false" outlineLevel="0" collapsed="false">
      <c r="A32" s="23" t="s">
        <v>171</v>
      </c>
      <c r="B32" s="37" t="n">
        <v>24372</v>
      </c>
      <c r="C32" s="48" t="n">
        <v>0.0258799295421703</v>
      </c>
      <c r="D32" s="48" t="n">
        <v>0.0366611698623287</v>
      </c>
      <c r="E32" s="52" t="n">
        <f aca="false">D32-C32</f>
        <v>0.0107812403201584</v>
      </c>
      <c r="F32" s="48" t="n">
        <v>0.016463782669464</v>
      </c>
      <c r="G32" s="48" t="n">
        <v>0.0338970309454389</v>
      </c>
    </row>
    <row r="33" customFormat="false" ht="15" hidden="false" customHeight="false" outlineLevel="0" collapsed="false">
      <c r="A33" s="23" t="s">
        <v>172</v>
      </c>
      <c r="B33" s="37" t="n">
        <v>8837</v>
      </c>
      <c r="C33" s="48" t="n">
        <v>0.0343848016555231</v>
      </c>
      <c r="D33" s="48" t="n">
        <v>0.0600059747885098</v>
      </c>
      <c r="E33" s="52" t="n">
        <f aca="false">D33-C33</f>
        <v>0.0256211731329868</v>
      </c>
      <c r="F33" s="48" t="n">
        <v>-0.0252561043929688</v>
      </c>
      <c r="G33" s="48" t="n">
        <v>-0.0497026301483668</v>
      </c>
    </row>
    <row r="34" customFormat="false" ht="15" hidden="false" customHeight="false" outlineLevel="0" collapsed="false">
      <c r="A34" s="23" t="s">
        <v>173</v>
      </c>
      <c r="B34" s="37" t="n">
        <v>2370</v>
      </c>
      <c r="C34" s="48" t="n">
        <v>0.0334869759821912</v>
      </c>
      <c r="D34" s="48" t="n">
        <v>0.0612065089098244</v>
      </c>
      <c r="E34" s="52" t="n">
        <f aca="false">D34-C34</f>
        <v>0.0277195329276332</v>
      </c>
      <c r="F34" s="48" t="n">
        <v>-0.0245902153530039</v>
      </c>
      <c r="G34" s="48" t="n">
        <v>-0.0505268028314678</v>
      </c>
    </row>
    <row r="35" customFormat="false" ht="15" hidden="false" customHeight="false" outlineLevel="0" collapsed="false">
      <c r="A35" s="23" t="s">
        <v>174</v>
      </c>
      <c r="B35" s="37" t="n">
        <v>6186</v>
      </c>
      <c r="C35" s="48" t="n">
        <v>0.0345078930798946</v>
      </c>
      <c r="D35" s="48" t="n">
        <v>0.0606352207377643</v>
      </c>
      <c r="E35" s="52" t="n">
        <f aca="false">D35-C35</f>
        <v>0.0261273276578697</v>
      </c>
      <c r="F35" s="48" t="n">
        <v>-0.0256968126489909</v>
      </c>
      <c r="G35" s="48" t="n">
        <v>-0.0498842436122582</v>
      </c>
    </row>
    <row r="36" customFormat="false" ht="15" hidden="false" customHeight="false" outlineLevel="0" collapsed="false">
      <c r="A36" s="23" t="s">
        <v>175</v>
      </c>
      <c r="B36" s="37" t="n">
        <v>255</v>
      </c>
      <c r="C36" s="48" t="n">
        <v>0.0346985035253965</v>
      </c>
      <c r="D36" s="48" t="n">
        <v>0.0602104002628101</v>
      </c>
      <c r="E36" s="52" t="n">
        <f aca="false">D36-C36</f>
        <v>0.0255118967374136</v>
      </c>
      <c r="F36" s="48" t="n">
        <v>-0.0251231979175962</v>
      </c>
      <c r="G36" s="48" t="n">
        <v>-0.0499430467220552</v>
      </c>
    </row>
    <row r="37" customFormat="false" ht="15" hidden="false" customHeight="false" outlineLevel="0" collapsed="false">
      <c r="A37" s="23" t="s">
        <v>176</v>
      </c>
      <c r="B37" s="37" t="n">
        <v>522</v>
      </c>
      <c r="C37" s="48" t="n">
        <v>0.0350940378125112</v>
      </c>
      <c r="D37" s="48" t="n">
        <v>0.0619032889075594</v>
      </c>
      <c r="E37" s="52" t="n">
        <f aca="false">D37-C37</f>
        <v>0.0268092510950482</v>
      </c>
      <c r="F37" s="48" t="n">
        <v>-0.0186819245709197</v>
      </c>
      <c r="G37" s="48" t="n">
        <v>-0.0358091573172882</v>
      </c>
    </row>
    <row r="38" customFormat="false" ht="15" hidden="false" customHeight="false" outlineLevel="0" collapsed="false">
      <c r="A38" s="23" t="s">
        <v>177</v>
      </c>
      <c r="B38" s="37" t="n">
        <v>245</v>
      </c>
      <c r="C38" s="48" t="n">
        <v>0.0334678711746037</v>
      </c>
      <c r="D38" s="48" t="n">
        <v>0.060640239874577</v>
      </c>
      <c r="E38" s="52" t="n">
        <f aca="false">D38-C38</f>
        <v>0.0271723686999733</v>
      </c>
      <c r="F38" s="48" t="n">
        <v>-0.0255509090087302</v>
      </c>
      <c r="G38" s="48" t="n">
        <v>-0.0530442884497211</v>
      </c>
    </row>
    <row r="46" customFormat="false" ht="15" hidden="false" customHeight="false" outlineLevel="0" collapsed="false">
      <c r="A46" s="20" t="s">
        <v>252</v>
      </c>
      <c r="B46" s="21"/>
      <c r="C46" s="21"/>
      <c r="D46" s="21"/>
      <c r="E46" s="21"/>
      <c r="F46" s="21"/>
      <c r="G46" s="21"/>
      <c r="H46" s="21"/>
      <c r="I46" s="21"/>
      <c r="J46" s="21"/>
      <c r="K46" s="21"/>
      <c r="L46" s="21"/>
    </row>
    <row r="47" customFormat="false" ht="42" hidden="false" customHeight="true" outlineLevel="0" collapsed="false">
      <c r="A47" s="26" t="s">
        <v>253</v>
      </c>
      <c r="B47" s="26"/>
      <c r="C47" s="26"/>
      <c r="D47" s="26"/>
      <c r="E47" s="26"/>
      <c r="F47" s="26"/>
      <c r="G47" s="26"/>
      <c r="H47" s="26"/>
      <c r="I47" s="26"/>
      <c r="J47" s="26"/>
      <c r="K47" s="26"/>
      <c r="L47" s="26"/>
    </row>
    <row r="48" customFormat="false" ht="57.75" hidden="false" customHeight="true" outlineLevel="0" collapsed="false">
      <c r="A48" s="22" t="s">
        <v>162</v>
      </c>
      <c r="B48" s="22" t="s">
        <v>254</v>
      </c>
      <c r="C48" s="22" t="s">
        <v>247</v>
      </c>
      <c r="D48" s="22" t="s">
        <v>248</v>
      </c>
      <c r="E48" s="22" t="s">
        <v>255</v>
      </c>
      <c r="F48" s="22" t="s">
        <v>250</v>
      </c>
      <c r="G48" s="22" t="s">
        <v>251</v>
      </c>
    </row>
    <row r="49" customFormat="false" ht="15" hidden="false" customHeight="false" outlineLevel="0" collapsed="false">
      <c r="A49" s="23" t="s">
        <v>171</v>
      </c>
      <c r="B49" s="37" t="n">
        <v>29131</v>
      </c>
      <c r="C49" s="48" t="n">
        <v>0.268110999679075</v>
      </c>
      <c r="D49" s="48" t="n">
        <v>0.292638184485183</v>
      </c>
      <c r="E49" s="52" t="n">
        <f aca="false">C49-D49</f>
        <v>-0.0245271848061087</v>
      </c>
      <c r="F49" s="48" t="n">
        <v>0.014478933989612</v>
      </c>
      <c r="G49" s="48" t="n">
        <v>0.0199545654448556</v>
      </c>
    </row>
    <row r="50" customFormat="false" ht="15" hidden="false" customHeight="false" outlineLevel="0" collapsed="false">
      <c r="A50" s="23" t="s">
        <v>172</v>
      </c>
      <c r="B50" s="37" t="n">
        <v>10799</v>
      </c>
      <c r="C50" s="48" t="n">
        <v>0.269532640717708</v>
      </c>
      <c r="D50" s="48" t="n">
        <v>0.291711412888676</v>
      </c>
      <c r="E50" s="52" t="n">
        <f aca="false">C50-D50</f>
        <v>-0.0221787721709684</v>
      </c>
      <c r="F50" s="48" t="n">
        <v>-0.0199444539888406</v>
      </c>
      <c r="G50" s="48" t="n">
        <v>-0.0408018410760587</v>
      </c>
    </row>
    <row r="51" customFormat="false" ht="15" hidden="false" customHeight="false" outlineLevel="0" collapsed="false">
      <c r="A51" s="23" t="s">
        <v>173</v>
      </c>
      <c r="B51" s="37" t="n">
        <v>2927</v>
      </c>
      <c r="C51" s="48" t="n">
        <v>0.298723981458437</v>
      </c>
      <c r="D51" s="48" t="n">
        <v>0.290493776421502</v>
      </c>
      <c r="E51" s="52" t="n">
        <f aca="false">C51-D51</f>
        <v>0.00823020503693489</v>
      </c>
      <c r="F51" s="48" t="n">
        <v>-0.00790384685885205</v>
      </c>
      <c r="G51" s="48" t="n">
        <v>-0.00286019455066106</v>
      </c>
    </row>
    <row r="52" customFormat="false" ht="15" hidden="false" customHeight="false" outlineLevel="0" collapsed="false">
      <c r="A52" s="23" t="s">
        <v>174</v>
      </c>
      <c r="B52" s="37" t="n">
        <v>7647</v>
      </c>
      <c r="C52" s="48" t="n">
        <v>0.279822918668222</v>
      </c>
      <c r="D52" s="48" t="n">
        <v>0.302212152094185</v>
      </c>
      <c r="E52" s="52" t="n">
        <f aca="false">C52-D52</f>
        <v>-0.0223892334259627</v>
      </c>
      <c r="F52" s="48" t="n">
        <v>-0.0035625417152882</v>
      </c>
      <c r="G52" s="48" t="n">
        <v>-0.0299912712124216</v>
      </c>
    </row>
    <row r="55" customFormat="false" ht="15" hidden="false" customHeight="false" outlineLevel="0" collapsed="false">
      <c r="A55" s="20" t="s">
        <v>256</v>
      </c>
      <c r="B55" s="21"/>
      <c r="C55" s="21"/>
      <c r="D55" s="21"/>
      <c r="E55" s="21"/>
      <c r="F55" s="21"/>
      <c r="G55" s="21"/>
      <c r="H55" s="21"/>
      <c r="I55" s="21"/>
      <c r="J55" s="21"/>
      <c r="K55" s="21"/>
      <c r="L55" s="21"/>
    </row>
    <row r="56" customFormat="false" ht="27.75" hidden="false" customHeight="true" outlineLevel="0" collapsed="false">
      <c r="A56" s="26" t="s">
        <v>257</v>
      </c>
      <c r="B56" s="26"/>
      <c r="C56" s="26"/>
      <c r="D56" s="26"/>
      <c r="E56" s="26"/>
      <c r="F56" s="26"/>
      <c r="G56" s="26"/>
      <c r="H56" s="26"/>
      <c r="I56" s="26"/>
      <c r="J56" s="26"/>
      <c r="K56" s="26"/>
      <c r="L56" s="26"/>
    </row>
    <row r="57" customFormat="false" ht="43.5" hidden="false" customHeight="true" outlineLevel="0" collapsed="false">
      <c r="A57" s="22" t="s">
        <v>162</v>
      </c>
      <c r="B57" s="22" t="s">
        <v>258</v>
      </c>
      <c r="C57" s="22" t="s">
        <v>92</v>
      </c>
      <c r="D57" s="22" t="s">
        <v>259</v>
      </c>
      <c r="E57" s="22" t="s">
        <v>260</v>
      </c>
      <c r="F57" s="22" t="s">
        <v>261</v>
      </c>
    </row>
    <row r="58" customFormat="false" ht="15" hidden="false" customHeight="false" outlineLevel="0" collapsed="false">
      <c r="A58" s="23" t="s">
        <v>171</v>
      </c>
      <c r="B58" s="23" t="s">
        <v>262</v>
      </c>
      <c r="C58" s="37" t="n">
        <v>3236</v>
      </c>
      <c r="D58" s="37" t="n">
        <v>58296179.9474999</v>
      </c>
      <c r="E58" s="39" t="n">
        <f aca="false">C58/SUMIFS($C$58:$C$76,$A$58:$A$76,$A58)</f>
        <v>0.104796139771366</v>
      </c>
      <c r="F58" s="39" t="n">
        <f aca="false">D58/SUMIFS($D$58:$D$76,$A$58:$A$76,$A58)</f>
        <v>0.911807922858669</v>
      </c>
    </row>
    <row r="59" customFormat="false" ht="15" hidden="false" customHeight="false" outlineLevel="0" collapsed="false">
      <c r="A59" s="23" t="s">
        <v>171</v>
      </c>
      <c r="B59" s="23" t="s">
        <v>263</v>
      </c>
      <c r="C59" s="37" t="n">
        <v>27593</v>
      </c>
      <c r="D59" s="37" t="n">
        <v>5505538.30289999</v>
      </c>
      <c r="E59" s="39" t="n">
        <f aca="false">C59/SUMIFS($C$58:$C$76,$A$58:$A$76,$A59)</f>
        <v>0.893584636808187</v>
      </c>
      <c r="F59" s="39" t="n">
        <f aca="false">D59/SUMIFS($D$58:$D$76,$A$58:$A$76,$A59)</f>
        <v>0.0861118764335325</v>
      </c>
    </row>
    <row r="60" customFormat="false" ht="15" hidden="false" customHeight="false" outlineLevel="0" collapsed="false">
      <c r="A60" s="23" t="s">
        <v>171</v>
      </c>
      <c r="B60" s="23" t="s">
        <v>264</v>
      </c>
      <c r="C60" s="37" t="n">
        <v>50</v>
      </c>
      <c r="D60" s="37" t="n">
        <v>132997.04</v>
      </c>
      <c r="E60" s="39" t="n">
        <f aca="false">C60/SUMIFS($C$58:$C$76,$A$58:$A$76,$A60)</f>
        <v>0.00161922342044755</v>
      </c>
      <c r="F60" s="39" t="n">
        <f aca="false">D60/SUMIFS($D$58:$D$76,$A$58:$A$76,$A60)</f>
        <v>0.00208020070779873</v>
      </c>
    </row>
    <row r="61" customFormat="false" ht="15" hidden="false" customHeight="false" outlineLevel="0" collapsed="false">
      <c r="A61" s="23" t="s">
        <v>172</v>
      </c>
      <c r="B61" s="23" t="s">
        <v>262</v>
      </c>
      <c r="C61" s="37" t="n">
        <v>1384</v>
      </c>
      <c r="D61" s="37" t="n">
        <v>28619063.6362</v>
      </c>
      <c r="E61" s="39" t="n">
        <f aca="false">C61/SUMIFS($C$58:$C$76,$A$58:$A$76,$A61)</f>
        <v>0.120947304028664</v>
      </c>
      <c r="F61" s="39" t="n">
        <f aca="false">D61/SUMIFS($D$58:$D$76,$A$58:$A$76,$A61)</f>
        <v>0.886132915425244</v>
      </c>
    </row>
    <row r="62" customFormat="false" ht="15" hidden="false" customHeight="false" outlineLevel="0" collapsed="false">
      <c r="A62" s="23" t="s">
        <v>172</v>
      </c>
      <c r="B62" s="23" t="s">
        <v>263</v>
      </c>
      <c r="C62" s="37" t="n">
        <v>10051</v>
      </c>
      <c r="D62" s="37" t="n">
        <v>3600247.18030001</v>
      </c>
      <c r="E62" s="39" t="n">
        <f aca="false">C62/SUMIFS($C$58:$C$76,$A$58:$A$76,$A62)</f>
        <v>0.878353578607009</v>
      </c>
      <c r="F62" s="39" t="n">
        <f aca="false">D62/SUMIFS($D$58:$D$76,$A$58:$A$76,$A62)</f>
        <v>0.111474560128354</v>
      </c>
    </row>
    <row r="63" customFormat="false" ht="15" hidden="false" customHeight="false" outlineLevel="0" collapsed="false">
      <c r="A63" s="23" t="s">
        <v>172</v>
      </c>
      <c r="B63" s="23" t="s">
        <v>264</v>
      </c>
      <c r="C63" s="37" t="n">
        <v>8</v>
      </c>
      <c r="D63" s="37" t="n">
        <v>77270.36</v>
      </c>
      <c r="E63" s="39" t="n">
        <f aca="false">C63/SUMIFS($C$58:$C$76,$A$58:$A$76,$A63)</f>
        <v>0.000699117364327537</v>
      </c>
      <c r="F63" s="39" t="n">
        <f aca="false">D63/SUMIFS($D$58:$D$76,$A$58:$A$76,$A63)</f>
        <v>0.00239252444640253</v>
      </c>
    </row>
    <row r="64" customFormat="false" ht="15" hidden="false" customHeight="false" outlineLevel="0" collapsed="false">
      <c r="A64" s="23" t="s">
        <v>173</v>
      </c>
      <c r="B64" s="23" t="s">
        <v>262</v>
      </c>
      <c r="C64" s="37" t="n">
        <v>408</v>
      </c>
      <c r="D64" s="37" t="n">
        <v>13675107.5124</v>
      </c>
      <c r="E64" s="39" t="n">
        <f aca="false">C64/SUMIFS($C$58:$C$76,$A$58:$A$76,$A64)</f>
        <v>0.131528046421663</v>
      </c>
      <c r="F64" s="39" t="n">
        <f aca="false">D64/SUMIFS($D$58:$D$76,$A$58:$A$76,$A64)</f>
        <v>0.899382834585716</v>
      </c>
    </row>
    <row r="65" customFormat="false" ht="15" hidden="false" customHeight="false" outlineLevel="0" collapsed="false">
      <c r="A65" s="23" t="s">
        <v>173</v>
      </c>
      <c r="B65" s="23" t="s">
        <v>263</v>
      </c>
      <c r="C65" s="37" t="n">
        <v>2690</v>
      </c>
      <c r="D65" s="37" t="n">
        <v>1513623.0506</v>
      </c>
      <c r="E65" s="39" t="n">
        <f aca="false">C65/SUMIFS($C$58:$C$76,$A$58:$A$76,$A65)</f>
        <v>0.867182462927144</v>
      </c>
      <c r="F65" s="39" t="n">
        <f aca="false">D65/SUMIFS($D$58:$D$76,$A$58:$A$76,$A65)</f>
        <v>0.0995477796798682</v>
      </c>
    </row>
    <row r="66" customFormat="false" ht="15" hidden="false" customHeight="false" outlineLevel="0" collapsed="false">
      <c r="A66" s="23" t="s">
        <v>173</v>
      </c>
      <c r="B66" s="23" t="s">
        <v>264</v>
      </c>
      <c r="C66" s="37" t="n">
        <v>4</v>
      </c>
      <c r="D66" s="37" t="n">
        <v>16260</v>
      </c>
      <c r="E66" s="39" t="n">
        <f aca="false">C66/SUMIFS($C$58:$C$76,$A$58:$A$76,$A66)</f>
        <v>0.00128949065119278</v>
      </c>
      <c r="F66" s="39" t="n">
        <f aca="false">D66/SUMIFS($D$58:$D$76,$A$58:$A$76,$A66)</f>
        <v>0.00106938573441586</v>
      </c>
    </row>
    <row r="67" customFormat="false" ht="15" hidden="false" customHeight="false" outlineLevel="0" collapsed="false">
      <c r="A67" s="23" t="s">
        <v>174</v>
      </c>
      <c r="B67" s="23" t="s">
        <v>262</v>
      </c>
      <c r="C67" s="37" t="n">
        <v>1063</v>
      </c>
      <c r="D67" s="37" t="n">
        <v>14164898.7242</v>
      </c>
      <c r="E67" s="39" t="n">
        <f aca="false">C67/SUMIFS($C$58:$C$76,$A$58:$A$76,$A67)</f>
        <v>0.130927454119966</v>
      </c>
      <c r="F67" s="39" t="n">
        <f aca="false">D67/SUMIFS($D$58:$D$76,$A$58:$A$76,$A67)</f>
        <v>0.890543371535001</v>
      </c>
    </row>
    <row r="68" customFormat="false" ht="15" hidden="false" customHeight="false" outlineLevel="0" collapsed="false">
      <c r="A68" s="23" t="s">
        <v>174</v>
      </c>
      <c r="B68" s="23" t="s">
        <v>263</v>
      </c>
      <c r="C68" s="37" t="n">
        <v>7048</v>
      </c>
      <c r="D68" s="37" t="n">
        <v>1703776.7903</v>
      </c>
      <c r="E68" s="39" t="n">
        <f aca="false">C68/SUMIFS($C$58:$C$76,$A$58:$A$76,$A68)</f>
        <v>0.868087202857495</v>
      </c>
      <c r="F68" s="39" t="n">
        <f aca="false">D68/SUMIFS($D$58:$D$76,$A$58:$A$76,$A68)</f>
        <v>0.107115988382228</v>
      </c>
    </row>
    <row r="69" customFormat="false" ht="15" hidden="false" customHeight="false" outlineLevel="0" collapsed="false">
      <c r="A69" s="23" t="s">
        <v>174</v>
      </c>
      <c r="B69" s="23" t="s">
        <v>264</v>
      </c>
      <c r="C69" s="37" t="n">
        <v>8</v>
      </c>
      <c r="D69" s="37" t="n">
        <v>37230</v>
      </c>
      <c r="E69" s="39" t="n">
        <f aca="false">C69/SUMIFS($C$58:$C$76,$A$58:$A$76,$A69)</f>
        <v>0.000985343022539722</v>
      </c>
      <c r="F69" s="39" t="n">
        <f aca="false">D69/SUMIFS($D$58:$D$76,$A$58:$A$76,$A69)</f>
        <v>0.00234064008277056</v>
      </c>
    </row>
    <row r="70" customFormat="false" ht="15" hidden="false" customHeight="false" outlineLevel="0" collapsed="false">
      <c r="A70" s="23" t="s">
        <v>175</v>
      </c>
      <c r="B70" s="23" t="s">
        <v>262</v>
      </c>
      <c r="C70" s="37" t="n">
        <v>43</v>
      </c>
      <c r="D70" s="37" t="n">
        <v>583376.97</v>
      </c>
      <c r="E70" s="39" t="n">
        <f aca="false">C70/SUMIFS($C$58:$C$76,$A$58:$A$76,$A70)</f>
        <v>0.128358208955224</v>
      </c>
      <c r="F70" s="39" t="n">
        <f aca="false">D70/SUMIFS($D$58:$D$76,$A$58:$A$76,$A70)</f>
        <v>0.867546266973987</v>
      </c>
    </row>
    <row r="71" customFormat="false" ht="15" hidden="false" customHeight="false" outlineLevel="0" collapsed="false">
      <c r="A71" s="23" t="s">
        <v>175</v>
      </c>
      <c r="B71" s="23" t="s">
        <v>263</v>
      </c>
      <c r="C71" s="37" t="n">
        <v>291</v>
      </c>
      <c r="D71" s="37" t="n">
        <v>72067.8231</v>
      </c>
      <c r="E71" s="39" t="n">
        <f aca="false">C71/SUMIFS($C$58:$C$76,$A$58:$A$76,$A71)</f>
        <v>0.86865671641791</v>
      </c>
      <c r="F71" s="39" t="n">
        <f aca="false">D71/SUMIFS($D$58:$D$76,$A$58:$A$76,$A71)</f>
        <v>0.107172847257489</v>
      </c>
    </row>
    <row r="72" customFormat="false" ht="15" hidden="false" customHeight="false" outlineLevel="0" collapsed="false">
      <c r="A72" s="23" t="s">
        <v>175</v>
      </c>
      <c r="B72" s="23" t="s">
        <v>264</v>
      </c>
      <c r="C72" s="37" t="n">
        <v>1</v>
      </c>
      <c r="D72" s="37" t="n">
        <v>17000</v>
      </c>
      <c r="E72" s="39" t="n">
        <f aca="false">C72/SUMIFS($C$58:$C$76,$A$58:$A$76,$A72)</f>
        <v>0.00298507462686567</v>
      </c>
      <c r="F72" s="39" t="n">
        <f aca="false">D72/SUMIFS($D$58:$D$76,$A$58:$A$76,$A72)</f>
        <v>0.0252808857685242</v>
      </c>
    </row>
    <row r="73" customFormat="false" ht="15" hidden="false" customHeight="false" outlineLevel="0" collapsed="false">
      <c r="A73" s="23" t="s">
        <v>176</v>
      </c>
      <c r="B73" s="23" t="s">
        <v>262</v>
      </c>
      <c r="C73" s="37" t="n">
        <v>60</v>
      </c>
      <c r="D73" s="37" t="n">
        <v>222843.9015</v>
      </c>
      <c r="E73" s="39" t="n">
        <f aca="false">C73/SUMIFS($C$58:$C$76,$A$58:$A$76,$A73)</f>
        <v>0.0925925925925926</v>
      </c>
      <c r="F73" s="39" t="n">
        <f aca="false">D73/SUMIFS($D$58:$D$76,$A$58:$A$76,$A73)</f>
        <v>0.877820554857594</v>
      </c>
    </row>
    <row r="74" customFormat="false" ht="15" hidden="false" customHeight="false" outlineLevel="0" collapsed="false">
      <c r="A74" s="23" t="s">
        <v>176</v>
      </c>
      <c r="B74" s="23" t="s">
        <v>263</v>
      </c>
      <c r="C74" s="37" t="n">
        <v>588</v>
      </c>
      <c r="D74" s="37" t="n">
        <v>31016.5262</v>
      </c>
      <c r="E74" s="39" t="n">
        <f aca="false">C74/SUMIFS($C$58:$C$76,$A$58:$A$76,$A74)</f>
        <v>0.907407407407407</v>
      </c>
      <c r="F74" s="39" t="n">
        <f aca="false">D74/SUMIFS($D$58:$D$76,$A$58:$A$76,$A74)</f>
        <v>0.122179445142406</v>
      </c>
    </row>
    <row r="75" customFormat="false" ht="15" hidden="false" customHeight="false" outlineLevel="0" collapsed="false">
      <c r="A75" s="23" t="s">
        <v>177</v>
      </c>
      <c r="B75" s="23" t="s">
        <v>262</v>
      </c>
      <c r="C75" s="37" t="n">
        <v>52</v>
      </c>
      <c r="D75" s="37" t="n">
        <v>1189868.1265</v>
      </c>
      <c r="E75" s="39" t="n">
        <f aca="false">C75/SUMIFS($C$58:$C$76,$A$58:$A$76,$A75)</f>
        <v>0.16</v>
      </c>
      <c r="F75" s="39" t="n">
        <f aca="false">D75/SUMIFS($D$58:$D$76,$A$58:$A$76,$A75)</f>
        <v>0.925408425592309</v>
      </c>
    </row>
    <row r="76" customFormat="false" ht="15" hidden="false" customHeight="false" outlineLevel="0" collapsed="false">
      <c r="A76" s="23" t="s">
        <v>177</v>
      </c>
      <c r="B76" s="23" t="s">
        <v>263</v>
      </c>
      <c r="C76" s="37" t="n">
        <v>273</v>
      </c>
      <c r="D76" s="37" t="n">
        <v>95908.0709</v>
      </c>
      <c r="E76" s="39" t="n">
        <f aca="false">C76/SUMIFS($C$58:$C$76,$A$58:$A$76,$A76)</f>
        <v>0.84</v>
      </c>
      <c r="F76" s="39" t="n">
        <f aca="false">D76/SUMIFS($D$58:$D$76,$A$58:$A$76,$A76)</f>
        <v>0.0745915744076909</v>
      </c>
    </row>
    <row r="79" customFormat="false" ht="15" hidden="false" customHeight="false" outlineLevel="0" collapsed="false">
      <c r="A79" s="20" t="s">
        <v>265</v>
      </c>
      <c r="B79" s="21"/>
      <c r="C79" s="21"/>
      <c r="D79" s="21"/>
      <c r="E79" s="21"/>
      <c r="F79" s="21"/>
      <c r="G79" s="21"/>
      <c r="H79" s="21"/>
      <c r="I79" s="21"/>
      <c r="J79" s="21"/>
      <c r="K79" s="21"/>
      <c r="L79" s="21"/>
    </row>
    <row r="80" customFormat="false" ht="27.75" hidden="false" customHeight="true" outlineLevel="0" collapsed="false">
      <c r="A80" s="26" t="s">
        <v>266</v>
      </c>
      <c r="B80" s="26"/>
      <c r="C80" s="26"/>
      <c r="D80" s="26"/>
      <c r="E80" s="26"/>
      <c r="F80" s="26"/>
      <c r="G80" s="26"/>
      <c r="H80" s="26"/>
      <c r="I80" s="26"/>
      <c r="J80" s="26"/>
      <c r="K80" s="26"/>
      <c r="L80" s="26"/>
    </row>
    <row r="81" customFormat="false" ht="43.5" hidden="false" customHeight="true" outlineLevel="0" collapsed="false">
      <c r="A81" s="22" t="s">
        <v>208</v>
      </c>
      <c r="B81" s="22" t="s">
        <v>162</v>
      </c>
      <c r="C81" s="22" t="s">
        <v>267</v>
      </c>
      <c r="D81" s="22" t="s">
        <v>268</v>
      </c>
      <c r="E81" s="22" t="s">
        <v>269</v>
      </c>
      <c r="F81" s="22" t="s">
        <v>270</v>
      </c>
      <c r="G81" s="22" t="s">
        <v>271</v>
      </c>
    </row>
    <row r="82" customFormat="false" ht="15" hidden="false" customHeight="false" outlineLevel="0" collapsed="false">
      <c r="A82" s="23" t="s">
        <v>216</v>
      </c>
      <c r="B82" s="23" t="s">
        <v>171</v>
      </c>
      <c r="C82" s="37" t="n">
        <v>12</v>
      </c>
      <c r="D82" s="37" t="n">
        <v>12</v>
      </c>
      <c r="E82" s="37" t="n">
        <v>0</v>
      </c>
      <c r="F82" s="48" t="n">
        <v>0.0164604570134396</v>
      </c>
      <c r="G82" s="48" t="n">
        <v>0.0011433968761336</v>
      </c>
    </row>
    <row r="83" customFormat="false" ht="15" hidden="false" customHeight="false" outlineLevel="0" collapsed="false">
      <c r="A83" s="23" t="s">
        <v>216</v>
      </c>
      <c r="B83" s="23" t="s">
        <v>172</v>
      </c>
      <c r="C83" s="37" t="n">
        <v>12</v>
      </c>
      <c r="D83" s="37" t="n">
        <v>0</v>
      </c>
      <c r="E83" s="37" t="n">
        <v>12</v>
      </c>
      <c r="F83" s="48" t="n">
        <v>-0.0252360325552435</v>
      </c>
      <c r="G83" s="48" t="n">
        <v>0.0020341872061794</v>
      </c>
    </row>
    <row r="84" customFormat="false" ht="15" hidden="false" customHeight="false" outlineLevel="0" collapsed="false">
      <c r="A84" s="23" t="s">
        <v>216</v>
      </c>
      <c r="B84" s="23" t="s">
        <v>173</v>
      </c>
      <c r="C84" s="37" t="n">
        <v>12</v>
      </c>
      <c r="D84" s="37" t="n">
        <v>0</v>
      </c>
      <c r="E84" s="37" t="n">
        <v>12</v>
      </c>
      <c r="F84" s="48" t="n">
        <v>-0.025358502044948</v>
      </c>
      <c r="G84" s="48" t="n">
        <v>0.00425693161427457</v>
      </c>
    </row>
    <row r="85" customFormat="false" ht="15" hidden="false" customHeight="false" outlineLevel="0" collapsed="false">
      <c r="A85" s="23" t="s">
        <v>216</v>
      </c>
      <c r="B85" s="23" t="s">
        <v>174</v>
      </c>
      <c r="C85" s="37" t="n">
        <v>12</v>
      </c>
      <c r="D85" s="37" t="n">
        <v>0</v>
      </c>
      <c r="E85" s="37" t="n">
        <v>12</v>
      </c>
      <c r="F85" s="48" t="n">
        <v>-0.0254223045839151</v>
      </c>
      <c r="G85" s="48" t="n">
        <v>0.00178910356663365</v>
      </c>
    </row>
    <row r="86" customFormat="false" ht="15" hidden="false" customHeight="false" outlineLevel="0" collapsed="false">
      <c r="A86" s="23" t="s">
        <v>217</v>
      </c>
      <c r="B86" s="23" t="s">
        <v>171</v>
      </c>
      <c r="C86" s="37" t="n">
        <v>12</v>
      </c>
      <c r="D86" s="37" t="n">
        <v>6</v>
      </c>
      <c r="E86" s="37" t="n">
        <v>6</v>
      </c>
      <c r="F86" s="48" t="n">
        <v>0.0140298571246912</v>
      </c>
      <c r="G86" s="48" t="n">
        <v>0.0274593935660143</v>
      </c>
    </row>
    <row r="87" customFormat="false" ht="15" hidden="false" customHeight="false" outlineLevel="0" collapsed="false">
      <c r="A87" s="23" t="s">
        <v>217</v>
      </c>
      <c r="B87" s="23" t="s">
        <v>172</v>
      </c>
      <c r="C87" s="37" t="n">
        <v>12</v>
      </c>
      <c r="D87" s="37" t="n">
        <v>4</v>
      </c>
      <c r="E87" s="37" t="n">
        <v>8</v>
      </c>
      <c r="F87" s="48" t="n">
        <v>-0.0203319786303754</v>
      </c>
      <c r="G87" s="48" t="n">
        <v>0.0384652737823676</v>
      </c>
    </row>
    <row r="88" customFormat="false" ht="15" hidden="false" customHeight="false" outlineLevel="0" collapsed="false">
      <c r="A88" s="23" t="s">
        <v>217</v>
      </c>
      <c r="B88" s="23" t="s">
        <v>173</v>
      </c>
      <c r="C88" s="37" t="n">
        <v>12</v>
      </c>
      <c r="D88" s="37" t="n">
        <v>4</v>
      </c>
      <c r="E88" s="37" t="n">
        <v>8</v>
      </c>
      <c r="F88" s="48" t="n">
        <v>-0.0127787662679608</v>
      </c>
      <c r="G88" s="48" t="n">
        <v>0.0643135845379476</v>
      </c>
    </row>
    <row r="89" customFormat="false" ht="15" hidden="false" customHeight="false" outlineLevel="0" collapsed="false">
      <c r="A89" s="23" t="s">
        <v>217</v>
      </c>
      <c r="B89" s="23" t="s">
        <v>174</v>
      </c>
      <c r="C89" s="37" t="n">
        <v>12</v>
      </c>
      <c r="D89" s="37" t="n">
        <v>7</v>
      </c>
      <c r="E89" s="37" t="n">
        <v>5</v>
      </c>
      <c r="F89" s="48" t="n">
        <v>-0.00647122522437714</v>
      </c>
      <c r="G89" s="48" t="n">
        <v>0.0534553142388592</v>
      </c>
    </row>
    <row r="92" customFormat="false" ht="15" hidden="false" customHeight="false" outlineLevel="0" collapsed="false">
      <c r="A92" s="20" t="s">
        <v>272</v>
      </c>
      <c r="B92" s="21"/>
      <c r="C92" s="21"/>
      <c r="D92" s="21"/>
      <c r="E92" s="21"/>
      <c r="F92" s="21"/>
      <c r="G92" s="21"/>
      <c r="H92" s="21"/>
      <c r="I92" s="21"/>
      <c r="J92" s="21"/>
      <c r="K92" s="21"/>
      <c r="L92" s="21"/>
    </row>
    <row r="93" customFormat="false" ht="27.75" hidden="false" customHeight="true" outlineLevel="0" collapsed="false">
      <c r="A93" s="26" t="s">
        <v>273</v>
      </c>
      <c r="B93" s="26"/>
      <c r="C93" s="26"/>
      <c r="D93" s="26"/>
      <c r="E93" s="26"/>
      <c r="F93" s="26"/>
      <c r="G93" s="26"/>
      <c r="H93" s="26"/>
      <c r="I93" s="26"/>
      <c r="J93" s="26"/>
      <c r="K93" s="26"/>
      <c r="L93" s="26"/>
    </row>
    <row r="94" customFormat="false" ht="43.5" hidden="false" customHeight="true" outlineLevel="0" collapsed="false">
      <c r="A94" s="22" t="s">
        <v>106</v>
      </c>
      <c r="B94" s="22" t="s">
        <v>274</v>
      </c>
      <c r="C94" s="22" t="s">
        <v>275</v>
      </c>
      <c r="D94" s="22" t="s">
        <v>276</v>
      </c>
      <c r="E94" s="22" t="s">
        <v>277</v>
      </c>
      <c r="F94" s="22" t="s">
        <v>278</v>
      </c>
      <c r="G94" s="22" t="s">
        <v>279</v>
      </c>
    </row>
    <row r="95" customFormat="false" ht="15" hidden="false" customHeight="false" outlineLevel="0" collapsed="false">
      <c r="A95" s="23" t="s">
        <v>109</v>
      </c>
      <c r="B95" s="37" t="n">
        <v>50558720.7041</v>
      </c>
      <c r="C95" s="37" t="n">
        <v>4877602.92669991</v>
      </c>
      <c r="D95" s="37" t="n">
        <v>7192256.89590003</v>
      </c>
      <c r="E95" s="37" t="n">
        <v>9487123.6283001</v>
      </c>
      <c r="F95" s="38" t="n">
        <f aca="false">D95-C95</f>
        <v>2314653.96920011</v>
      </c>
      <c r="G95" s="38" t="n">
        <f aca="false">E95-C95</f>
        <v>4609520.70160019</v>
      </c>
    </row>
    <row r="96" customFormat="false" ht="15" hidden="false" customHeight="false" outlineLevel="0" collapsed="false">
      <c r="A96" s="23" t="s">
        <v>110</v>
      </c>
      <c r="B96" s="37" t="n">
        <v>59344835.9537</v>
      </c>
      <c r="C96" s="37" t="n">
        <v>10726566.1737</v>
      </c>
      <c r="D96" s="37" t="n">
        <v>13271428.7573998</v>
      </c>
      <c r="E96" s="37" t="n">
        <v>15891894.1932998</v>
      </c>
      <c r="F96" s="38" t="n">
        <f aca="false">D96-C96</f>
        <v>2544862.58369984</v>
      </c>
      <c r="G96" s="38" t="n">
        <f aca="false">E96-C96</f>
        <v>5165328.01959986</v>
      </c>
    </row>
    <row r="97" customFormat="false" ht="15" hidden="false" customHeight="false" outlineLevel="0" collapsed="false">
      <c r="A97" s="23" t="s">
        <v>111</v>
      </c>
      <c r="B97" s="37" t="n">
        <v>58649800.1814999</v>
      </c>
      <c r="C97" s="37" t="n">
        <v>7733528.46649983</v>
      </c>
      <c r="D97" s="37" t="n">
        <v>10333709.8615001</v>
      </c>
      <c r="E97" s="37" t="n">
        <v>12968999.2363</v>
      </c>
      <c r="F97" s="38" t="n">
        <f aca="false">D97-C97</f>
        <v>2600181.39500023</v>
      </c>
      <c r="G97" s="38" t="n">
        <f aca="false">E97-C97</f>
        <v>5235470.76980015</v>
      </c>
    </row>
    <row r="98" customFormat="false" ht="15" hidden="false" customHeight="false" outlineLevel="0" collapsed="false">
      <c r="A98" s="23" t="s">
        <v>280</v>
      </c>
      <c r="B98" s="37" t="n">
        <v>168553356.8393</v>
      </c>
      <c r="C98" s="37" t="n">
        <v>23337697.5668997</v>
      </c>
      <c r="D98" s="37" t="n">
        <v>30797395.5147999</v>
      </c>
      <c r="E98" s="37" t="n">
        <v>38348017.0578999</v>
      </c>
      <c r="F98" s="38" t="n">
        <f aca="false">D98-C98</f>
        <v>7459697.94790018</v>
      </c>
      <c r="G98" s="38" t="n">
        <f aca="false">E98-C98</f>
        <v>15010319.4910002</v>
      </c>
    </row>
    <row r="101" customFormat="false" ht="15" hidden="false" customHeight="false" outlineLevel="0" collapsed="false">
      <c r="A101" s="20" t="s">
        <v>281</v>
      </c>
      <c r="B101" s="21"/>
      <c r="C101" s="21"/>
      <c r="D101" s="21"/>
      <c r="E101" s="21"/>
      <c r="F101" s="21"/>
      <c r="G101" s="21"/>
      <c r="H101" s="21"/>
      <c r="I101" s="21"/>
      <c r="J101" s="21"/>
      <c r="K101" s="21"/>
      <c r="L101" s="21"/>
    </row>
    <row r="102" customFormat="false" ht="13.5" hidden="false" customHeight="true" outlineLevel="0" collapsed="false">
      <c r="A102" s="26" t="s">
        <v>282</v>
      </c>
      <c r="B102" s="26"/>
      <c r="C102" s="26"/>
      <c r="D102" s="26"/>
      <c r="E102" s="26"/>
      <c r="F102" s="26"/>
      <c r="G102" s="26"/>
      <c r="H102" s="26"/>
      <c r="I102" s="26"/>
      <c r="J102" s="26"/>
      <c r="K102" s="26"/>
      <c r="L102" s="26"/>
    </row>
    <row r="103" customFormat="false" ht="31.5" hidden="false" customHeight="true" outlineLevel="0" collapsed="false">
      <c r="A103" s="22" t="s">
        <v>208</v>
      </c>
      <c r="B103" s="22" t="s">
        <v>189</v>
      </c>
      <c r="C103" s="22" t="s">
        <v>162</v>
      </c>
      <c r="D103" s="22" t="s">
        <v>92</v>
      </c>
      <c r="E103" s="22" t="s">
        <v>283</v>
      </c>
      <c r="F103" s="22" t="s">
        <v>284</v>
      </c>
      <c r="G103" s="22" t="s">
        <v>285</v>
      </c>
    </row>
    <row r="104" customFormat="false" ht="15" hidden="false" customHeight="false" outlineLevel="0" collapsed="false">
      <c r="A104" s="23" t="s">
        <v>216</v>
      </c>
      <c r="B104" s="23" t="s">
        <v>201</v>
      </c>
      <c r="C104" s="23" t="s">
        <v>171</v>
      </c>
      <c r="D104" s="37" t="n">
        <v>4650</v>
      </c>
      <c r="E104" s="37" t="n">
        <v>328027.744800001</v>
      </c>
      <c r="F104" s="48" t="n">
        <v>0.0149704437799873</v>
      </c>
      <c r="G104" s="48" t="n">
        <v>0.0257482533920871</v>
      </c>
    </row>
    <row r="105" customFormat="false" ht="15" hidden="false" customHeight="false" outlineLevel="0" collapsed="false">
      <c r="A105" s="23" t="s">
        <v>216</v>
      </c>
      <c r="B105" s="23" t="s">
        <v>201</v>
      </c>
      <c r="C105" s="23" t="s">
        <v>172</v>
      </c>
      <c r="D105" s="37" t="n">
        <v>1642</v>
      </c>
      <c r="E105" s="37" t="n">
        <v>-238687.5793</v>
      </c>
      <c r="F105" s="48" t="n">
        <v>-0.0220544733505151</v>
      </c>
      <c r="G105" s="48" t="n">
        <v>0.0335087408836612</v>
      </c>
    </row>
    <row r="106" customFormat="false" ht="15" hidden="false" customHeight="false" outlineLevel="0" collapsed="false">
      <c r="A106" s="23" t="s">
        <v>216</v>
      </c>
      <c r="B106" s="23" t="s">
        <v>201</v>
      </c>
      <c r="C106" s="23" t="s">
        <v>173</v>
      </c>
      <c r="D106" s="37" t="n">
        <v>432</v>
      </c>
      <c r="E106" s="37" t="n">
        <v>-121713.86</v>
      </c>
      <c r="F106" s="48" t="n">
        <v>-0.025825940762806</v>
      </c>
      <c r="G106" s="48" t="n">
        <v>0.0346858479196749</v>
      </c>
    </row>
    <row r="107" customFormat="false" ht="15" hidden="false" customHeight="false" outlineLevel="0" collapsed="false">
      <c r="A107" s="23" t="s">
        <v>216</v>
      </c>
      <c r="B107" s="23" t="s">
        <v>201</v>
      </c>
      <c r="C107" s="23" t="s">
        <v>174</v>
      </c>
      <c r="D107" s="37" t="n">
        <v>1145</v>
      </c>
      <c r="E107" s="37" t="n">
        <v>-126769.8569</v>
      </c>
      <c r="F107" s="48" t="n">
        <v>-0.025333267359385</v>
      </c>
      <c r="G107" s="48" t="n">
        <v>0.0343026265661666</v>
      </c>
    </row>
    <row r="108" customFormat="false" ht="15" hidden="false" customHeight="false" outlineLevel="0" collapsed="false">
      <c r="A108" s="23" t="s">
        <v>216</v>
      </c>
      <c r="B108" s="23" t="s">
        <v>201</v>
      </c>
      <c r="C108" s="23" t="s">
        <v>175</v>
      </c>
      <c r="D108" s="37" t="n">
        <v>55</v>
      </c>
      <c r="E108" s="37" t="n">
        <v>-5870.6985</v>
      </c>
      <c r="F108" s="48" t="n">
        <v>-0.0230481576963935</v>
      </c>
      <c r="G108" s="48" t="n">
        <v>0.0366168742854118</v>
      </c>
    </row>
    <row r="109" customFormat="false" ht="15" hidden="false" customHeight="false" outlineLevel="0" collapsed="false">
      <c r="A109" s="23" t="s">
        <v>216</v>
      </c>
      <c r="B109" s="23" t="s">
        <v>201</v>
      </c>
      <c r="C109" s="23" t="s">
        <v>176</v>
      </c>
      <c r="D109" s="37" t="n">
        <v>120</v>
      </c>
      <c r="E109" s="37" t="n">
        <v>-2558.8979</v>
      </c>
      <c r="F109" s="48" t="n">
        <v>-0.0231004693435324</v>
      </c>
      <c r="G109" s="48" t="n">
        <v>0.0323748247514843</v>
      </c>
    </row>
    <row r="110" customFormat="false" ht="15" hidden="false" customHeight="false" outlineLevel="0" collapsed="false">
      <c r="A110" s="23" t="s">
        <v>216</v>
      </c>
      <c r="B110" s="23" t="s">
        <v>201</v>
      </c>
      <c r="C110" s="23" t="s">
        <v>177</v>
      </c>
      <c r="D110" s="37" t="n">
        <v>52</v>
      </c>
      <c r="E110" s="37" t="n">
        <v>-9035.4465</v>
      </c>
      <c r="F110" s="48" t="n">
        <v>-0.0261000718614872</v>
      </c>
      <c r="G110" s="48" t="n">
        <v>0.032700831973278</v>
      </c>
    </row>
    <row r="111" customFormat="false" ht="15" hidden="false" customHeight="false" outlineLevel="0" collapsed="false">
      <c r="A111" s="23" t="s">
        <v>216</v>
      </c>
      <c r="B111" s="23" t="s">
        <v>200</v>
      </c>
      <c r="C111" s="23" t="s">
        <v>171</v>
      </c>
      <c r="D111" s="37" t="n">
        <v>4531</v>
      </c>
      <c r="E111" s="37" t="n">
        <v>509334.287299999</v>
      </c>
      <c r="F111" s="48" t="n">
        <v>0.0165398086776137</v>
      </c>
      <c r="G111" s="48" t="n">
        <v>0.0249900575464265</v>
      </c>
    </row>
    <row r="112" customFormat="false" ht="15" hidden="false" customHeight="false" outlineLevel="0" collapsed="false">
      <c r="A112" s="23" t="s">
        <v>216</v>
      </c>
      <c r="B112" s="23" t="s">
        <v>200</v>
      </c>
      <c r="C112" s="23" t="s">
        <v>172</v>
      </c>
      <c r="D112" s="37" t="n">
        <v>1734</v>
      </c>
      <c r="E112" s="37" t="n">
        <v>-473462.6761</v>
      </c>
      <c r="F112" s="48" t="n">
        <v>-0.0281126732368026</v>
      </c>
      <c r="G112" s="48" t="n">
        <v>0.0368288184040241</v>
      </c>
    </row>
    <row r="113" customFormat="false" ht="15" hidden="false" customHeight="false" outlineLevel="0" collapsed="false">
      <c r="A113" s="23" t="s">
        <v>216</v>
      </c>
      <c r="B113" s="23" t="s">
        <v>200</v>
      </c>
      <c r="C113" s="23" t="s">
        <v>173</v>
      </c>
      <c r="D113" s="37" t="n">
        <v>458</v>
      </c>
      <c r="E113" s="37" t="n">
        <v>-176789.7288</v>
      </c>
      <c r="F113" s="48" t="n">
        <v>-0.0238524466322062</v>
      </c>
      <c r="G113" s="48" t="n">
        <v>0.0311116297496146</v>
      </c>
    </row>
    <row r="114" customFormat="false" ht="15" hidden="false" customHeight="false" outlineLevel="0" collapsed="false">
      <c r="A114" s="23" t="s">
        <v>216</v>
      </c>
      <c r="B114" s="23" t="s">
        <v>200</v>
      </c>
      <c r="C114" s="23" t="s">
        <v>174</v>
      </c>
      <c r="D114" s="37" t="n">
        <v>1186</v>
      </c>
      <c r="E114" s="37" t="n">
        <v>-190493.5358</v>
      </c>
      <c r="F114" s="48" t="n">
        <v>-0.0255106232008631</v>
      </c>
      <c r="G114" s="48" t="n">
        <v>0.034741696774001</v>
      </c>
    </row>
    <row r="115" customFormat="false" ht="15" hidden="false" customHeight="false" outlineLevel="0" collapsed="false">
      <c r="A115" s="23" t="s">
        <v>216</v>
      </c>
      <c r="B115" s="23" t="s">
        <v>200</v>
      </c>
      <c r="C115" s="23" t="s">
        <v>175</v>
      </c>
      <c r="D115" s="37" t="n">
        <v>55</v>
      </c>
      <c r="E115" s="37" t="n">
        <v>-12570.5727</v>
      </c>
      <c r="F115" s="48" t="n">
        <v>-0.0342454096648269</v>
      </c>
      <c r="G115" s="48" t="n">
        <v>0.0372232052347076</v>
      </c>
    </row>
    <row r="116" customFormat="false" ht="15" hidden="false" customHeight="false" outlineLevel="0" collapsed="false">
      <c r="A116" s="23" t="s">
        <v>216</v>
      </c>
      <c r="B116" s="23" t="s">
        <v>200</v>
      </c>
      <c r="C116" s="23" t="s">
        <v>176</v>
      </c>
      <c r="D116" s="37" t="n">
        <v>90</v>
      </c>
      <c r="E116" s="37" t="n">
        <v>-2766.7636</v>
      </c>
      <c r="F116" s="48" t="n">
        <v>-0.0210878866478833</v>
      </c>
      <c r="G116" s="48" t="n">
        <v>0.0330362142008331</v>
      </c>
    </row>
    <row r="117" customFormat="false" ht="15" hidden="false" customHeight="false" outlineLevel="0" collapsed="false">
      <c r="A117" s="23" t="s">
        <v>216</v>
      </c>
      <c r="B117" s="23" t="s">
        <v>200</v>
      </c>
      <c r="C117" s="23" t="s">
        <v>177</v>
      </c>
      <c r="D117" s="37" t="n">
        <v>37</v>
      </c>
      <c r="E117" s="37" t="n">
        <v>-8811.8422</v>
      </c>
      <c r="F117" s="48" t="n">
        <v>-0.0246723539725174</v>
      </c>
      <c r="G117" s="48" t="n">
        <v>0.0314962915484558</v>
      </c>
    </row>
    <row r="118" customFormat="false" ht="15" hidden="false" customHeight="false" outlineLevel="0" collapsed="false">
      <c r="A118" s="23" t="s">
        <v>216</v>
      </c>
      <c r="B118" s="23" t="s">
        <v>202</v>
      </c>
      <c r="C118" s="23" t="s">
        <v>171</v>
      </c>
      <c r="D118" s="37" t="n">
        <v>4692</v>
      </c>
      <c r="E118" s="37" t="n">
        <v>376412.1649</v>
      </c>
      <c r="F118" s="48" t="n">
        <v>0.0175657054336468</v>
      </c>
      <c r="G118" s="48" t="n">
        <v>0.0262192887488914</v>
      </c>
    </row>
    <row r="119" customFormat="false" ht="15" hidden="false" customHeight="false" outlineLevel="0" collapsed="false">
      <c r="A119" s="23" t="s">
        <v>216</v>
      </c>
      <c r="B119" s="23" t="s">
        <v>202</v>
      </c>
      <c r="C119" s="23" t="s">
        <v>172</v>
      </c>
      <c r="D119" s="37" t="n">
        <v>1669</v>
      </c>
      <c r="E119" s="37" t="n">
        <v>-257006.21</v>
      </c>
      <c r="F119" s="48" t="n">
        <v>-0.0245720058975045</v>
      </c>
      <c r="G119" s="48" t="n">
        <v>0.0331132930866757</v>
      </c>
    </row>
    <row r="120" customFormat="false" ht="15" hidden="false" customHeight="false" outlineLevel="0" collapsed="false">
      <c r="A120" s="23" t="s">
        <v>216</v>
      </c>
      <c r="B120" s="23" t="s">
        <v>202</v>
      </c>
      <c r="C120" s="23" t="s">
        <v>173</v>
      </c>
      <c r="D120" s="37" t="n">
        <v>469</v>
      </c>
      <c r="E120" s="37" t="n">
        <v>-121462.1026</v>
      </c>
      <c r="F120" s="48" t="n">
        <v>-0.0263938550728348</v>
      </c>
      <c r="G120" s="48" t="n">
        <v>0.0341691412619864</v>
      </c>
    </row>
    <row r="121" customFormat="false" ht="15" hidden="false" customHeight="false" outlineLevel="0" collapsed="false">
      <c r="A121" s="23" t="s">
        <v>216</v>
      </c>
      <c r="B121" s="23" t="s">
        <v>202</v>
      </c>
      <c r="C121" s="23" t="s">
        <v>174</v>
      </c>
      <c r="D121" s="37" t="n">
        <v>1226</v>
      </c>
      <c r="E121" s="37" t="n">
        <v>-123986.2849</v>
      </c>
      <c r="F121" s="48" t="n">
        <v>-0.0245170126465651</v>
      </c>
      <c r="G121" s="48" t="n">
        <v>0.0331735381070793</v>
      </c>
    </row>
    <row r="122" customFormat="false" ht="15" hidden="false" customHeight="false" outlineLevel="0" collapsed="false">
      <c r="A122" s="23" t="s">
        <v>216</v>
      </c>
      <c r="B122" s="23" t="s">
        <v>202</v>
      </c>
      <c r="C122" s="23" t="s">
        <v>175</v>
      </c>
      <c r="D122" s="37" t="n">
        <v>54</v>
      </c>
      <c r="E122" s="37" t="n">
        <v>-4355.4971</v>
      </c>
      <c r="F122" s="48" t="n">
        <v>-0.0195755663023751</v>
      </c>
      <c r="G122" s="48" t="n">
        <v>0.0362331577819978</v>
      </c>
    </row>
    <row r="123" customFormat="false" ht="15" hidden="false" customHeight="false" outlineLevel="0" collapsed="false">
      <c r="A123" s="23" t="s">
        <v>216</v>
      </c>
      <c r="B123" s="23" t="s">
        <v>202</v>
      </c>
      <c r="C123" s="23" t="s">
        <v>176</v>
      </c>
      <c r="D123" s="37" t="n">
        <v>94</v>
      </c>
      <c r="E123" s="37" t="n">
        <v>-2207.5823</v>
      </c>
      <c r="F123" s="48" t="n">
        <v>-0.0245306904650112</v>
      </c>
      <c r="G123" s="48" t="n">
        <v>0.0330131236568163</v>
      </c>
    </row>
    <row r="124" customFormat="false" ht="15" hidden="false" customHeight="false" outlineLevel="0" collapsed="false">
      <c r="A124" s="23" t="s">
        <v>216</v>
      </c>
      <c r="B124" s="23" t="s">
        <v>202</v>
      </c>
      <c r="C124" s="23" t="s">
        <v>177</v>
      </c>
      <c r="D124" s="37" t="n">
        <v>44</v>
      </c>
      <c r="E124" s="37" t="n">
        <v>-6285.7514</v>
      </c>
      <c r="F124" s="48" t="n">
        <v>-0.020241580790508</v>
      </c>
      <c r="G124" s="48" t="n">
        <v>0.0301086558315142</v>
      </c>
    </row>
    <row r="125" customFormat="false" ht="15" hidden="false" customHeight="false" outlineLevel="0" collapsed="false">
      <c r="A125" s="23" t="s">
        <v>216</v>
      </c>
      <c r="B125" s="23" t="s">
        <v>197</v>
      </c>
      <c r="C125" s="23" t="s">
        <v>171</v>
      </c>
      <c r="D125" s="37" t="n">
        <v>4518</v>
      </c>
      <c r="E125" s="37" t="n">
        <v>843951.922400002</v>
      </c>
      <c r="F125" s="48" t="n">
        <v>0.0168758562286116</v>
      </c>
      <c r="G125" s="48" t="n">
        <v>0.0262730824035394</v>
      </c>
    </row>
    <row r="126" customFormat="false" ht="15" hidden="false" customHeight="false" outlineLevel="0" collapsed="false">
      <c r="A126" s="23" t="s">
        <v>216</v>
      </c>
      <c r="B126" s="23" t="s">
        <v>197</v>
      </c>
      <c r="C126" s="23" t="s">
        <v>172</v>
      </c>
      <c r="D126" s="37" t="n">
        <v>1692</v>
      </c>
      <c r="E126" s="37" t="n">
        <v>-584422.241399999</v>
      </c>
      <c r="F126" s="48" t="n">
        <v>-0.0241398380151627</v>
      </c>
      <c r="G126" s="48" t="n">
        <v>0.0322973646675785</v>
      </c>
    </row>
    <row r="127" customFormat="false" ht="15" hidden="false" customHeight="false" outlineLevel="0" collapsed="false">
      <c r="A127" s="23" t="s">
        <v>216</v>
      </c>
      <c r="B127" s="23" t="s">
        <v>197</v>
      </c>
      <c r="C127" s="23" t="s">
        <v>173</v>
      </c>
      <c r="D127" s="37" t="n">
        <v>444</v>
      </c>
      <c r="E127" s="37" t="n">
        <v>-245895.3937</v>
      </c>
      <c r="F127" s="48" t="n">
        <v>-0.0242496111630138</v>
      </c>
      <c r="G127" s="48" t="n">
        <v>0.0327998222659432</v>
      </c>
    </row>
    <row r="128" customFormat="false" ht="15" hidden="false" customHeight="false" outlineLevel="0" collapsed="false">
      <c r="A128" s="23" t="s">
        <v>216</v>
      </c>
      <c r="B128" s="23" t="s">
        <v>197</v>
      </c>
      <c r="C128" s="23" t="s">
        <v>174</v>
      </c>
      <c r="D128" s="37" t="n">
        <v>1163</v>
      </c>
      <c r="E128" s="37" t="n">
        <v>-278439.5132</v>
      </c>
      <c r="F128" s="48" t="n">
        <v>-0.0243602466212992</v>
      </c>
      <c r="G128" s="48" t="n">
        <v>0.0330961479050026</v>
      </c>
    </row>
    <row r="129" customFormat="false" ht="15" hidden="false" customHeight="false" outlineLevel="0" collapsed="false">
      <c r="A129" s="23" t="s">
        <v>216</v>
      </c>
      <c r="B129" s="23" t="s">
        <v>197</v>
      </c>
      <c r="C129" s="23" t="s">
        <v>175</v>
      </c>
      <c r="D129" s="37" t="n">
        <v>46</v>
      </c>
      <c r="E129" s="37" t="n">
        <v>-11892.3604</v>
      </c>
      <c r="F129" s="48" t="n">
        <v>-0.0273756298188327</v>
      </c>
      <c r="G129" s="48" t="n">
        <v>0.0350338913101504</v>
      </c>
    </row>
    <row r="130" customFormat="false" ht="15" hidden="false" customHeight="false" outlineLevel="0" collapsed="false">
      <c r="A130" s="23" t="s">
        <v>216</v>
      </c>
      <c r="B130" s="23" t="s">
        <v>197</v>
      </c>
      <c r="C130" s="23" t="s">
        <v>176</v>
      </c>
      <c r="D130" s="37" t="n">
        <v>85</v>
      </c>
      <c r="E130" s="37" t="n">
        <v>-2725.8143</v>
      </c>
      <c r="F130" s="48" t="n">
        <v>-0.0146708094336487</v>
      </c>
      <c r="G130" s="48" t="n">
        <v>0.0278316792880831</v>
      </c>
    </row>
    <row r="131" customFormat="false" ht="15" hidden="false" customHeight="false" outlineLevel="0" collapsed="false">
      <c r="A131" s="23" t="s">
        <v>216</v>
      </c>
      <c r="B131" s="23" t="s">
        <v>197</v>
      </c>
      <c r="C131" s="23" t="s">
        <v>177</v>
      </c>
      <c r="D131" s="37" t="n">
        <v>46</v>
      </c>
      <c r="E131" s="37" t="n">
        <v>-14835.7192</v>
      </c>
      <c r="F131" s="48" t="n">
        <v>-0.0233769082733771</v>
      </c>
      <c r="G131" s="48" t="n">
        <v>0.0305540826983334</v>
      </c>
    </row>
    <row r="132" customFormat="false" ht="15" hidden="false" customHeight="false" outlineLevel="0" collapsed="false">
      <c r="A132" s="23" t="s">
        <v>216</v>
      </c>
      <c r="B132" s="23" t="s">
        <v>199</v>
      </c>
      <c r="C132" s="23" t="s">
        <v>171</v>
      </c>
      <c r="D132" s="37" t="n">
        <v>4579</v>
      </c>
      <c r="E132" s="37" t="n">
        <v>508045.190700002</v>
      </c>
      <c r="F132" s="48" t="n">
        <v>0.0174069768336004</v>
      </c>
      <c r="G132" s="48" t="n">
        <v>0.0270859990062696</v>
      </c>
    </row>
    <row r="133" customFormat="false" ht="15" hidden="false" customHeight="false" outlineLevel="0" collapsed="false">
      <c r="A133" s="23" t="s">
        <v>216</v>
      </c>
      <c r="B133" s="23" t="s">
        <v>199</v>
      </c>
      <c r="C133" s="23" t="s">
        <v>172</v>
      </c>
      <c r="D133" s="37" t="n">
        <v>1641</v>
      </c>
      <c r="E133" s="37" t="n">
        <v>-378129.357</v>
      </c>
      <c r="F133" s="48" t="n">
        <v>-0.0244064686618335</v>
      </c>
      <c r="G133" s="48" t="n">
        <v>0.0338672018074209</v>
      </c>
    </row>
    <row r="134" customFormat="false" ht="15" hidden="false" customHeight="false" outlineLevel="0" collapsed="false">
      <c r="A134" s="23" t="s">
        <v>216</v>
      </c>
      <c r="B134" s="23" t="s">
        <v>199</v>
      </c>
      <c r="C134" s="23" t="s">
        <v>173</v>
      </c>
      <c r="D134" s="37" t="n">
        <v>450</v>
      </c>
      <c r="E134" s="37" t="n">
        <v>-167897.3739</v>
      </c>
      <c r="F134" s="48" t="n">
        <v>-0.0254480355204238</v>
      </c>
      <c r="G134" s="48" t="n">
        <v>0.0318668455050551</v>
      </c>
    </row>
    <row r="135" customFormat="false" ht="15" hidden="false" customHeight="false" outlineLevel="0" collapsed="false">
      <c r="A135" s="23" t="s">
        <v>216</v>
      </c>
      <c r="B135" s="23" t="s">
        <v>199</v>
      </c>
      <c r="C135" s="23" t="s">
        <v>174</v>
      </c>
      <c r="D135" s="37" t="n">
        <v>1193</v>
      </c>
      <c r="E135" s="37" t="n">
        <v>-178816.6417</v>
      </c>
      <c r="F135" s="48" t="n">
        <v>-0.0239298425658969</v>
      </c>
      <c r="G135" s="48" t="n">
        <v>0.0324590668504498</v>
      </c>
    </row>
    <row r="136" customFormat="false" ht="15" hidden="false" customHeight="false" outlineLevel="0" collapsed="false">
      <c r="A136" s="23" t="s">
        <v>216</v>
      </c>
      <c r="B136" s="23" t="s">
        <v>199</v>
      </c>
      <c r="C136" s="23" t="s">
        <v>175</v>
      </c>
      <c r="D136" s="37" t="n">
        <v>35</v>
      </c>
      <c r="E136" s="37" t="n">
        <v>-3701.9343</v>
      </c>
      <c r="F136" s="48" t="n">
        <v>-0.0166523856131032</v>
      </c>
      <c r="G136" s="48" t="n">
        <v>0.0311342804675139</v>
      </c>
    </row>
    <row r="137" customFormat="false" ht="15" hidden="false" customHeight="false" outlineLevel="0" collapsed="false">
      <c r="A137" s="23" t="s">
        <v>216</v>
      </c>
      <c r="B137" s="23" t="s">
        <v>199</v>
      </c>
      <c r="C137" s="23" t="s">
        <v>176</v>
      </c>
      <c r="D137" s="37" t="n">
        <v>98</v>
      </c>
      <c r="E137" s="37" t="n">
        <v>-2074.2983</v>
      </c>
      <c r="F137" s="48" t="n">
        <v>-0.0176764166692579</v>
      </c>
      <c r="G137" s="48" t="n">
        <v>0.0405864451353339</v>
      </c>
    </row>
    <row r="138" customFormat="false" ht="15" hidden="false" customHeight="false" outlineLevel="0" collapsed="false">
      <c r="A138" s="23" t="s">
        <v>216</v>
      </c>
      <c r="B138" s="23" t="s">
        <v>199</v>
      </c>
      <c r="C138" s="23" t="s">
        <v>177</v>
      </c>
      <c r="D138" s="37" t="n">
        <v>43</v>
      </c>
      <c r="E138" s="37" t="n">
        <v>-8491.80190000001</v>
      </c>
      <c r="F138" s="48" t="n">
        <v>-0.0219801390036746</v>
      </c>
      <c r="G138" s="48" t="n">
        <v>0.0376830239598702</v>
      </c>
    </row>
    <row r="139" customFormat="false" ht="15" hidden="false" customHeight="false" outlineLevel="0" collapsed="false">
      <c r="A139" s="23" t="s">
        <v>216</v>
      </c>
      <c r="B139" s="23" t="s">
        <v>195</v>
      </c>
      <c r="C139" s="23" t="s">
        <v>171</v>
      </c>
      <c r="D139" s="37" t="n">
        <v>4623</v>
      </c>
      <c r="E139" s="37" t="n">
        <v>917541.342599999</v>
      </c>
      <c r="F139" s="48" t="n">
        <v>0.0157883478618087</v>
      </c>
      <c r="G139" s="48" t="n">
        <v>0.0259055839860052</v>
      </c>
    </row>
    <row r="140" customFormat="false" ht="15" hidden="false" customHeight="false" outlineLevel="0" collapsed="false">
      <c r="A140" s="23" t="s">
        <v>216</v>
      </c>
      <c r="B140" s="23" t="s">
        <v>195</v>
      </c>
      <c r="C140" s="23" t="s">
        <v>172</v>
      </c>
      <c r="D140" s="37" t="n">
        <v>1673</v>
      </c>
      <c r="E140" s="37" t="n">
        <v>-732127.1713</v>
      </c>
      <c r="F140" s="48" t="n">
        <v>-0.0268652406368895</v>
      </c>
      <c r="G140" s="48" t="n">
        <v>0.0353875625939531</v>
      </c>
    </row>
    <row r="141" customFormat="false" ht="15" hidden="false" customHeight="false" outlineLevel="0" collapsed="false">
      <c r="A141" s="23" t="s">
        <v>216</v>
      </c>
      <c r="B141" s="23" t="s">
        <v>195</v>
      </c>
      <c r="C141" s="23" t="s">
        <v>173</v>
      </c>
      <c r="D141" s="37" t="n">
        <v>437</v>
      </c>
      <c r="E141" s="37" t="n">
        <v>-301170.9668</v>
      </c>
      <c r="F141" s="48" t="n">
        <v>-0.0263609917283863</v>
      </c>
      <c r="G141" s="48" t="n">
        <v>0.036715908271127</v>
      </c>
    </row>
    <row r="142" customFormat="false" ht="15" hidden="false" customHeight="false" outlineLevel="0" collapsed="false">
      <c r="A142" s="23" t="s">
        <v>216</v>
      </c>
      <c r="B142" s="23" t="s">
        <v>195</v>
      </c>
      <c r="C142" s="23" t="s">
        <v>174</v>
      </c>
      <c r="D142" s="37" t="n">
        <v>1135</v>
      </c>
      <c r="E142" s="37" t="n">
        <v>-368088.132</v>
      </c>
      <c r="F142" s="48" t="n">
        <v>-0.0274120414955495</v>
      </c>
      <c r="G142" s="48" t="n">
        <v>0.0360510623993407</v>
      </c>
    </row>
    <row r="143" customFormat="false" ht="15" hidden="false" customHeight="false" outlineLevel="0" collapsed="false">
      <c r="A143" s="23" t="s">
        <v>216</v>
      </c>
      <c r="B143" s="23" t="s">
        <v>195</v>
      </c>
      <c r="C143" s="23" t="s">
        <v>175</v>
      </c>
      <c r="D143" s="37" t="n">
        <v>46</v>
      </c>
      <c r="E143" s="37" t="n">
        <v>-14968.7285</v>
      </c>
      <c r="F143" s="48" t="n">
        <v>-0.0289484875670544</v>
      </c>
      <c r="G143" s="48" t="n">
        <v>0.0365029634207272</v>
      </c>
    </row>
    <row r="144" customFormat="false" ht="15" hidden="false" customHeight="false" outlineLevel="0" collapsed="false">
      <c r="A144" s="23" t="s">
        <v>216</v>
      </c>
      <c r="B144" s="23" t="s">
        <v>195</v>
      </c>
      <c r="C144" s="23" t="s">
        <v>176</v>
      </c>
      <c r="D144" s="37" t="n">
        <v>101</v>
      </c>
      <c r="E144" s="37" t="n">
        <v>-4789.3138</v>
      </c>
      <c r="F144" s="48" t="n">
        <v>-0.0181674274418575</v>
      </c>
      <c r="G144" s="48" t="n">
        <v>0.0386581849799189</v>
      </c>
    </row>
    <row r="145" customFormat="false" ht="15" hidden="false" customHeight="false" outlineLevel="0" collapsed="false">
      <c r="A145" s="23" t="s">
        <v>216</v>
      </c>
      <c r="B145" s="23" t="s">
        <v>195</v>
      </c>
      <c r="C145" s="23" t="s">
        <v>177</v>
      </c>
      <c r="D145" s="37" t="n">
        <v>51</v>
      </c>
      <c r="E145" s="37" t="n">
        <v>-21438.7401</v>
      </c>
      <c r="F145" s="48" t="n">
        <v>-0.0257359140745635</v>
      </c>
      <c r="G145" s="48" t="n">
        <v>0.0360607641015078</v>
      </c>
    </row>
    <row r="146" customFormat="false" ht="15" hidden="false" customHeight="false" outlineLevel="0" collapsed="false">
      <c r="A146" s="23" t="s">
        <v>217</v>
      </c>
      <c r="B146" s="23" t="s">
        <v>201</v>
      </c>
      <c r="C146" s="23" t="s">
        <v>171</v>
      </c>
      <c r="D146" s="37" t="n">
        <v>5157</v>
      </c>
      <c r="E146" s="37" t="n">
        <v>479143.9417</v>
      </c>
      <c r="F146" s="48" t="n">
        <v>0.0192759630402392</v>
      </c>
      <c r="G146" s="48" t="n">
        <v>0.262023832202157</v>
      </c>
    </row>
    <row r="147" customFormat="false" ht="15" hidden="false" customHeight="false" outlineLevel="0" collapsed="false">
      <c r="A147" s="23" t="s">
        <v>217</v>
      </c>
      <c r="B147" s="23" t="s">
        <v>201</v>
      </c>
      <c r="C147" s="23" t="s">
        <v>172</v>
      </c>
      <c r="D147" s="37" t="n">
        <v>1840</v>
      </c>
      <c r="E147" s="37" t="n">
        <v>39309.2934000003</v>
      </c>
      <c r="F147" s="48" t="n">
        <v>0.00323809047699093</v>
      </c>
      <c r="G147" s="48" t="n">
        <v>0.243948078537202</v>
      </c>
    </row>
    <row r="148" customFormat="false" ht="15" hidden="false" customHeight="false" outlineLevel="0" collapsed="false">
      <c r="A148" s="23" t="s">
        <v>217</v>
      </c>
      <c r="B148" s="23" t="s">
        <v>201</v>
      </c>
      <c r="C148" s="23" t="s">
        <v>173</v>
      </c>
      <c r="D148" s="37" t="n">
        <v>491</v>
      </c>
      <c r="E148" s="37" t="n">
        <v>191828.6636</v>
      </c>
      <c r="F148" s="48" t="n">
        <v>0.035847606479346</v>
      </c>
      <c r="G148" s="48" t="n">
        <v>0.265562359979257</v>
      </c>
    </row>
    <row r="149" customFormat="false" ht="15" hidden="false" customHeight="false" outlineLevel="0" collapsed="false">
      <c r="A149" s="23" t="s">
        <v>217</v>
      </c>
      <c r="B149" s="23" t="s">
        <v>201</v>
      </c>
      <c r="C149" s="23" t="s">
        <v>174</v>
      </c>
      <c r="D149" s="37" t="n">
        <v>1317</v>
      </c>
      <c r="E149" s="37" t="n">
        <v>194743.7233</v>
      </c>
      <c r="F149" s="48" t="n">
        <v>0.0341660290475185</v>
      </c>
      <c r="G149" s="48" t="n">
        <v>0.270546111317224</v>
      </c>
    </row>
    <row r="150" customFormat="false" ht="15" hidden="false" customHeight="false" outlineLevel="0" collapsed="false">
      <c r="A150" s="23" t="s">
        <v>217</v>
      </c>
      <c r="B150" s="23" t="s">
        <v>201</v>
      </c>
      <c r="C150" s="23" t="s">
        <v>175</v>
      </c>
      <c r="D150" s="37" t="n">
        <v>62</v>
      </c>
      <c r="E150" s="37" t="n">
        <v>612.391500000002</v>
      </c>
      <c r="F150" s="48" t="n">
        <v>0.00219798714738608</v>
      </c>
      <c r="G150" s="48" t="n">
        <v>0.204350736909198</v>
      </c>
    </row>
    <row r="151" customFormat="false" ht="15" hidden="false" customHeight="false" outlineLevel="0" collapsed="false">
      <c r="A151" s="23" t="s">
        <v>217</v>
      </c>
      <c r="B151" s="23" t="s">
        <v>201</v>
      </c>
      <c r="C151" s="23" t="s">
        <v>176</v>
      </c>
      <c r="D151" s="37" t="n">
        <v>128</v>
      </c>
      <c r="E151" s="37" t="n">
        <v>-5388.4866</v>
      </c>
      <c r="F151" s="48" t="n">
        <v>-0.0461796291394018</v>
      </c>
      <c r="G151" s="48" t="n">
        <v>0.131652940393021</v>
      </c>
    </row>
    <row r="152" customFormat="false" ht="15" hidden="false" customHeight="false" outlineLevel="0" collapsed="false">
      <c r="A152" s="23" t="s">
        <v>217</v>
      </c>
      <c r="B152" s="23" t="s">
        <v>201</v>
      </c>
      <c r="C152" s="23" t="s">
        <v>177</v>
      </c>
      <c r="D152" s="37" t="n">
        <v>59</v>
      </c>
      <c r="E152" s="37" t="n">
        <v>-15369.6765</v>
      </c>
      <c r="F152" s="48" t="n">
        <v>-0.0397925056508068</v>
      </c>
      <c r="G152" s="48" t="n">
        <v>0.233126696323133</v>
      </c>
    </row>
    <row r="153" customFormat="false" ht="15" hidden="false" customHeight="false" outlineLevel="0" collapsed="false">
      <c r="A153" s="23" t="s">
        <v>217</v>
      </c>
      <c r="B153" s="23" t="s">
        <v>200</v>
      </c>
      <c r="C153" s="23" t="s">
        <v>171</v>
      </c>
      <c r="D153" s="37" t="n">
        <v>5098</v>
      </c>
      <c r="E153" s="37" t="n">
        <v>213935.7306</v>
      </c>
      <c r="F153" s="48" t="n">
        <v>0.00606661942575907</v>
      </c>
      <c r="G153" s="48" t="n">
        <v>0.277401938526811</v>
      </c>
    </row>
    <row r="154" customFormat="false" ht="15" hidden="false" customHeight="false" outlineLevel="0" collapsed="false">
      <c r="A154" s="23" t="s">
        <v>217</v>
      </c>
      <c r="B154" s="23" t="s">
        <v>200</v>
      </c>
      <c r="C154" s="23" t="s">
        <v>172</v>
      </c>
      <c r="D154" s="37" t="n">
        <v>1962</v>
      </c>
      <c r="E154" s="37" t="n">
        <v>-571554.3128</v>
      </c>
      <c r="F154" s="48" t="n">
        <v>-0.0302726369284833</v>
      </c>
      <c r="G154" s="48" t="n">
        <v>0.245824833021463</v>
      </c>
    </row>
    <row r="155" customFormat="false" ht="15" hidden="false" customHeight="false" outlineLevel="0" collapsed="false">
      <c r="A155" s="23" t="s">
        <v>217</v>
      </c>
      <c r="B155" s="23" t="s">
        <v>200</v>
      </c>
      <c r="C155" s="23" t="s">
        <v>173</v>
      </c>
      <c r="D155" s="37" t="n">
        <v>523</v>
      </c>
      <c r="E155" s="37" t="n">
        <v>116263.4358</v>
      </c>
      <c r="F155" s="48" t="n">
        <v>0.014014472175988</v>
      </c>
      <c r="G155" s="48" t="n">
        <v>0.237655047342391</v>
      </c>
    </row>
    <row r="156" customFormat="false" ht="15" hidden="false" customHeight="false" outlineLevel="0" collapsed="false">
      <c r="A156" s="23" t="s">
        <v>217</v>
      </c>
      <c r="B156" s="23" t="s">
        <v>200</v>
      </c>
      <c r="C156" s="23" t="s">
        <v>174</v>
      </c>
      <c r="D156" s="37" t="n">
        <v>1385</v>
      </c>
      <c r="E156" s="37" t="n">
        <v>-322650.4208</v>
      </c>
      <c r="F156" s="48" t="n">
        <v>-0.0367514670131245</v>
      </c>
      <c r="G156" s="48" t="n">
        <v>0.323917540422178</v>
      </c>
    </row>
    <row r="157" customFormat="false" ht="15" hidden="false" customHeight="false" outlineLevel="0" collapsed="false">
      <c r="A157" s="23" t="s">
        <v>217</v>
      </c>
      <c r="B157" s="23" t="s">
        <v>200</v>
      </c>
      <c r="C157" s="23" t="s">
        <v>175</v>
      </c>
      <c r="D157" s="37" t="n">
        <v>60</v>
      </c>
      <c r="E157" s="37" t="n">
        <v>21425.4373</v>
      </c>
      <c r="F157" s="48" t="n">
        <v>0.0537199792004899</v>
      </c>
      <c r="G157" s="48" t="n">
        <v>0.190486310042727</v>
      </c>
    </row>
    <row r="158" customFormat="false" ht="15" hidden="false" customHeight="false" outlineLevel="0" collapsed="false">
      <c r="A158" s="23" t="s">
        <v>217</v>
      </c>
      <c r="B158" s="23" t="s">
        <v>200</v>
      </c>
      <c r="C158" s="23" t="s">
        <v>176</v>
      </c>
      <c r="D158" s="37" t="n">
        <v>95</v>
      </c>
      <c r="E158" s="37" t="n">
        <v>5167.74850000001</v>
      </c>
      <c r="F158" s="48" t="n">
        <v>0.0367464272464673</v>
      </c>
      <c r="G158" s="48" t="n">
        <v>0.163249502860213</v>
      </c>
    </row>
    <row r="159" customFormat="false" ht="15" hidden="false" customHeight="false" outlineLevel="0" collapsed="false">
      <c r="A159" s="23" t="s">
        <v>217</v>
      </c>
      <c r="B159" s="23" t="s">
        <v>200</v>
      </c>
      <c r="C159" s="23" t="s">
        <v>177</v>
      </c>
      <c r="D159" s="37" t="n">
        <v>46</v>
      </c>
      <c r="E159" s="37" t="n">
        <v>100696.3078</v>
      </c>
      <c r="F159" s="48" t="n">
        <v>0.226024854867862</v>
      </c>
      <c r="G159" s="48" t="n">
        <v>0.419073643901014</v>
      </c>
    </row>
    <row r="160" customFormat="false" ht="15" hidden="false" customHeight="false" outlineLevel="0" collapsed="false">
      <c r="A160" s="23" t="s">
        <v>217</v>
      </c>
      <c r="B160" s="23" t="s">
        <v>202</v>
      </c>
      <c r="C160" s="23" t="s">
        <v>171</v>
      </c>
      <c r="D160" s="37" t="n">
        <v>5252</v>
      </c>
      <c r="E160" s="37" t="n">
        <v>281461.1564</v>
      </c>
      <c r="F160" s="48" t="n">
        <v>0.0115362821657099</v>
      </c>
      <c r="G160" s="48" t="n">
        <v>0.268275119131207</v>
      </c>
    </row>
    <row r="161" customFormat="false" ht="15" hidden="false" customHeight="false" outlineLevel="0" collapsed="false">
      <c r="A161" s="23" t="s">
        <v>217</v>
      </c>
      <c r="B161" s="23" t="s">
        <v>202</v>
      </c>
      <c r="C161" s="23" t="s">
        <v>172</v>
      </c>
      <c r="D161" s="37" t="n">
        <v>1922</v>
      </c>
      <c r="E161" s="37" t="n">
        <v>-516851.901499999</v>
      </c>
      <c r="F161" s="48" t="n">
        <v>-0.0429272536546786</v>
      </c>
      <c r="G161" s="48" t="n">
        <v>0.28709843431076</v>
      </c>
    </row>
    <row r="162" customFormat="false" ht="15" hidden="false" customHeight="false" outlineLevel="0" collapsed="false">
      <c r="A162" s="23" t="s">
        <v>217</v>
      </c>
      <c r="B162" s="23" t="s">
        <v>202</v>
      </c>
      <c r="C162" s="23" t="s">
        <v>173</v>
      </c>
      <c r="D162" s="37" t="n">
        <v>539</v>
      </c>
      <c r="E162" s="37" t="n">
        <v>128110.8283</v>
      </c>
      <c r="F162" s="48" t="n">
        <v>0.0231275745808793</v>
      </c>
      <c r="G162" s="48" t="n">
        <v>0.36151946113418</v>
      </c>
    </row>
    <row r="163" customFormat="false" ht="15" hidden="false" customHeight="false" outlineLevel="0" collapsed="false">
      <c r="A163" s="23" t="s">
        <v>217</v>
      </c>
      <c r="B163" s="23" t="s">
        <v>202</v>
      </c>
      <c r="C163" s="23" t="s">
        <v>174</v>
      </c>
      <c r="D163" s="37" t="n">
        <v>1388</v>
      </c>
      <c r="E163" s="37" t="n">
        <v>-92544.9491999999</v>
      </c>
      <c r="F163" s="48" t="n">
        <v>-0.016361561616836</v>
      </c>
      <c r="G163" s="48" t="n">
        <v>0.238113645772029</v>
      </c>
    </row>
    <row r="164" customFormat="false" ht="15" hidden="false" customHeight="false" outlineLevel="0" collapsed="false">
      <c r="A164" s="23" t="s">
        <v>217</v>
      </c>
      <c r="B164" s="23" t="s">
        <v>202</v>
      </c>
      <c r="C164" s="23" t="s">
        <v>175</v>
      </c>
      <c r="D164" s="37" t="n">
        <v>61</v>
      </c>
      <c r="E164" s="37" t="n">
        <v>-36549.9271</v>
      </c>
      <c r="F164" s="48" t="n">
        <v>-0.14832900815702</v>
      </c>
      <c r="G164" s="48" t="n">
        <v>0.221994322442045</v>
      </c>
    </row>
    <row r="165" customFormat="false" ht="15" hidden="false" customHeight="false" outlineLevel="0" collapsed="false">
      <c r="A165" s="23" t="s">
        <v>217</v>
      </c>
      <c r="B165" s="23" t="s">
        <v>202</v>
      </c>
      <c r="C165" s="23" t="s">
        <v>176</v>
      </c>
      <c r="D165" s="37" t="n">
        <v>105</v>
      </c>
      <c r="E165" s="37" t="n">
        <v>-1334.8523</v>
      </c>
      <c r="F165" s="48" t="n">
        <v>-0.0130389281630944</v>
      </c>
      <c r="G165" s="48" t="n">
        <v>0.269182648609066</v>
      </c>
    </row>
    <row r="166" customFormat="false" ht="15" hidden="false" customHeight="false" outlineLevel="0" collapsed="false">
      <c r="A166" s="23" t="s">
        <v>217</v>
      </c>
      <c r="B166" s="23" t="s">
        <v>202</v>
      </c>
      <c r="C166" s="23" t="s">
        <v>177</v>
      </c>
      <c r="D166" s="37" t="n">
        <v>49</v>
      </c>
      <c r="E166" s="37" t="n">
        <v>-18701.8549</v>
      </c>
      <c r="F166" s="48" t="n">
        <v>-0.0536954652782374</v>
      </c>
      <c r="G166" s="48" t="n">
        <v>0.239443769544874</v>
      </c>
    </row>
    <row r="167" customFormat="false" ht="15" hidden="false" customHeight="false" outlineLevel="0" collapsed="false">
      <c r="A167" s="23" t="s">
        <v>217</v>
      </c>
      <c r="B167" s="23" t="s">
        <v>197</v>
      </c>
      <c r="C167" s="23" t="s">
        <v>171</v>
      </c>
      <c r="D167" s="37" t="n">
        <v>5084</v>
      </c>
      <c r="E167" s="37" t="n">
        <v>-47988.8350999983</v>
      </c>
      <c r="F167" s="48" t="n">
        <v>-0.0008434587424281</v>
      </c>
      <c r="G167" s="48" t="n">
        <v>0.266813403366486</v>
      </c>
    </row>
    <row r="168" customFormat="false" ht="15" hidden="false" customHeight="false" outlineLevel="0" collapsed="false">
      <c r="A168" s="23" t="s">
        <v>217</v>
      </c>
      <c r="B168" s="23" t="s">
        <v>197</v>
      </c>
      <c r="C168" s="23" t="s">
        <v>172</v>
      </c>
      <c r="D168" s="37" t="n">
        <v>1952</v>
      </c>
      <c r="E168" s="37" t="n">
        <v>-1444091.8592</v>
      </c>
      <c r="F168" s="48" t="n">
        <v>-0.0514678672112261</v>
      </c>
      <c r="G168" s="48" t="n">
        <v>0.298762137564092</v>
      </c>
    </row>
    <row r="169" customFormat="false" ht="15" hidden="false" customHeight="false" outlineLevel="0" collapsed="false">
      <c r="A169" s="23" t="s">
        <v>217</v>
      </c>
      <c r="B169" s="23" t="s">
        <v>197</v>
      </c>
      <c r="C169" s="23" t="s">
        <v>173</v>
      </c>
      <c r="D169" s="37" t="n">
        <v>520</v>
      </c>
      <c r="E169" s="37" t="n">
        <v>-330710.0482</v>
      </c>
      <c r="F169" s="48" t="n">
        <v>-0.0285727984913786</v>
      </c>
      <c r="G169" s="48" t="n">
        <v>0.271803675823298</v>
      </c>
    </row>
    <row r="170" customFormat="false" ht="15" hidden="false" customHeight="false" outlineLevel="0" collapsed="false">
      <c r="A170" s="23" t="s">
        <v>217</v>
      </c>
      <c r="B170" s="23" t="s">
        <v>197</v>
      </c>
      <c r="C170" s="23" t="s">
        <v>174</v>
      </c>
      <c r="D170" s="37" t="n">
        <v>1334</v>
      </c>
      <c r="E170" s="37" t="n">
        <v>232589.8767</v>
      </c>
      <c r="F170" s="48" t="n">
        <v>0.017708875268623</v>
      </c>
      <c r="G170" s="48" t="n">
        <v>0.285706660473885</v>
      </c>
    </row>
    <row r="171" customFormat="false" ht="15" hidden="false" customHeight="false" outlineLevel="0" collapsed="false">
      <c r="A171" s="23" t="s">
        <v>217</v>
      </c>
      <c r="B171" s="23" t="s">
        <v>197</v>
      </c>
      <c r="C171" s="23" t="s">
        <v>175</v>
      </c>
      <c r="D171" s="37" t="n">
        <v>61</v>
      </c>
      <c r="E171" s="37" t="n">
        <v>-41608.1104</v>
      </c>
      <c r="F171" s="48" t="n">
        <v>-0.0718063275356698</v>
      </c>
      <c r="G171" s="48" t="n">
        <v>0.494306260004283</v>
      </c>
    </row>
    <row r="172" customFormat="false" ht="15" hidden="false" customHeight="false" outlineLevel="0" collapsed="false">
      <c r="A172" s="23" t="s">
        <v>217</v>
      </c>
      <c r="B172" s="23" t="s">
        <v>197</v>
      </c>
      <c r="C172" s="23" t="s">
        <v>176</v>
      </c>
      <c r="D172" s="37" t="n">
        <v>95</v>
      </c>
      <c r="E172" s="37" t="n">
        <v>16077.795</v>
      </c>
      <c r="F172" s="48" t="n">
        <v>0.0768608267805894</v>
      </c>
      <c r="G172" s="48" t="n">
        <v>0.246306068319291</v>
      </c>
    </row>
    <row r="173" customFormat="false" ht="15" hidden="false" customHeight="false" outlineLevel="0" collapsed="false">
      <c r="A173" s="23" t="s">
        <v>217</v>
      </c>
      <c r="B173" s="23" t="s">
        <v>197</v>
      </c>
      <c r="C173" s="23" t="s">
        <v>177</v>
      </c>
      <c r="D173" s="37" t="n">
        <v>58</v>
      </c>
      <c r="E173" s="37" t="n">
        <v>-138367.8992</v>
      </c>
      <c r="F173" s="48" t="n">
        <v>-0.174086760514983</v>
      </c>
      <c r="G173" s="48" t="n">
        <v>0.422560740291464</v>
      </c>
    </row>
    <row r="174" customFormat="false" ht="15" hidden="false" customHeight="false" outlineLevel="0" collapsed="false">
      <c r="A174" s="23" t="s">
        <v>217</v>
      </c>
      <c r="B174" s="23" t="s">
        <v>199</v>
      </c>
      <c r="C174" s="23" t="s">
        <v>171</v>
      </c>
      <c r="D174" s="37" t="n">
        <v>5132</v>
      </c>
      <c r="E174" s="37" t="n">
        <v>692930.6263</v>
      </c>
      <c r="F174" s="48" t="n">
        <v>0.0208031777147345</v>
      </c>
      <c r="G174" s="48" t="n">
        <v>0.273179514943661</v>
      </c>
    </row>
    <row r="175" customFormat="false" ht="15" hidden="false" customHeight="false" outlineLevel="0" collapsed="false">
      <c r="A175" s="23" t="s">
        <v>217</v>
      </c>
      <c r="B175" s="23" t="s">
        <v>199</v>
      </c>
      <c r="C175" s="23" t="s">
        <v>172</v>
      </c>
      <c r="D175" s="37" t="n">
        <v>1883</v>
      </c>
      <c r="E175" s="37" t="n">
        <v>38698.5473000001</v>
      </c>
      <c r="F175" s="48" t="n">
        <v>0.0021836976884597</v>
      </c>
      <c r="G175" s="48" t="n">
        <v>0.27800922865126</v>
      </c>
    </row>
    <row r="176" customFormat="false" ht="15" hidden="false" customHeight="false" outlineLevel="0" collapsed="false">
      <c r="A176" s="23" t="s">
        <v>217</v>
      </c>
      <c r="B176" s="23" t="s">
        <v>199</v>
      </c>
      <c r="C176" s="23" t="s">
        <v>173</v>
      </c>
      <c r="D176" s="37" t="n">
        <v>522</v>
      </c>
      <c r="E176" s="37" t="n">
        <v>-213619.6175</v>
      </c>
      <c r="F176" s="48" t="n">
        <v>-0.0267658381967058</v>
      </c>
      <c r="G176" s="48" t="n">
        <v>0.366628859826624</v>
      </c>
    </row>
    <row r="177" customFormat="false" ht="15" hidden="false" customHeight="false" outlineLevel="0" collapsed="false">
      <c r="A177" s="23" t="s">
        <v>217</v>
      </c>
      <c r="B177" s="23" t="s">
        <v>199</v>
      </c>
      <c r="C177" s="23" t="s">
        <v>174</v>
      </c>
      <c r="D177" s="37" t="n">
        <v>1377</v>
      </c>
      <c r="E177" s="37" t="n">
        <v>14111.0768999998</v>
      </c>
      <c r="F177" s="48" t="n">
        <v>0.00165315114427163</v>
      </c>
      <c r="G177" s="48" t="n">
        <v>0.273644317721414</v>
      </c>
    </row>
    <row r="178" customFormat="false" ht="15" hidden="false" customHeight="false" outlineLevel="0" collapsed="false">
      <c r="A178" s="23" t="s">
        <v>217</v>
      </c>
      <c r="B178" s="23" t="s">
        <v>199</v>
      </c>
      <c r="C178" s="23" t="s">
        <v>175</v>
      </c>
      <c r="D178" s="37" t="n">
        <v>40</v>
      </c>
      <c r="E178" s="37" t="n">
        <v>5937.7357</v>
      </c>
      <c r="F178" s="48" t="n">
        <v>0.0239377275185895</v>
      </c>
      <c r="G178" s="48" t="n">
        <v>0.232050372987137</v>
      </c>
    </row>
    <row r="179" customFormat="false" ht="15" hidden="false" customHeight="false" outlineLevel="0" collapsed="false">
      <c r="A179" s="23" t="s">
        <v>217</v>
      </c>
      <c r="B179" s="23" t="s">
        <v>199</v>
      </c>
      <c r="C179" s="23" t="s">
        <v>176</v>
      </c>
      <c r="D179" s="37" t="n">
        <v>114</v>
      </c>
      <c r="E179" s="37" t="n">
        <v>-28267.7183</v>
      </c>
      <c r="F179" s="48" t="n">
        <v>-0.193840933303391</v>
      </c>
      <c r="G179" s="48" t="n">
        <v>0.419164227945295</v>
      </c>
    </row>
    <row r="180" customFormat="false" ht="15" hidden="false" customHeight="false" outlineLevel="0" collapsed="false">
      <c r="A180" s="23" t="s">
        <v>217</v>
      </c>
      <c r="B180" s="23" t="s">
        <v>199</v>
      </c>
      <c r="C180" s="23" t="s">
        <v>177</v>
      </c>
      <c r="D180" s="37" t="n">
        <v>52</v>
      </c>
      <c r="E180" s="37" t="n">
        <v>78046.6281</v>
      </c>
      <c r="F180" s="48" t="n">
        <v>0.160915725945198</v>
      </c>
      <c r="G180" s="48" t="n">
        <v>0.424527345827176</v>
      </c>
    </row>
    <row r="181" customFormat="false" ht="15" hidden="false" customHeight="false" outlineLevel="0" collapsed="false">
      <c r="A181" s="23" t="s">
        <v>217</v>
      </c>
      <c r="B181" s="23" t="s">
        <v>195</v>
      </c>
      <c r="C181" s="23" t="s">
        <v>171</v>
      </c>
      <c r="D181" s="37" t="n">
        <v>5156</v>
      </c>
      <c r="E181" s="37" t="n">
        <v>1937033.59010001</v>
      </c>
      <c r="F181" s="48" t="n">
        <v>0.0294809244849458</v>
      </c>
      <c r="G181" s="48" t="n">
        <v>0.255903869019289</v>
      </c>
    </row>
    <row r="182" customFormat="false" ht="15" hidden="false" customHeight="false" outlineLevel="0" collapsed="false">
      <c r="A182" s="23" t="s">
        <v>217</v>
      </c>
      <c r="B182" s="23" t="s">
        <v>195</v>
      </c>
      <c r="C182" s="23" t="s">
        <v>172</v>
      </c>
      <c r="D182" s="37" t="n">
        <v>1884</v>
      </c>
      <c r="E182" s="37" t="n">
        <v>40856.7835000007</v>
      </c>
      <c r="F182" s="48" t="n">
        <v>0.00132667452572303</v>
      </c>
      <c r="G182" s="48" t="n">
        <v>0.257423861597372</v>
      </c>
    </row>
    <row r="183" customFormat="false" ht="15" hidden="false" customHeight="false" outlineLevel="0" collapsed="false">
      <c r="A183" s="23" t="s">
        <v>217</v>
      </c>
      <c r="B183" s="23" t="s">
        <v>195</v>
      </c>
      <c r="C183" s="23" t="s">
        <v>173</v>
      </c>
      <c r="D183" s="37" t="n">
        <v>507</v>
      </c>
      <c r="E183" s="37" t="n">
        <v>-513611.2352</v>
      </c>
      <c r="F183" s="48" t="n">
        <v>-0.0391993197698938</v>
      </c>
      <c r="G183" s="48" t="n">
        <v>0.285268064829</v>
      </c>
    </row>
    <row r="184" customFormat="false" ht="15" hidden="false" customHeight="false" outlineLevel="0" collapsed="false">
      <c r="A184" s="23" t="s">
        <v>217</v>
      </c>
      <c r="B184" s="23" t="s">
        <v>195</v>
      </c>
      <c r="C184" s="23" t="s">
        <v>174</v>
      </c>
      <c r="D184" s="37" t="n">
        <v>1318</v>
      </c>
      <c r="E184" s="37" t="n">
        <v>-354299.0806</v>
      </c>
      <c r="F184" s="48" t="n">
        <v>-0.0232185634637812</v>
      </c>
      <c r="G184" s="48" t="n">
        <v>0.267701908192923</v>
      </c>
    </row>
    <row r="185" customFormat="false" ht="15" hidden="false" customHeight="false" outlineLevel="0" collapsed="false">
      <c r="A185" s="23" t="s">
        <v>217</v>
      </c>
      <c r="B185" s="23" t="s">
        <v>195</v>
      </c>
      <c r="C185" s="23" t="s">
        <v>175</v>
      </c>
      <c r="D185" s="37" t="n">
        <v>51</v>
      </c>
      <c r="E185" s="37" t="n">
        <v>-48628.1685</v>
      </c>
      <c r="F185" s="48" t="n">
        <v>-0.0840534658814493</v>
      </c>
      <c r="G185" s="48" t="n">
        <v>0.243458026499642</v>
      </c>
    </row>
    <row r="186" customFormat="false" ht="15" hidden="false" customHeight="false" outlineLevel="0" collapsed="false">
      <c r="A186" s="23" t="s">
        <v>217</v>
      </c>
      <c r="B186" s="23" t="s">
        <v>195</v>
      </c>
      <c r="C186" s="23" t="s">
        <v>176</v>
      </c>
      <c r="D186" s="37" t="n">
        <v>111</v>
      </c>
      <c r="E186" s="37" t="n">
        <v>-5595.8138</v>
      </c>
      <c r="F186" s="48" t="n">
        <v>-0.0188498219561432</v>
      </c>
      <c r="G186" s="48" t="n">
        <v>0.253766545692494</v>
      </c>
    </row>
    <row r="187" customFormat="false" ht="15" hidden="false" customHeight="false" outlineLevel="0" collapsed="false">
      <c r="A187" s="23" t="s">
        <v>217</v>
      </c>
      <c r="B187" s="23" t="s">
        <v>195</v>
      </c>
      <c r="C187" s="23" t="s">
        <v>177</v>
      </c>
      <c r="D187" s="37" t="n">
        <v>61</v>
      </c>
      <c r="E187" s="37" t="n">
        <v>-338644.2601</v>
      </c>
      <c r="F187" s="48" t="n">
        <v>-0.334641139132259</v>
      </c>
      <c r="G187" s="48" t="n">
        <v>0.379333105049694</v>
      </c>
    </row>
    <row r="190" customFormat="false" ht="15" hidden="false" customHeight="false" outlineLevel="0" collapsed="false">
      <c r="A190" s="20" t="s">
        <v>286</v>
      </c>
      <c r="B190" s="21"/>
      <c r="C190" s="21"/>
      <c r="D190" s="21"/>
      <c r="E190" s="21"/>
      <c r="F190" s="21"/>
      <c r="G190" s="21"/>
      <c r="H190" s="21"/>
      <c r="I190" s="21"/>
      <c r="J190" s="21"/>
      <c r="K190" s="21"/>
      <c r="L190" s="21"/>
    </row>
    <row r="191" customFormat="false" ht="27.75" hidden="false" customHeight="true" outlineLevel="0" collapsed="false">
      <c r="A191" s="26" t="s">
        <v>287</v>
      </c>
      <c r="B191" s="26"/>
      <c r="C191" s="26"/>
      <c r="D191" s="26"/>
      <c r="E191" s="26"/>
      <c r="F191" s="26"/>
      <c r="G191" s="26"/>
      <c r="H191" s="26"/>
      <c r="I191" s="26"/>
      <c r="J191" s="26"/>
      <c r="K191" s="26"/>
      <c r="L191" s="26"/>
    </row>
    <row r="192" customFormat="false" ht="43.5" hidden="false" customHeight="true" outlineLevel="0" collapsed="false">
      <c r="A192" s="22" t="s">
        <v>208</v>
      </c>
      <c r="B192" s="22" t="s">
        <v>162</v>
      </c>
      <c r="C192" s="22" t="s">
        <v>106</v>
      </c>
      <c r="D192" s="22" t="s">
        <v>92</v>
      </c>
      <c r="E192" s="22" t="s">
        <v>163</v>
      </c>
      <c r="F192" s="22" t="s">
        <v>288</v>
      </c>
      <c r="G192" s="22" t="s">
        <v>289</v>
      </c>
      <c r="H192" s="22" t="s">
        <v>290</v>
      </c>
    </row>
    <row r="193" customFormat="false" ht="15" hidden="false" customHeight="false" outlineLevel="0" collapsed="false">
      <c r="A193" s="23" t="s">
        <v>216</v>
      </c>
      <c r="B193" s="23" t="s">
        <v>171</v>
      </c>
      <c r="C193" s="34" t="n">
        <v>2023</v>
      </c>
      <c r="D193" s="37" t="n">
        <v>9137</v>
      </c>
      <c r="E193" s="37" t="n">
        <v>57584694.583</v>
      </c>
      <c r="F193" s="37" t="n">
        <v>53312658.6312999</v>
      </c>
      <c r="G193" s="38" t="n">
        <f aca="false">E193-F193</f>
        <v>4272035.95170009</v>
      </c>
      <c r="H193" s="39" t="n">
        <f aca="false">IF(F193&lt;&gt;0,G193/ABS(F193),"n/a")</f>
        <v>0.0801317372154457</v>
      </c>
    </row>
    <row r="194" customFormat="false" ht="15" hidden="false" customHeight="false" outlineLevel="0" collapsed="false">
      <c r="A194" s="23" t="s">
        <v>216</v>
      </c>
      <c r="B194" s="23" t="s">
        <v>171</v>
      </c>
      <c r="C194" s="34" t="n">
        <v>2024</v>
      </c>
      <c r="D194" s="37" t="n">
        <v>9179</v>
      </c>
      <c r="E194" s="37" t="n">
        <v>65342414.1824997</v>
      </c>
      <c r="F194" s="37" t="n">
        <v>60544216.9646004</v>
      </c>
      <c r="G194" s="38" t="n">
        <f aca="false">E194-F194</f>
        <v>4798197.2178993</v>
      </c>
      <c r="H194" s="39" t="n">
        <f aca="false">IF(F194&lt;&gt;0,G194/ABS(F194),"n/a")</f>
        <v>0.079251123533479</v>
      </c>
    </row>
    <row r="195" customFormat="false" ht="15" hidden="false" customHeight="false" outlineLevel="0" collapsed="false">
      <c r="A195" s="23" t="s">
        <v>216</v>
      </c>
      <c r="B195" s="23" t="s">
        <v>171</v>
      </c>
      <c r="C195" s="34" t="n">
        <v>2025</v>
      </c>
      <c r="D195" s="37" t="n">
        <v>9143</v>
      </c>
      <c r="E195" s="37" t="n">
        <v>66283603.2256998</v>
      </c>
      <c r="F195" s="37" t="n">
        <v>61396016.3757001</v>
      </c>
      <c r="G195" s="38" t="n">
        <f aca="false">E195-F195</f>
        <v>4887586.8499997</v>
      </c>
      <c r="H195" s="39" t="n">
        <f aca="false">IF(F195&lt;&gt;0,G195/ABS(F195),"n/a")</f>
        <v>0.0796075566220963</v>
      </c>
    </row>
    <row r="196" customFormat="false" ht="15" hidden="false" customHeight="false" outlineLevel="0" collapsed="false">
      <c r="A196" s="23" t="s">
        <v>216</v>
      </c>
      <c r="B196" s="23" t="s">
        <v>172</v>
      </c>
      <c r="C196" s="34" t="n">
        <v>2023</v>
      </c>
      <c r="D196" s="37" t="n">
        <v>3452</v>
      </c>
      <c r="E196" s="37" t="n">
        <v>26797879.0594001</v>
      </c>
      <c r="F196" s="37" t="n">
        <v>24827382.5335</v>
      </c>
      <c r="G196" s="38" t="n">
        <f aca="false">E196-F196</f>
        <v>1970496.52590007</v>
      </c>
      <c r="H196" s="39" t="n">
        <f aca="false">IF(F196&lt;&gt;0,G196/ABS(F196),"n/a")</f>
        <v>0.0793678722773633</v>
      </c>
    </row>
    <row r="197" customFormat="false" ht="15" hidden="false" customHeight="false" outlineLevel="0" collapsed="false">
      <c r="A197" s="23" t="s">
        <v>216</v>
      </c>
      <c r="B197" s="23" t="s">
        <v>172</v>
      </c>
      <c r="C197" s="34" t="n">
        <v>2024</v>
      </c>
      <c r="D197" s="37" t="n">
        <v>3317</v>
      </c>
      <c r="E197" s="37" t="n">
        <v>28601617.6771</v>
      </c>
      <c r="F197" s="37" t="n">
        <v>26515838.5826001</v>
      </c>
      <c r="G197" s="38" t="n">
        <f aca="false">E197-F197</f>
        <v>2085779.09449994</v>
      </c>
      <c r="H197" s="39" t="n">
        <f aca="false">IF(F197&lt;&gt;0,G197/ABS(F197),"n/a")</f>
        <v>0.0786616304063885</v>
      </c>
    </row>
    <row r="198" customFormat="false" ht="15" hidden="false" customHeight="false" outlineLevel="0" collapsed="false">
      <c r="A198" s="23" t="s">
        <v>216</v>
      </c>
      <c r="B198" s="23" t="s">
        <v>172</v>
      </c>
      <c r="C198" s="34" t="n">
        <v>2025</v>
      </c>
      <c r="D198" s="37" t="n">
        <v>3343</v>
      </c>
      <c r="E198" s="37" t="n">
        <v>31536949.6720001</v>
      </c>
      <c r="F198" s="37" t="n">
        <v>29261693.5974001</v>
      </c>
      <c r="G198" s="38" t="n">
        <f aca="false">E198-F198</f>
        <v>2275256.07459999</v>
      </c>
      <c r="H198" s="39" t="n">
        <f aca="false">IF(F198&lt;&gt;0,G198/ABS(F198),"n/a")</f>
        <v>0.0777554473061034</v>
      </c>
    </row>
    <row r="199" customFormat="false" ht="15" hidden="false" customHeight="false" outlineLevel="0" collapsed="false">
      <c r="A199" s="23" t="s">
        <v>216</v>
      </c>
      <c r="B199" s="23" t="s">
        <v>173</v>
      </c>
      <c r="C199" s="34" t="n">
        <v>2023</v>
      </c>
      <c r="D199" s="37" t="n">
        <v>949</v>
      </c>
      <c r="E199" s="37" t="n">
        <v>13213762.5288</v>
      </c>
      <c r="F199" s="37" t="n">
        <v>12280986.2156</v>
      </c>
      <c r="G199" s="38" t="n">
        <f aca="false">E199-F199</f>
        <v>932776.313200003</v>
      </c>
      <c r="H199" s="39" t="n">
        <f aca="false">IF(F199&lt;&gt;0,G199/ABS(F199),"n/a")</f>
        <v>0.0759528833291204</v>
      </c>
    </row>
    <row r="200" customFormat="false" ht="15" hidden="false" customHeight="false" outlineLevel="0" collapsed="false">
      <c r="A200" s="23" t="s">
        <v>216</v>
      </c>
      <c r="B200" s="23" t="s">
        <v>173</v>
      </c>
      <c r="C200" s="34" t="n">
        <v>2024</v>
      </c>
      <c r="D200" s="37" t="n">
        <v>891</v>
      </c>
      <c r="E200" s="37" t="n">
        <v>12352898.686</v>
      </c>
      <c r="F200" s="37" t="n">
        <v>11449353.6442</v>
      </c>
      <c r="G200" s="38" t="n">
        <f aca="false">E200-F200</f>
        <v>903545.041799979</v>
      </c>
      <c r="H200" s="39" t="n">
        <f aca="false">IF(F200&lt;&gt;0,G200/ABS(F200),"n/a")</f>
        <v>0.0789166855945353</v>
      </c>
    </row>
    <row r="201" customFormat="false" ht="15" hidden="false" customHeight="false" outlineLevel="0" collapsed="false">
      <c r="A201" s="23" t="s">
        <v>216</v>
      </c>
      <c r="B201" s="23" t="s">
        <v>173</v>
      </c>
      <c r="C201" s="34" t="n">
        <v>2025</v>
      </c>
      <c r="D201" s="37" t="n">
        <v>909</v>
      </c>
      <c r="E201" s="37" t="n">
        <v>12843776.2729</v>
      </c>
      <c r="F201" s="37" t="n">
        <v>11903247.133</v>
      </c>
      <c r="G201" s="38" t="n">
        <f aca="false">E201-F201</f>
        <v>940529.139899993</v>
      </c>
      <c r="H201" s="39" t="n">
        <f aca="false">IF(F201&lt;&gt;0,G201/ABS(F201),"n/a")</f>
        <v>0.0790145016222098</v>
      </c>
    </row>
    <row r="202" customFormat="false" ht="15" hidden="false" customHeight="false" outlineLevel="0" collapsed="false">
      <c r="A202" s="23" t="s">
        <v>216</v>
      </c>
      <c r="B202" s="23" t="s">
        <v>174</v>
      </c>
      <c r="C202" s="34" t="n">
        <v>2023</v>
      </c>
      <c r="D202" s="37" t="n">
        <v>2349</v>
      </c>
      <c r="E202" s="37" t="n">
        <v>12763716.4585</v>
      </c>
      <c r="F202" s="37" t="n">
        <v>11809188.3993</v>
      </c>
      <c r="G202" s="38" t="n">
        <f aca="false">E202-F202</f>
        <v>954528.059200043</v>
      </c>
      <c r="H202" s="39" t="n">
        <f aca="false">IF(F202&lt;&gt;0,G202/ABS(F202),"n/a")</f>
        <v>0.080829268441227</v>
      </c>
    </row>
    <row r="203" customFormat="false" ht="15" hidden="false" customHeight="false" outlineLevel="0" collapsed="false">
      <c r="A203" s="23" t="s">
        <v>216</v>
      </c>
      <c r="B203" s="23" t="s">
        <v>174</v>
      </c>
      <c r="C203" s="34" t="n">
        <v>2024</v>
      </c>
      <c r="D203" s="37" t="n">
        <v>2411</v>
      </c>
      <c r="E203" s="37" t="n">
        <v>14136411.7642</v>
      </c>
      <c r="F203" s="37" t="n">
        <v>13098031.3826</v>
      </c>
      <c r="G203" s="38" t="n">
        <f aca="false">E203-F203</f>
        <v>1038380.3816</v>
      </c>
      <c r="H203" s="39" t="n">
        <f aca="false">IF(F203&lt;&gt;0,G203/ABS(F203),"n/a")</f>
        <v>0.0792775915149681</v>
      </c>
    </row>
    <row r="204" customFormat="false" ht="15" hidden="false" customHeight="false" outlineLevel="0" collapsed="false">
      <c r="A204" s="23" t="s">
        <v>216</v>
      </c>
      <c r="B204" s="23" t="s">
        <v>174</v>
      </c>
      <c r="C204" s="34" t="n">
        <v>2025</v>
      </c>
      <c r="D204" s="37" t="n">
        <v>2356</v>
      </c>
      <c r="E204" s="37" t="n">
        <v>14783703.149</v>
      </c>
      <c r="F204" s="37" t="n">
        <v>13715889.6464</v>
      </c>
      <c r="G204" s="38" t="n">
        <f aca="false">E204-F204</f>
        <v>1067813.50260001</v>
      </c>
      <c r="H204" s="39" t="n">
        <f aca="false">IF(F204&lt;&gt;0,G204/ABS(F204),"n/a")</f>
        <v>0.0778522961418168</v>
      </c>
    </row>
    <row r="205" customFormat="false" ht="15" hidden="false" customHeight="false" outlineLevel="0" collapsed="false">
      <c r="A205" s="23" t="s">
        <v>216</v>
      </c>
      <c r="B205" s="23" t="s">
        <v>175</v>
      </c>
      <c r="C205" s="34" t="n">
        <v>2023</v>
      </c>
      <c r="D205" s="37" t="n">
        <v>97</v>
      </c>
      <c r="E205" s="37" t="n">
        <v>513868.106</v>
      </c>
      <c r="F205" s="37" t="n">
        <v>475902.0229</v>
      </c>
      <c r="G205" s="38" t="n">
        <f aca="false">E205-F205</f>
        <v>37966.0831</v>
      </c>
      <c r="H205" s="39" t="n">
        <f aca="false">IF(F205&lt;&gt;0,G205/ABS(F205),"n/a")</f>
        <v>0.0797770996404815</v>
      </c>
    </row>
    <row r="206" customFormat="false" ht="15" hidden="false" customHeight="false" outlineLevel="0" collapsed="false">
      <c r="A206" s="23" t="s">
        <v>216</v>
      </c>
      <c r="B206" s="23" t="s">
        <v>175</v>
      </c>
      <c r="C206" s="34" t="n">
        <v>2024</v>
      </c>
      <c r="D206" s="37" t="n">
        <v>93</v>
      </c>
      <c r="E206" s="37" t="n">
        <v>538000.8884</v>
      </c>
      <c r="F206" s="37" t="n">
        <v>495624.5472</v>
      </c>
      <c r="G206" s="38" t="n">
        <f aca="false">E206-F206</f>
        <v>42376.3412000001</v>
      </c>
      <c r="H206" s="39" t="n">
        <f aca="false">IF(F206&lt;&gt;0,G206/ABS(F206),"n/a")</f>
        <v>0.0855008926402105</v>
      </c>
    </row>
    <row r="207" customFormat="false" ht="15" hidden="false" customHeight="false" outlineLevel="0" collapsed="false">
      <c r="A207" s="23" t="s">
        <v>216</v>
      </c>
      <c r="B207" s="23" t="s">
        <v>175</v>
      </c>
      <c r="C207" s="34" t="n">
        <v>2025</v>
      </c>
      <c r="D207" s="37" t="n">
        <v>99</v>
      </c>
      <c r="E207" s="37" t="n">
        <v>647293.4793</v>
      </c>
      <c r="F207" s="37" t="n">
        <v>599407.1765</v>
      </c>
      <c r="G207" s="38" t="n">
        <f aca="false">E207-F207</f>
        <v>47886.3028</v>
      </c>
      <c r="H207" s="39" t="n">
        <f aca="false">IF(F207&lt;&gt;0,G207/ABS(F207),"n/a")</f>
        <v>0.0798894385609678</v>
      </c>
    </row>
    <row r="208" customFormat="false" ht="15" hidden="false" customHeight="false" outlineLevel="0" collapsed="false">
      <c r="A208" s="23" t="s">
        <v>216</v>
      </c>
      <c r="B208" s="23" t="s">
        <v>176</v>
      </c>
      <c r="C208" s="34" t="n">
        <v>2023</v>
      </c>
      <c r="D208" s="37" t="n">
        <v>199</v>
      </c>
      <c r="E208" s="37" t="n">
        <v>188842.6616</v>
      </c>
      <c r="F208" s="37" t="n">
        <v>176932.9745</v>
      </c>
      <c r="G208" s="38" t="n">
        <f aca="false">E208-F208</f>
        <v>11909.6871</v>
      </c>
      <c r="H208" s="39" t="n">
        <f aca="false">IF(F208&lt;&gt;0,G208/ABS(F208),"n/a")</f>
        <v>0.0673118571236139</v>
      </c>
    </row>
    <row r="209" customFormat="false" ht="15" hidden="false" customHeight="false" outlineLevel="0" collapsed="false">
      <c r="A209" s="23" t="s">
        <v>216</v>
      </c>
      <c r="B209" s="23" t="s">
        <v>176</v>
      </c>
      <c r="C209" s="34" t="n">
        <v>2024</v>
      </c>
      <c r="D209" s="37" t="n">
        <v>204</v>
      </c>
      <c r="E209" s="37" t="n">
        <v>204482.1569</v>
      </c>
      <c r="F209" s="37" t="n">
        <v>190056.9807</v>
      </c>
      <c r="G209" s="38" t="n">
        <f aca="false">E209-F209</f>
        <v>14425.1762</v>
      </c>
      <c r="H209" s="39" t="n">
        <f aca="false">IF(F209&lt;&gt;0,G209/ABS(F209),"n/a")</f>
        <v>0.0758992179443794</v>
      </c>
    </row>
    <row r="210" customFormat="false" ht="15" hidden="false" customHeight="false" outlineLevel="0" collapsed="false">
      <c r="A210" s="23" t="s">
        <v>216</v>
      </c>
      <c r="B210" s="23" t="s">
        <v>176</v>
      </c>
      <c r="C210" s="34" t="n">
        <v>2025</v>
      </c>
      <c r="D210" s="37" t="n">
        <v>198</v>
      </c>
      <c r="E210" s="37" t="n">
        <v>184439.792</v>
      </c>
      <c r="F210" s="37" t="n">
        <v>171283.3735</v>
      </c>
      <c r="G210" s="38" t="n">
        <f aca="false">E210-F210</f>
        <v>13156.4185</v>
      </c>
      <c r="H210" s="39" t="n">
        <f aca="false">IF(F210&lt;&gt;0,G210/ABS(F210),"n/a")</f>
        <v>0.0768108324302707</v>
      </c>
    </row>
    <row r="211" customFormat="false" ht="15" hidden="false" customHeight="false" outlineLevel="0" collapsed="false">
      <c r="A211" s="23" t="s">
        <v>216</v>
      </c>
      <c r="B211" s="23" t="s">
        <v>177</v>
      </c>
      <c r="C211" s="34" t="n">
        <v>2023</v>
      </c>
      <c r="D211" s="37" t="n">
        <v>102</v>
      </c>
      <c r="E211" s="37" t="n">
        <v>875809.3524</v>
      </c>
      <c r="F211" s="37" t="n">
        <v>814928.2626</v>
      </c>
      <c r="G211" s="38" t="n">
        <f aca="false">E211-F211</f>
        <v>60881.0898</v>
      </c>
      <c r="H211" s="39" t="n">
        <f aca="false">IF(F211&lt;&gt;0,G211/ABS(F211),"n/a")</f>
        <v>0.0747072995183171</v>
      </c>
    </row>
    <row r="212" customFormat="false" ht="15" hidden="false" customHeight="false" outlineLevel="0" collapsed="false">
      <c r="A212" s="23" t="s">
        <v>216</v>
      </c>
      <c r="B212" s="23" t="s">
        <v>177</v>
      </c>
      <c r="C212" s="34" t="n">
        <v>2024</v>
      </c>
      <c r="D212" s="37" t="n">
        <v>88</v>
      </c>
      <c r="E212" s="37" t="n">
        <v>682834.892</v>
      </c>
      <c r="F212" s="37" t="n">
        <v>636826.3352</v>
      </c>
      <c r="G212" s="38" t="n">
        <f aca="false">E212-F212</f>
        <v>46008.5568000001</v>
      </c>
      <c r="H212" s="39" t="n">
        <f aca="false">IF(F212&lt;&gt;0,G212/ABS(F212),"n/a")</f>
        <v>0.0722466302929367</v>
      </c>
    </row>
    <row r="213" customFormat="false" ht="15" hidden="false" customHeight="false" outlineLevel="0" collapsed="false">
      <c r="A213" s="23" t="s">
        <v>216</v>
      </c>
      <c r="B213" s="23" t="s">
        <v>177</v>
      </c>
      <c r="C213" s="34" t="n">
        <v>2025</v>
      </c>
      <c r="D213" s="37" t="n">
        <v>92</v>
      </c>
      <c r="E213" s="37" t="n">
        <v>998065.13</v>
      </c>
      <c r="F213" s="37" t="n">
        <v>928365.538500001</v>
      </c>
      <c r="G213" s="38" t="n">
        <f aca="false">E213-F213</f>
        <v>69699.5914999995</v>
      </c>
      <c r="H213" s="39" t="n">
        <f aca="false">IF(F213&lt;&gt;0,G213/ABS(F213),"n/a")</f>
        <v>0.0750777453594584</v>
      </c>
    </row>
    <row r="214" customFormat="false" ht="15" hidden="false" customHeight="false" outlineLevel="0" collapsed="false">
      <c r="A214" s="23" t="s">
        <v>217</v>
      </c>
      <c r="B214" s="23" t="s">
        <v>171</v>
      </c>
      <c r="C214" s="34" t="n">
        <v>2023</v>
      </c>
      <c r="D214" s="37" t="n">
        <v>10302</v>
      </c>
      <c r="E214" s="37" t="n">
        <v>56812344.8809001</v>
      </c>
      <c r="F214" s="37" t="n">
        <v>54138441.2866001</v>
      </c>
      <c r="G214" s="38" t="n">
        <f aca="false">E214-F214</f>
        <v>2673903.59430003</v>
      </c>
      <c r="H214" s="39" t="n">
        <f aca="false">IF(F214&lt;&gt;0,G214/ABS(F214),"n/a")</f>
        <v>0.0493901104419469</v>
      </c>
    </row>
    <row r="215" customFormat="false" ht="15" hidden="false" customHeight="false" outlineLevel="0" collapsed="false">
      <c r="A215" s="23" t="s">
        <v>217</v>
      </c>
      <c r="B215" s="23" t="s">
        <v>171</v>
      </c>
      <c r="C215" s="34" t="n">
        <v>2024</v>
      </c>
      <c r="D215" s="37" t="n">
        <v>10291</v>
      </c>
      <c r="E215" s="37" t="n">
        <v>66311706.1202997</v>
      </c>
      <c r="F215" s="37" t="n">
        <v>59629580.1804003</v>
      </c>
      <c r="G215" s="38" t="n">
        <f aca="false">E215-F215</f>
        <v>6682125.93989942</v>
      </c>
      <c r="H215" s="39" t="n">
        <f aca="false">IF(F215&lt;&gt;0,G215/ABS(F215),"n/a")</f>
        <v>0.112060590057546</v>
      </c>
    </row>
    <row r="216" customFormat="false" ht="15" hidden="false" customHeight="false" outlineLevel="0" collapsed="false">
      <c r="A216" s="23" t="s">
        <v>217</v>
      </c>
      <c r="B216" s="23" t="s">
        <v>171</v>
      </c>
      <c r="C216" s="34" t="n">
        <v>2025</v>
      </c>
      <c r="D216" s="37" t="n">
        <v>10258</v>
      </c>
      <c r="E216" s="37" t="n">
        <v>66773233.3449998</v>
      </c>
      <c r="F216" s="37" t="n">
        <v>60943343.7325001</v>
      </c>
      <c r="G216" s="38" t="n">
        <f aca="false">E216-F216</f>
        <v>5829889.61249972</v>
      </c>
      <c r="H216" s="39" t="n">
        <f aca="false">IF(F216&lt;&gt;0,G216/ABS(F216),"n/a")</f>
        <v>0.0956608097857082</v>
      </c>
    </row>
    <row r="217" customFormat="false" ht="15" hidden="false" customHeight="false" outlineLevel="0" collapsed="false">
      <c r="A217" s="23" t="s">
        <v>217</v>
      </c>
      <c r="B217" s="23" t="s">
        <v>172</v>
      </c>
      <c r="C217" s="34" t="n">
        <v>2023</v>
      </c>
      <c r="D217" s="37" t="n">
        <v>3910</v>
      </c>
      <c r="E217" s="37" t="n">
        <v>27133617.3499001</v>
      </c>
      <c r="F217" s="37" t="n">
        <v>24491951.2541</v>
      </c>
      <c r="G217" s="38" t="n">
        <f aca="false">E217-F217</f>
        <v>2641666.09580008</v>
      </c>
      <c r="H217" s="39" t="n">
        <f aca="false">IF(F217&lt;&gt;0,G217/ABS(F217),"n/a")</f>
        <v>0.107858539664448</v>
      </c>
    </row>
    <row r="218" customFormat="false" ht="15" hidden="false" customHeight="false" outlineLevel="0" collapsed="false">
      <c r="A218" s="23" t="s">
        <v>217</v>
      </c>
      <c r="B218" s="23" t="s">
        <v>172</v>
      </c>
      <c r="C218" s="34" t="n">
        <v>2024</v>
      </c>
      <c r="D218" s="37" t="n">
        <v>3786</v>
      </c>
      <c r="E218" s="37" t="n">
        <v>28396450.0651</v>
      </c>
      <c r="F218" s="37" t="n">
        <v>26730913.0419001</v>
      </c>
      <c r="G218" s="38" t="n">
        <f aca="false">E218-F218</f>
        <v>1665537.02319995</v>
      </c>
      <c r="H218" s="39" t="n">
        <f aca="false">IF(F218&lt;&gt;0,G218/ABS(F218),"n/a")</f>
        <v>0.062307524647185</v>
      </c>
    </row>
    <row r="219" customFormat="false" ht="15" hidden="false" customHeight="false" outlineLevel="0" collapsed="false">
      <c r="A219" s="23" t="s">
        <v>217</v>
      </c>
      <c r="B219" s="23" t="s">
        <v>172</v>
      </c>
      <c r="C219" s="34" t="n">
        <v>2025</v>
      </c>
      <c r="D219" s="37" t="n">
        <v>3813</v>
      </c>
      <c r="E219" s="37" t="n">
        <v>31791645.0587001</v>
      </c>
      <c r="F219" s="37" t="n">
        <v>29051354.7230001</v>
      </c>
      <c r="G219" s="38" t="n">
        <f aca="false">E219-F219</f>
        <v>2740290.33569998</v>
      </c>
      <c r="H219" s="39" t="n">
        <f aca="false">IF(F219&lt;&gt;0,G219/ABS(F219),"n/a")</f>
        <v>0.0943257332344118</v>
      </c>
    </row>
    <row r="220" customFormat="false" ht="15" hidden="false" customHeight="false" outlineLevel="0" collapsed="false">
      <c r="A220" s="23" t="s">
        <v>217</v>
      </c>
      <c r="B220" s="23" t="s">
        <v>173</v>
      </c>
      <c r="C220" s="34" t="n">
        <v>2023</v>
      </c>
      <c r="D220" s="37" t="n">
        <v>1062</v>
      </c>
      <c r="E220" s="37" t="n">
        <v>13041747.1229</v>
      </c>
      <c r="F220" s="37" t="n">
        <v>12447745.9288</v>
      </c>
      <c r="G220" s="38" t="n">
        <f aca="false">E220-F220</f>
        <v>594001.194100002</v>
      </c>
      <c r="H220" s="39" t="n">
        <f aca="false">IF(F220&lt;&gt;0,G220/ABS(F220),"n/a")</f>
        <v>0.0477195789099196</v>
      </c>
    </row>
    <row r="221" customFormat="false" ht="15" hidden="false" customHeight="false" outlineLevel="0" collapsed="false">
      <c r="A221" s="23" t="s">
        <v>217</v>
      </c>
      <c r="B221" s="23" t="s">
        <v>173</v>
      </c>
      <c r="C221" s="34" t="n">
        <v>2024</v>
      </c>
      <c r="D221" s="37" t="n">
        <v>1021</v>
      </c>
      <c r="E221" s="37" t="n">
        <v>12566434.4867</v>
      </c>
      <c r="F221" s="37" t="n">
        <v>11270438.5058</v>
      </c>
      <c r="G221" s="38" t="n">
        <f aca="false">E221-F221</f>
        <v>1295995.98089999</v>
      </c>
      <c r="H221" s="39" t="n">
        <f aca="false">IF(F221&lt;&gt;0,G221/ABS(F221),"n/a")</f>
        <v>0.114990732635029</v>
      </c>
    </row>
    <row r="222" customFormat="false" ht="15" hidden="false" customHeight="false" outlineLevel="0" collapsed="false">
      <c r="A222" s="23" t="s">
        <v>217</v>
      </c>
      <c r="B222" s="23" t="s">
        <v>173</v>
      </c>
      <c r="C222" s="34" t="n">
        <v>2025</v>
      </c>
      <c r="D222" s="37" t="n">
        <v>1032</v>
      </c>
      <c r="E222" s="37" t="n">
        <v>12471217.4961</v>
      </c>
      <c r="F222" s="37" t="n">
        <v>12300723.0203</v>
      </c>
      <c r="G222" s="38" t="n">
        <f aca="false">E222-F222</f>
        <v>170494.475799989</v>
      </c>
      <c r="H222" s="39" t="n">
        <f aca="false">IF(F222&lt;&gt;0,G222/ABS(F222),"n/a")</f>
        <v>0.0138605247446528</v>
      </c>
    </row>
    <row r="223" customFormat="false" ht="15" hidden="false" customHeight="false" outlineLevel="0" collapsed="false">
      <c r="A223" s="23" t="s">
        <v>217</v>
      </c>
      <c r="B223" s="23" t="s">
        <v>174</v>
      </c>
      <c r="C223" s="34" t="n">
        <v>2023</v>
      </c>
      <c r="D223" s="37" t="n">
        <v>2675</v>
      </c>
      <c r="E223" s="37" t="n">
        <v>12631987.1816001</v>
      </c>
      <c r="F223" s="37" t="n">
        <v>11922171.8215</v>
      </c>
      <c r="G223" s="38" t="n">
        <f aca="false">E223-F223</f>
        <v>709815.360100053</v>
      </c>
      <c r="H223" s="39" t="n">
        <f aca="false">IF(F223&lt;&gt;0,G223/ABS(F223),"n/a")</f>
        <v>0.0595374207591942</v>
      </c>
    </row>
    <row r="224" customFormat="false" ht="15" hidden="false" customHeight="false" outlineLevel="0" collapsed="false">
      <c r="A224" s="23" t="s">
        <v>217</v>
      </c>
      <c r="B224" s="23" t="s">
        <v>174</v>
      </c>
      <c r="C224" s="34" t="n">
        <v>2024</v>
      </c>
      <c r="D224" s="37" t="n">
        <v>2749</v>
      </c>
      <c r="E224" s="37" t="n">
        <v>13944274.994</v>
      </c>
      <c r="F224" s="37" t="n">
        <v>13290830.6495</v>
      </c>
      <c r="G224" s="38" t="n">
        <f aca="false">E224-F224</f>
        <v>653444.344499989</v>
      </c>
      <c r="H224" s="39" t="n">
        <f aca="false">IF(F224&lt;&gt;0,G224/ABS(F224),"n/a")</f>
        <v>0.0491650493285437</v>
      </c>
    </row>
    <row r="225" customFormat="false" ht="15" hidden="false" customHeight="false" outlineLevel="0" collapsed="false">
      <c r="A225" s="23" t="s">
        <v>217</v>
      </c>
      <c r="B225" s="23" t="s">
        <v>174</v>
      </c>
      <c r="C225" s="34" t="n">
        <v>2025</v>
      </c>
      <c r="D225" s="37" t="n">
        <v>2710</v>
      </c>
      <c r="E225" s="37" t="n">
        <v>14711081.5476</v>
      </c>
      <c r="F225" s="37" t="n">
        <v>13792477.3456</v>
      </c>
      <c r="G225" s="38" t="n">
        <f aca="false">E225-F225</f>
        <v>918604.202000016</v>
      </c>
      <c r="H225" s="39" t="n">
        <f aca="false">IF(F225&lt;&gt;0,G225/ABS(F225),"n/a")</f>
        <v>0.0666018278647429</v>
      </c>
    </row>
    <row r="226" customFormat="false" ht="15" hidden="false" customHeight="false" outlineLevel="0" collapsed="false">
      <c r="A226" s="23" t="s">
        <v>217</v>
      </c>
      <c r="B226" s="23" t="s">
        <v>175</v>
      </c>
      <c r="C226" s="34" t="n">
        <v>2023</v>
      </c>
      <c r="D226" s="37" t="n">
        <v>114</v>
      </c>
      <c r="E226" s="37" t="n">
        <v>507316.2561</v>
      </c>
      <c r="F226" s="37" t="n">
        <v>480894.8639</v>
      </c>
      <c r="G226" s="38" t="n">
        <f aca="false">E226-F226</f>
        <v>26421.3922</v>
      </c>
      <c r="H226" s="39" t="n">
        <f aca="false">IF(F226&lt;&gt;0,G226/ABS(F226),"n/a")</f>
        <v>0.0549421384660374</v>
      </c>
    </row>
    <row r="227" customFormat="false" ht="15" hidden="false" customHeight="false" outlineLevel="0" collapsed="false">
      <c r="A227" s="23" t="s">
        <v>217</v>
      </c>
      <c r="B227" s="23" t="s">
        <v>175</v>
      </c>
      <c r="C227" s="34" t="n">
        <v>2024</v>
      </c>
      <c r="D227" s="37" t="n">
        <v>103</v>
      </c>
      <c r="E227" s="37" t="n">
        <v>555927.8184</v>
      </c>
      <c r="F227" s="37" t="n">
        <v>479018.8505</v>
      </c>
      <c r="G227" s="38" t="n">
        <f aca="false">E227-F227</f>
        <v>76908.9679000003</v>
      </c>
      <c r="H227" s="39" t="n">
        <f aca="false">IF(F227&lt;&gt;0,G227/ABS(F227),"n/a")</f>
        <v>0.160555201156954</v>
      </c>
    </row>
    <row r="228" customFormat="false" ht="15" hidden="false" customHeight="false" outlineLevel="0" collapsed="false">
      <c r="A228" s="23" t="s">
        <v>217</v>
      </c>
      <c r="B228" s="23" t="s">
        <v>175</v>
      </c>
      <c r="C228" s="34" t="n">
        <v>2025</v>
      </c>
      <c r="D228" s="37" t="n">
        <v>113</v>
      </c>
      <c r="E228" s="37" t="n">
        <v>706490.1392</v>
      </c>
      <c r="F228" s="37" t="n">
        <v>545955.5665</v>
      </c>
      <c r="G228" s="38" t="n">
        <f aca="false">E228-F228</f>
        <v>160534.5727</v>
      </c>
      <c r="H228" s="39" t="n">
        <f aca="false">IF(F228&lt;&gt;0,G228/ABS(F228),"n/a")</f>
        <v>0.294043293173382</v>
      </c>
    </row>
    <row r="229" customFormat="false" ht="15" hidden="false" customHeight="false" outlineLevel="0" collapsed="false">
      <c r="A229" s="23" t="s">
        <v>217</v>
      </c>
      <c r="B229" s="23" t="s">
        <v>176</v>
      </c>
      <c r="C229" s="34" t="n">
        <v>2023</v>
      </c>
      <c r="D229" s="37" t="n">
        <v>213</v>
      </c>
      <c r="E229" s="37" t="n">
        <v>192665.0716</v>
      </c>
      <c r="F229" s="37" t="n">
        <v>173376.2145</v>
      </c>
      <c r="G229" s="38" t="n">
        <f aca="false">E229-F229</f>
        <v>19288.8571</v>
      </c>
      <c r="H229" s="39" t="n">
        <f aca="false">IF(F229&lt;&gt;0,G229/ABS(F229),"n/a")</f>
        <v>0.111254344522559</v>
      </c>
    </row>
    <row r="230" customFormat="false" ht="15" hidden="false" customHeight="false" outlineLevel="0" collapsed="false">
      <c r="A230" s="23" t="s">
        <v>217</v>
      </c>
      <c r="B230" s="23" t="s">
        <v>176</v>
      </c>
      <c r="C230" s="34" t="n">
        <v>2024</v>
      </c>
      <c r="D230" s="37" t="n">
        <v>225</v>
      </c>
      <c r="E230" s="37" t="n">
        <v>180904.5069</v>
      </c>
      <c r="F230" s="37" t="n">
        <v>211838.6207</v>
      </c>
      <c r="G230" s="38" t="n">
        <f aca="false">E230-F230</f>
        <v>-30934.1138</v>
      </c>
      <c r="H230" s="39" t="n">
        <f aca="false">IF(F230&lt;&gt;0,G230/ABS(F230),"n/a")</f>
        <v>-0.146026790099847</v>
      </c>
    </row>
    <row r="231" customFormat="false" ht="15" hidden="false" customHeight="false" outlineLevel="0" collapsed="false">
      <c r="A231" s="23" t="s">
        <v>217</v>
      </c>
      <c r="B231" s="23" t="s">
        <v>176</v>
      </c>
      <c r="C231" s="34" t="n">
        <v>2025</v>
      </c>
      <c r="D231" s="37" t="n">
        <v>218</v>
      </c>
      <c r="E231" s="37" t="n">
        <v>190159.562</v>
      </c>
      <c r="F231" s="37" t="n">
        <v>165718.2435</v>
      </c>
      <c r="G231" s="38" t="n">
        <f aca="false">E231-F231</f>
        <v>24441.3185</v>
      </c>
      <c r="H231" s="39" t="n">
        <f aca="false">IF(F231&lt;&gt;0,G231/ABS(F231),"n/a")</f>
        <v>0.147487192621614</v>
      </c>
    </row>
    <row r="232" customFormat="false" ht="15" hidden="false" customHeight="false" outlineLevel="0" collapsed="false">
      <c r="A232" s="23" t="s">
        <v>217</v>
      </c>
      <c r="B232" s="23" t="s">
        <v>177</v>
      </c>
      <c r="C232" s="34" t="n">
        <v>2023</v>
      </c>
      <c r="D232" s="37" t="n">
        <v>113</v>
      </c>
      <c r="E232" s="37" t="n">
        <v>876791.1424</v>
      </c>
      <c r="F232" s="37" t="n">
        <v>812936.1791</v>
      </c>
      <c r="G232" s="38" t="n">
        <f aca="false">E232-F232</f>
        <v>63854.9633000001</v>
      </c>
      <c r="H232" s="39" t="n">
        <f aca="false">IF(F232&lt;&gt;0,G232/ABS(F232),"n/a")</f>
        <v>0.0785485563832253</v>
      </c>
    </row>
    <row r="233" customFormat="false" ht="15" hidden="false" customHeight="false" outlineLevel="0" collapsed="false">
      <c r="A233" s="23" t="s">
        <v>217</v>
      </c>
      <c r="B233" s="23" t="s">
        <v>177</v>
      </c>
      <c r="C233" s="34" t="n">
        <v>2024</v>
      </c>
      <c r="D233" s="37" t="n">
        <v>103</v>
      </c>
      <c r="E233" s="37" t="n">
        <v>687677.242</v>
      </c>
      <c r="F233" s="37" t="n">
        <v>634046.1399</v>
      </c>
      <c r="G233" s="38" t="n">
        <f aca="false">E233-F233</f>
        <v>53631.1021</v>
      </c>
      <c r="H233" s="39" t="n">
        <f aca="false">IF(F233&lt;&gt;0,G233/ABS(F233),"n/a")</f>
        <v>0.0845854879085907</v>
      </c>
    </row>
    <row r="234" customFormat="false" ht="15" hidden="false" customHeight="false" outlineLevel="0" collapsed="false">
      <c r="A234" s="23" t="s">
        <v>217</v>
      </c>
      <c r="B234" s="23" t="s">
        <v>177</v>
      </c>
      <c r="C234" s="34" t="n">
        <v>2025</v>
      </c>
      <c r="D234" s="37" t="n">
        <v>112</v>
      </c>
      <c r="E234" s="37" t="n">
        <v>943030.01</v>
      </c>
      <c r="F234" s="37" t="n">
        <v>979690.318500001</v>
      </c>
      <c r="G234" s="38" t="n">
        <f aca="false">E234-F234</f>
        <v>-36660.3085000004</v>
      </c>
      <c r="H234" s="39" t="n">
        <f aca="false">IF(F234&lt;&gt;0,G234/ABS(F234),"n/a")</f>
        <v>-0.0374203029342281</v>
      </c>
    </row>
    <row r="237" customFormat="false" ht="15" hidden="false" customHeight="false" outlineLevel="0" collapsed="false">
      <c r="A237" s="20" t="s">
        <v>291</v>
      </c>
      <c r="B237" s="21"/>
      <c r="C237" s="21"/>
      <c r="D237" s="21"/>
      <c r="E237" s="21"/>
      <c r="F237" s="21"/>
      <c r="G237" s="21"/>
      <c r="H237" s="21"/>
      <c r="I237" s="21"/>
      <c r="J237" s="21"/>
      <c r="K237" s="21"/>
      <c r="L237" s="21"/>
    </row>
    <row r="238" customFormat="false" ht="27.75" hidden="false" customHeight="true" outlineLevel="0" collapsed="false">
      <c r="A238" s="26" t="s">
        <v>292</v>
      </c>
      <c r="B238" s="26"/>
      <c r="C238" s="26"/>
      <c r="D238" s="26"/>
      <c r="E238" s="26"/>
      <c r="F238" s="26"/>
      <c r="G238" s="26"/>
      <c r="H238" s="26"/>
      <c r="I238" s="26"/>
      <c r="J238" s="26"/>
      <c r="K238" s="26"/>
      <c r="L238" s="26"/>
    </row>
    <row r="239" customFormat="false" ht="43.5" hidden="false" customHeight="true" outlineLevel="0" collapsed="false">
      <c r="A239" s="22" t="s">
        <v>162</v>
      </c>
      <c r="B239" s="22" t="s">
        <v>106</v>
      </c>
      <c r="C239" s="22" t="s">
        <v>288</v>
      </c>
      <c r="D239" s="22" t="s">
        <v>293</v>
      </c>
      <c r="E239" s="22" t="s">
        <v>294</v>
      </c>
      <c r="F239" s="22" t="s">
        <v>295</v>
      </c>
    </row>
    <row r="240" customFormat="false" ht="15" hidden="false" customHeight="false" outlineLevel="0" collapsed="false">
      <c r="A240" s="23" t="s">
        <v>171</v>
      </c>
      <c r="B240" s="34" t="n">
        <v>2024</v>
      </c>
      <c r="C240" s="37" t="n">
        <v>59629580.1804001</v>
      </c>
      <c r="D240" s="37" t="n">
        <v>61295630.9945002</v>
      </c>
      <c r="E240" s="38" t="n">
        <f aca="false">C240-D240</f>
        <v>-1666050.81410003</v>
      </c>
      <c r="F240" s="39" t="n">
        <f aca="false">IF(D240&lt;&gt;0,E240/ABS(D240),"n/a")</f>
        <v>-0.0271805801990932</v>
      </c>
    </row>
    <row r="241" customFormat="false" ht="15" hidden="false" customHeight="false" outlineLevel="0" collapsed="false">
      <c r="A241" s="23" t="s">
        <v>171</v>
      </c>
      <c r="B241" s="34" t="n">
        <v>2025</v>
      </c>
      <c r="C241" s="37" t="n">
        <v>60943343.7325</v>
      </c>
      <c r="D241" s="37" t="n">
        <v>70362583.5628997</v>
      </c>
      <c r="E241" s="38" t="n">
        <f aca="false">C241-D241</f>
        <v>-9419239.83039968</v>
      </c>
      <c r="F241" s="39" t="n">
        <f aca="false">IF(D241&lt;&gt;0,E241/ABS(D241),"n/a")</f>
        <v>-0.133867168506959</v>
      </c>
    </row>
    <row r="242" customFormat="false" ht="15" hidden="false" customHeight="false" outlineLevel="0" collapsed="false">
      <c r="A242" s="23" t="s">
        <v>172</v>
      </c>
      <c r="B242" s="34" t="n">
        <v>2024</v>
      </c>
      <c r="C242" s="37" t="n">
        <v>26730913.0419</v>
      </c>
      <c r="D242" s="37" t="n">
        <v>28820261.6473001</v>
      </c>
      <c r="E242" s="38" t="n">
        <f aca="false">C242-D242</f>
        <v>-2089348.60540007</v>
      </c>
      <c r="F242" s="39" t="n">
        <f aca="false">IF(D242&lt;&gt;0,E242/ABS(D242),"n/a")</f>
        <v>-0.0724958236316291</v>
      </c>
    </row>
    <row r="243" customFormat="false" ht="15" hidden="false" customHeight="false" outlineLevel="0" collapsed="false">
      <c r="A243" s="23" t="s">
        <v>172</v>
      </c>
      <c r="B243" s="34" t="n">
        <v>2025</v>
      </c>
      <c r="C243" s="37" t="n">
        <v>29051354.723</v>
      </c>
      <c r="D243" s="37" t="n">
        <v>30243513.2078</v>
      </c>
      <c r="E243" s="38" t="n">
        <f aca="false">C243-D243</f>
        <v>-1192158.48479999</v>
      </c>
      <c r="F243" s="39" t="n">
        <f aca="false">IF(D243&lt;&gt;0,E243/ABS(D243),"n/a")</f>
        <v>-0.0394186507569009</v>
      </c>
    </row>
    <row r="244" customFormat="false" ht="15" hidden="false" customHeight="false" outlineLevel="0" collapsed="false">
      <c r="A244" s="23" t="s">
        <v>173</v>
      </c>
      <c r="B244" s="34" t="n">
        <v>2024</v>
      </c>
      <c r="C244" s="37" t="n">
        <v>11270438.5058</v>
      </c>
      <c r="D244" s="37" t="n">
        <v>13384753.5674</v>
      </c>
      <c r="E244" s="38" t="n">
        <f aca="false">C244-D244</f>
        <v>-2114315.0616</v>
      </c>
      <c r="F244" s="39" t="n">
        <f aca="false">IF(D244&lt;&gt;0,E244/ABS(D244),"n/a")</f>
        <v>-0.157964436995661</v>
      </c>
    </row>
    <row r="245" customFormat="false" ht="15" hidden="false" customHeight="false" outlineLevel="0" collapsed="false">
      <c r="A245" s="23" t="s">
        <v>173</v>
      </c>
      <c r="B245" s="34" t="n">
        <v>2025</v>
      </c>
      <c r="C245" s="37" t="n">
        <v>12300723.0203</v>
      </c>
      <c r="D245" s="37" t="n">
        <v>13324774.28</v>
      </c>
      <c r="E245" s="38" t="n">
        <f aca="false">C245-D245</f>
        <v>-1024051.25969999</v>
      </c>
      <c r="F245" s="39" t="n">
        <f aca="false">IF(D245&lt;&gt;0,E245/ABS(D245),"n/a")</f>
        <v>-0.0768531787616888</v>
      </c>
    </row>
    <row r="246" customFormat="false" ht="15" hidden="false" customHeight="false" outlineLevel="0" collapsed="false">
      <c r="A246" s="23" t="s">
        <v>174</v>
      </c>
      <c r="B246" s="34" t="n">
        <v>2024</v>
      </c>
      <c r="C246" s="37" t="n">
        <v>13290830.6495</v>
      </c>
      <c r="D246" s="37" t="n">
        <v>13453213.6976</v>
      </c>
      <c r="E246" s="38" t="n">
        <f aca="false">C246-D246</f>
        <v>-162383.048100036</v>
      </c>
      <c r="F246" s="39" t="n">
        <f aca="false">IF(D246&lt;&gt;0,E246/ABS(D246),"n/a")</f>
        <v>-0.0120702050640141</v>
      </c>
    </row>
    <row r="247" customFormat="false" ht="15" hidden="false" customHeight="false" outlineLevel="0" collapsed="false">
      <c r="A247" s="23" t="s">
        <v>174</v>
      </c>
      <c r="B247" s="34" t="n">
        <v>2025</v>
      </c>
      <c r="C247" s="37" t="n">
        <v>13792477.3456</v>
      </c>
      <c r="D247" s="37" t="n">
        <v>14895617.4617</v>
      </c>
      <c r="E247" s="38" t="n">
        <f aca="false">C247-D247</f>
        <v>-1103140.11610002</v>
      </c>
      <c r="F247" s="39" t="n">
        <f aca="false">IF(D247&lt;&gt;0,E247/ABS(D247),"n/a")</f>
        <v>-0.0740580320981284</v>
      </c>
    </row>
    <row r="248" customFormat="false" ht="15" hidden="false" customHeight="false" outlineLevel="0" collapsed="false">
      <c r="A248" s="23" t="s">
        <v>175</v>
      </c>
      <c r="B248" s="34" t="n">
        <v>2024</v>
      </c>
      <c r="C248" s="37" t="n">
        <v>479018.8505</v>
      </c>
      <c r="D248" s="37" t="n">
        <v>557556.0461</v>
      </c>
      <c r="E248" s="38" t="n">
        <f aca="false">C248-D248</f>
        <v>-78537.1955999997</v>
      </c>
      <c r="F248" s="39" t="n">
        <f aca="false">IF(D248&lt;&gt;0,E248/ABS(D248),"n/a")</f>
        <v>-0.140859732666075</v>
      </c>
    </row>
    <row r="249" customFormat="false" ht="15" hidden="false" customHeight="false" outlineLevel="0" collapsed="false">
      <c r="A249" s="23" t="s">
        <v>175</v>
      </c>
      <c r="B249" s="34" t="n">
        <v>2025</v>
      </c>
      <c r="C249" s="37" t="n">
        <v>545955.5665</v>
      </c>
      <c r="D249" s="37" t="n">
        <v>584497.1884</v>
      </c>
      <c r="E249" s="38" t="n">
        <f aca="false">C249-D249</f>
        <v>-38541.6219000001</v>
      </c>
      <c r="F249" s="39" t="n">
        <f aca="false">IF(D249&lt;&gt;0,E249/ABS(D249),"n/a")</f>
        <v>-0.0659397900706824</v>
      </c>
    </row>
    <row r="250" customFormat="false" ht="15" hidden="false" customHeight="false" outlineLevel="0" collapsed="false">
      <c r="A250" s="23" t="s">
        <v>176</v>
      </c>
      <c r="B250" s="34" t="n">
        <v>2024</v>
      </c>
      <c r="C250" s="37" t="n">
        <v>211838.6207</v>
      </c>
      <c r="D250" s="37" t="n">
        <v>204276.6816</v>
      </c>
      <c r="E250" s="38" t="n">
        <f aca="false">C250-D250</f>
        <v>7561.93910000013</v>
      </c>
      <c r="F250" s="39" t="n">
        <f aca="false">IF(D250&lt;&gt;0,E250/ABS(D250),"n/a")</f>
        <v>0.0370181218961026</v>
      </c>
    </row>
    <row r="251" customFormat="false" ht="15" hidden="false" customHeight="false" outlineLevel="0" collapsed="false">
      <c r="A251" s="23" t="s">
        <v>176</v>
      </c>
      <c r="B251" s="34" t="n">
        <v>2025</v>
      </c>
      <c r="C251" s="37" t="n">
        <v>165718.2435</v>
      </c>
      <c r="D251" s="37" t="n">
        <v>193094.7369</v>
      </c>
      <c r="E251" s="38" t="n">
        <f aca="false">C251-D251</f>
        <v>-27376.4934</v>
      </c>
      <c r="F251" s="39" t="n">
        <f aca="false">IF(D251&lt;&gt;0,E251/ABS(D251),"n/a")</f>
        <v>-0.141777522471665</v>
      </c>
    </row>
    <row r="252" customFormat="false" ht="15" hidden="false" customHeight="false" outlineLevel="0" collapsed="false">
      <c r="A252" s="23" t="s">
        <v>177</v>
      </c>
      <c r="B252" s="34" t="n">
        <v>2024</v>
      </c>
      <c r="C252" s="37" t="n">
        <v>634046.1399</v>
      </c>
      <c r="D252" s="37" t="n">
        <v>984864.8824</v>
      </c>
      <c r="E252" s="38" t="n">
        <f aca="false">C252-D252</f>
        <v>-350818.7425</v>
      </c>
      <c r="F252" s="39" t="n">
        <f aca="false">IF(D252&lt;&gt;0,E252/ABS(D252),"n/a")</f>
        <v>-0.356210023089762</v>
      </c>
    </row>
    <row r="253" customFormat="false" ht="15" hidden="false" customHeight="false" outlineLevel="0" collapsed="false">
      <c r="A253" s="23" t="s">
        <v>177</v>
      </c>
      <c r="B253" s="34" t="n">
        <v>2025</v>
      </c>
      <c r="C253" s="37" t="n">
        <v>979690.318500001</v>
      </c>
      <c r="D253" s="37" t="n">
        <v>765343.5603</v>
      </c>
      <c r="E253" s="38" t="n">
        <f aca="false">C253-D253</f>
        <v>214346.7582</v>
      </c>
      <c r="F253" s="39" t="n">
        <f aca="false">IF(D253&lt;&gt;0,E253/ABS(D253),"n/a")</f>
        <v>0.280066063554491</v>
      </c>
    </row>
    <row r="255" customFormat="false" ht="43.5" hidden="false" customHeight="true" outlineLevel="0" collapsed="false">
      <c r="A255" s="22" t="s">
        <v>296</v>
      </c>
      <c r="B255" s="22" t="s">
        <v>162</v>
      </c>
      <c r="C255" s="22" t="s">
        <v>106</v>
      </c>
      <c r="D255" s="22" t="s">
        <v>297</v>
      </c>
      <c r="E255" s="22" t="s">
        <v>298</v>
      </c>
      <c r="F255" s="22" t="s">
        <v>299</v>
      </c>
      <c r="G255" s="22" t="s">
        <v>300</v>
      </c>
      <c r="H255" s="22" t="s">
        <v>301</v>
      </c>
    </row>
    <row r="256" customFormat="false" ht="15" hidden="false" customHeight="false" outlineLevel="0" collapsed="false">
      <c r="A256" s="23" t="s">
        <v>302</v>
      </c>
      <c r="B256" s="23" t="s">
        <v>171</v>
      </c>
      <c r="C256" s="34" t="n">
        <v>2023</v>
      </c>
      <c r="D256" s="37" t="n">
        <v>186625264.040801</v>
      </c>
      <c r="E256" s="37"/>
      <c r="F256" s="37" t="n">
        <v>25750</v>
      </c>
      <c r="G256" s="37"/>
      <c r="H256" s="39" t="str">
        <f aca="false">IF(ISNUMBER(E256),IF(E256&lt;&gt;0,D256/E256-1,"n/a"),"n/a")</f>
        <v>n/a</v>
      </c>
    </row>
    <row r="257" customFormat="false" ht="15" hidden="false" customHeight="false" outlineLevel="0" collapsed="false">
      <c r="A257" s="23" t="s">
        <v>302</v>
      </c>
      <c r="B257" s="23" t="s">
        <v>171</v>
      </c>
      <c r="C257" s="34" t="n">
        <v>2024</v>
      </c>
      <c r="D257" s="37" t="n">
        <v>198393972.048</v>
      </c>
      <c r="E257" s="37" t="n">
        <v>186625264.040801</v>
      </c>
      <c r="F257" s="37" t="n">
        <v>25662</v>
      </c>
      <c r="G257" s="37" t="n">
        <v>25750</v>
      </c>
      <c r="H257" s="39" t="n">
        <f aca="false">IF(ISNUMBER(E257),IF(E257&lt;&gt;0,D257/E257-1,"n/a"),"n/a")</f>
        <v>0.0630606368740416</v>
      </c>
    </row>
    <row r="258" customFormat="false" ht="15" hidden="false" customHeight="false" outlineLevel="0" collapsed="false">
      <c r="A258" s="23" t="s">
        <v>302</v>
      </c>
      <c r="B258" s="23" t="s">
        <v>171</v>
      </c>
      <c r="C258" s="34" t="n">
        <v>2025</v>
      </c>
      <c r="D258" s="37" t="n">
        <v>209698617.226901</v>
      </c>
      <c r="E258" s="37" t="n">
        <v>198393972.048</v>
      </c>
      <c r="F258" s="37" t="n">
        <v>25361</v>
      </c>
      <c r="G258" s="37" t="n">
        <v>25662</v>
      </c>
      <c r="H258" s="39" t="n">
        <f aca="false">IF(ISNUMBER(E258),IF(E258&lt;&gt;0,D258/E258-1,"n/a"),"n/a")</f>
        <v>0.0569807895986192</v>
      </c>
    </row>
    <row r="259" customFormat="false" ht="15" hidden="false" customHeight="false" outlineLevel="0" collapsed="false">
      <c r="A259" s="23" t="s">
        <v>302</v>
      </c>
      <c r="B259" s="23" t="s">
        <v>172</v>
      </c>
      <c r="C259" s="34" t="n">
        <v>2023</v>
      </c>
      <c r="D259" s="37" t="n">
        <v>93563377.7022001</v>
      </c>
      <c r="E259" s="37"/>
      <c r="F259" s="37" t="n">
        <v>9501</v>
      </c>
      <c r="G259" s="37"/>
      <c r="H259" s="39" t="str">
        <f aca="false">IF(ISNUMBER(E259),IF(E259&lt;&gt;0,D259/E259-1,"n/a"),"n/a")</f>
        <v>n/a</v>
      </c>
    </row>
    <row r="260" customFormat="false" ht="15" hidden="false" customHeight="false" outlineLevel="0" collapsed="false">
      <c r="A260" s="23" t="s">
        <v>302</v>
      </c>
      <c r="B260" s="23" t="s">
        <v>172</v>
      </c>
      <c r="C260" s="34" t="n">
        <v>2024</v>
      </c>
      <c r="D260" s="37" t="n">
        <v>100907444.7251</v>
      </c>
      <c r="E260" s="37" t="n">
        <v>93563377.7022001</v>
      </c>
      <c r="F260" s="37" t="n">
        <v>9392</v>
      </c>
      <c r="G260" s="37" t="n">
        <v>9501</v>
      </c>
      <c r="H260" s="39" t="n">
        <f aca="false">IF(ISNUMBER(E260),IF(E260&lt;&gt;0,D260/E260-1,"n/a"),"n/a")</f>
        <v>0.0784929659794373</v>
      </c>
    </row>
    <row r="261" customFormat="false" ht="15" hidden="false" customHeight="false" outlineLevel="0" collapsed="false">
      <c r="A261" s="23" t="s">
        <v>302</v>
      </c>
      <c r="B261" s="23" t="s">
        <v>172</v>
      </c>
      <c r="C261" s="34" t="n">
        <v>2025</v>
      </c>
      <c r="D261" s="37" t="n">
        <v>107860809.9271</v>
      </c>
      <c r="E261" s="37" t="n">
        <v>100907444.7251</v>
      </c>
      <c r="F261" s="37" t="n">
        <v>9541</v>
      </c>
      <c r="G261" s="37" t="n">
        <v>9392</v>
      </c>
      <c r="H261" s="39" t="n">
        <f aca="false">IF(ISNUMBER(E261),IF(E261&lt;&gt;0,D261/E261-1,"n/a"),"n/a")</f>
        <v>0.0689083468612517</v>
      </c>
    </row>
    <row r="262" customFormat="false" ht="15" hidden="false" customHeight="false" outlineLevel="0" collapsed="false">
      <c r="A262" s="23" t="s">
        <v>302</v>
      </c>
      <c r="B262" s="23" t="s">
        <v>173</v>
      </c>
      <c r="C262" s="34" t="n">
        <v>2023</v>
      </c>
      <c r="D262" s="37" t="n">
        <v>40973818.1473</v>
      </c>
      <c r="E262" s="37"/>
      <c r="F262" s="37" t="n">
        <v>2526</v>
      </c>
      <c r="G262" s="37"/>
      <c r="H262" s="39" t="str">
        <f aca="false">IF(ISNUMBER(E262),IF(E262&lt;&gt;0,D262/E262-1,"n/a"),"n/a")</f>
        <v>n/a</v>
      </c>
    </row>
    <row r="263" customFormat="false" ht="15" hidden="false" customHeight="false" outlineLevel="0" collapsed="false">
      <c r="A263" s="23" t="s">
        <v>302</v>
      </c>
      <c r="B263" s="23" t="s">
        <v>173</v>
      </c>
      <c r="C263" s="34" t="n">
        <v>2024</v>
      </c>
      <c r="D263" s="37" t="n">
        <v>43510409.0058</v>
      </c>
      <c r="E263" s="37" t="n">
        <v>40973818.1473</v>
      </c>
      <c r="F263" s="37" t="n">
        <v>2503</v>
      </c>
      <c r="G263" s="37" t="n">
        <v>2526</v>
      </c>
      <c r="H263" s="39" t="n">
        <f aca="false">IF(ISNUMBER(E263),IF(E263&lt;&gt;0,D263/E263-1,"n/a"),"n/a")</f>
        <v>0.0619076027862726</v>
      </c>
    </row>
    <row r="264" customFormat="false" ht="15" hidden="false" customHeight="false" outlineLevel="0" collapsed="false">
      <c r="A264" s="23" t="s">
        <v>302</v>
      </c>
      <c r="B264" s="23" t="s">
        <v>173</v>
      </c>
      <c r="C264" s="34" t="n">
        <v>2025</v>
      </c>
      <c r="D264" s="37" t="n">
        <v>46022635.5023</v>
      </c>
      <c r="E264" s="37" t="n">
        <v>43510409.0058</v>
      </c>
      <c r="F264" s="37" t="n">
        <v>2593</v>
      </c>
      <c r="G264" s="37" t="n">
        <v>2503</v>
      </c>
      <c r="H264" s="39" t="n">
        <f aca="false">IF(ISNUMBER(E264),IF(E264&lt;&gt;0,D264/E264-1,"n/a"),"n/a")</f>
        <v>0.0577385171480496</v>
      </c>
    </row>
    <row r="265" customFormat="false" ht="15" hidden="false" customHeight="false" outlineLevel="0" collapsed="false">
      <c r="A265" s="23" t="s">
        <v>302</v>
      </c>
      <c r="B265" s="23" t="s">
        <v>174</v>
      </c>
      <c r="C265" s="34" t="n">
        <v>2023</v>
      </c>
      <c r="D265" s="37" t="n">
        <v>44279291.0903</v>
      </c>
      <c r="E265" s="37"/>
      <c r="F265" s="37" t="n">
        <v>6747</v>
      </c>
      <c r="G265" s="37"/>
      <c r="H265" s="39" t="str">
        <f aca="false">IF(ISNUMBER(E265),IF(E265&lt;&gt;0,D265/E265-1,"n/a"),"n/a")</f>
        <v>n/a</v>
      </c>
    </row>
    <row r="266" customFormat="false" ht="15" hidden="false" customHeight="false" outlineLevel="0" collapsed="false">
      <c r="A266" s="23" t="s">
        <v>302</v>
      </c>
      <c r="B266" s="23" t="s">
        <v>174</v>
      </c>
      <c r="C266" s="34" t="n">
        <v>2024</v>
      </c>
      <c r="D266" s="37" t="n">
        <v>47494406.7742</v>
      </c>
      <c r="E266" s="37" t="n">
        <v>44279291.0903</v>
      </c>
      <c r="F266" s="37" t="n">
        <v>6692</v>
      </c>
      <c r="G266" s="37" t="n">
        <v>6747</v>
      </c>
      <c r="H266" s="39" t="n">
        <f aca="false">IF(ISNUMBER(E266),IF(E266&lt;&gt;0,D266/E266-1,"n/a"),"n/a")</f>
        <v>0.0726099177455966</v>
      </c>
    </row>
    <row r="267" customFormat="false" ht="15" hidden="false" customHeight="false" outlineLevel="0" collapsed="false">
      <c r="A267" s="23" t="s">
        <v>302</v>
      </c>
      <c r="B267" s="23" t="s">
        <v>174</v>
      </c>
      <c r="C267" s="34" t="n">
        <v>2025</v>
      </c>
      <c r="D267" s="37" t="n">
        <v>50457666.3947</v>
      </c>
      <c r="E267" s="37" t="n">
        <v>47494406.7742</v>
      </c>
      <c r="F267" s="37" t="n">
        <v>6712</v>
      </c>
      <c r="G267" s="37" t="n">
        <v>6692</v>
      </c>
      <c r="H267" s="39" t="n">
        <f aca="false">IF(ISNUMBER(E267),IF(E267&lt;&gt;0,D267/E267-1,"n/a"),"n/a")</f>
        <v>0.0623917598252788</v>
      </c>
    </row>
    <row r="268" customFormat="false" ht="15" hidden="false" customHeight="false" outlineLevel="0" collapsed="false">
      <c r="A268" s="23" t="s">
        <v>302</v>
      </c>
      <c r="B268" s="23" t="s">
        <v>175</v>
      </c>
      <c r="C268" s="34" t="n">
        <v>2023</v>
      </c>
      <c r="D268" s="37" t="n">
        <v>1857171.9487</v>
      </c>
      <c r="E268" s="37"/>
      <c r="F268" s="37" t="n">
        <v>291</v>
      </c>
      <c r="G268" s="37"/>
      <c r="H268" s="39" t="str">
        <f aca="false">IF(ISNUMBER(E268),IF(E268&lt;&gt;0,D268/E268-1,"n/a"),"n/a")</f>
        <v>n/a</v>
      </c>
    </row>
    <row r="269" customFormat="false" ht="15" hidden="false" customHeight="false" outlineLevel="0" collapsed="false">
      <c r="A269" s="23" t="s">
        <v>302</v>
      </c>
      <c r="B269" s="23" t="s">
        <v>175</v>
      </c>
      <c r="C269" s="34" t="n">
        <v>2024</v>
      </c>
      <c r="D269" s="37" t="n">
        <v>2008424.3784</v>
      </c>
      <c r="E269" s="37" t="n">
        <v>1857171.9487</v>
      </c>
      <c r="F269" s="37" t="n">
        <v>273</v>
      </c>
      <c r="G269" s="37" t="n">
        <v>291</v>
      </c>
      <c r="H269" s="39" t="n">
        <f aca="false">IF(ISNUMBER(E269),IF(E269&lt;&gt;0,D269/E269-1,"n/a"),"n/a")</f>
        <v>0.0814423402237339</v>
      </c>
    </row>
    <row r="270" customFormat="false" ht="15" hidden="false" customHeight="false" outlineLevel="0" collapsed="false">
      <c r="A270" s="23" t="s">
        <v>302</v>
      </c>
      <c r="B270" s="23" t="s">
        <v>175</v>
      </c>
      <c r="C270" s="34" t="n">
        <v>2025</v>
      </c>
      <c r="D270" s="37" t="n">
        <v>2066105.3387</v>
      </c>
      <c r="E270" s="37" t="n">
        <v>2008424.3784</v>
      </c>
      <c r="F270" s="37" t="n">
        <v>279</v>
      </c>
      <c r="G270" s="37" t="n">
        <v>273</v>
      </c>
      <c r="H270" s="39" t="n">
        <f aca="false">IF(ISNUMBER(E270),IF(E270&lt;&gt;0,D270/E270-1,"n/a"),"n/a")</f>
        <v>0.0287195081479492</v>
      </c>
    </row>
    <row r="271" customFormat="false" ht="15" hidden="false" customHeight="false" outlineLevel="0" collapsed="false">
      <c r="A271" s="23" t="s">
        <v>302</v>
      </c>
      <c r="B271" s="23" t="s">
        <v>176</v>
      </c>
      <c r="C271" s="34" t="n">
        <v>2023</v>
      </c>
      <c r="D271" s="37" t="n">
        <v>788852.7485</v>
      </c>
      <c r="E271" s="37"/>
      <c r="F271" s="37" t="n">
        <v>556</v>
      </c>
      <c r="G271" s="37"/>
      <c r="H271" s="39" t="str">
        <f aca="false">IF(ISNUMBER(E271),IF(E271&lt;&gt;0,D271/E271-1,"n/a"),"n/a")</f>
        <v>n/a</v>
      </c>
    </row>
    <row r="272" customFormat="false" ht="15" hidden="false" customHeight="false" outlineLevel="0" collapsed="false">
      <c r="A272" s="23" t="s">
        <v>302</v>
      </c>
      <c r="B272" s="23" t="s">
        <v>176</v>
      </c>
      <c r="C272" s="34" t="n">
        <v>2024</v>
      </c>
      <c r="D272" s="37" t="n">
        <v>865112.2115</v>
      </c>
      <c r="E272" s="37" t="n">
        <v>788852.7485</v>
      </c>
      <c r="F272" s="37" t="n">
        <v>566</v>
      </c>
      <c r="G272" s="37" t="n">
        <v>556</v>
      </c>
      <c r="H272" s="39" t="n">
        <f aca="false">IF(ISNUMBER(E272),IF(E272&lt;&gt;0,D272/E272-1,"n/a"),"n/a")</f>
        <v>0.0966713536144825</v>
      </c>
    </row>
    <row r="273" customFormat="false" ht="15" hidden="false" customHeight="false" outlineLevel="0" collapsed="false">
      <c r="A273" s="23" t="s">
        <v>302</v>
      </c>
      <c r="B273" s="23" t="s">
        <v>176</v>
      </c>
      <c r="C273" s="34" t="n">
        <v>2025</v>
      </c>
      <c r="D273" s="37" t="n">
        <v>886030.209400001</v>
      </c>
      <c r="E273" s="37" t="n">
        <v>865112.2115</v>
      </c>
      <c r="F273" s="37" t="n">
        <v>551</v>
      </c>
      <c r="G273" s="37" t="n">
        <v>566</v>
      </c>
      <c r="H273" s="39" t="n">
        <f aca="false">IF(ISNUMBER(E273),IF(E273&lt;&gt;0,D273/E273-1,"n/a"),"n/a")</f>
        <v>0.0241795198610499</v>
      </c>
    </row>
    <row r="274" customFormat="false" ht="15" hidden="false" customHeight="false" outlineLevel="0" collapsed="false">
      <c r="A274" s="23" t="s">
        <v>302</v>
      </c>
      <c r="B274" s="23" t="s">
        <v>177</v>
      </c>
      <c r="C274" s="34" t="n">
        <v>2023</v>
      </c>
      <c r="D274" s="37" t="n">
        <v>2924802.2353</v>
      </c>
      <c r="E274" s="37"/>
      <c r="F274" s="37" t="n">
        <v>282</v>
      </c>
      <c r="G274" s="37"/>
      <c r="H274" s="39" t="str">
        <f aca="false">IF(ISNUMBER(E274),IF(E274&lt;&gt;0,D274/E274-1,"n/a"),"n/a")</f>
        <v>n/a</v>
      </c>
    </row>
    <row r="275" customFormat="false" ht="15" hidden="false" customHeight="false" outlineLevel="0" collapsed="false">
      <c r="A275" s="23" t="s">
        <v>302</v>
      </c>
      <c r="B275" s="23" t="s">
        <v>177</v>
      </c>
      <c r="C275" s="34" t="n">
        <v>2024</v>
      </c>
      <c r="D275" s="37" t="n">
        <v>3103133.18</v>
      </c>
      <c r="E275" s="37" t="n">
        <v>2924802.2353</v>
      </c>
      <c r="F275" s="37" t="n">
        <v>282</v>
      </c>
      <c r="G275" s="37" t="n">
        <v>282</v>
      </c>
      <c r="H275" s="39" t="n">
        <f aca="false">IF(ISNUMBER(E275),IF(E275&lt;&gt;0,D275/E275-1,"n/a"),"n/a")</f>
        <v>0.0609719667701603</v>
      </c>
    </row>
    <row r="276" customFormat="false" ht="15" hidden="false" customHeight="false" outlineLevel="0" collapsed="false">
      <c r="A276" s="23" t="s">
        <v>302</v>
      </c>
      <c r="B276" s="23" t="s">
        <v>177</v>
      </c>
      <c r="C276" s="34" t="n">
        <v>2025</v>
      </c>
      <c r="D276" s="37" t="n">
        <v>3232735.0851</v>
      </c>
      <c r="E276" s="37" t="n">
        <v>3103133.18</v>
      </c>
      <c r="F276" s="37" t="n">
        <v>270</v>
      </c>
      <c r="G276" s="37" t="n">
        <v>282</v>
      </c>
      <c r="H276" s="39" t="n">
        <f aca="false">IF(ISNUMBER(E276),IF(E276&lt;&gt;0,D276/E276-1,"n/a"),"n/a")</f>
        <v>0.0417648542883347</v>
      </c>
    </row>
    <row r="277" customFormat="false" ht="15" hidden="false" customHeight="false" outlineLevel="0" collapsed="false">
      <c r="A277" s="23" t="s">
        <v>303</v>
      </c>
      <c r="B277" s="23" t="s">
        <v>171</v>
      </c>
      <c r="C277" s="34" t="n">
        <v>2023</v>
      </c>
      <c r="D277" s="37" t="n">
        <v>147998814.4742</v>
      </c>
      <c r="E277" s="37"/>
      <c r="F277" s="37" t="n">
        <v>25750</v>
      </c>
      <c r="G277" s="37"/>
      <c r="H277" s="39" t="str">
        <f aca="false">IF(ISNUMBER(E277),IF(E277&lt;&gt;0,D277/E277-1,"n/a"),"n/a")</f>
        <v>n/a</v>
      </c>
    </row>
    <row r="278" customFormat="false" ht="15" hidden="false" customHeight="false" outlineLevel="0" collapsed="false">
      <c r="A278" s="23" t="s">
        <v>303</v>
      </c>
      <c r="B278" s="23" t="s">
        <v>171</v>
      </c>
      <c r="C278" s="34" t="n">
        <v>2024</v>
      </c>
      <c r="D278" s="37" t="n">
        <v>158433106.011</v>
      </c>
      <c r="E278" s="37" t="n">
        <v>147998814.4742</v>
      </c>
      <c r="F278" s="37" t="n">
        <v>25662</v>
      </c>
      <c r="G278" s="37" t="n">
        <v>25750</v>
      </c>
      <c r="H278" s="39" t="n">
        <f aca="false">IF(ISNUMBER(E278),IF(E278&lt;&gt;0,D278/E278-1,"n/a"),"n/a")</f>
        <v>0.0705025345903634</v>
      </c>
    </row>
    <row r="279" customFormat="false" ht="15" hidden="false" customHeight="false" outlineLevel="0" collapsed="false">
      <c r="A279" s="23" t="s">
        <v>303</v>
      </c>
      <c r="B279" s="23" t="s">
        <v>171</v>
      </c>
      <c r="C279" s="34" t="n">
        <v>2025</v>
      </c>
      <c r="D279" s="37" t="n">
        <v>165145592.6733</v>
      </c>
      <c r="E279" s="37" t="n">
        <v>158433106.011</v>
      </c>
      <c r="F279" s="37" t="n">
        <v>25361</v>
      </c>
      <c r="G279" s="37" t="n">
        <v>25662</v>
      </c>
      <c r="H279" s="39" t="n">
        <f aca="false">IF(ISNUMBER(E279),IF(E279&lt;&gt;0,D279/E279-1,"n/a"),"n/a")</f>
        <v>0.0423679547242757</v>
      </c>
    </row>
    <row r="280" customFormat="false" ht="15" hidden="false" customHeight="false" outlineLevel="0" collapsed="false">
      <c r="A280" s="23" t="s">
        <v>303</v>
      </c>
      <c r="B280" s="23" t="s">
        <v>172</v>
      </c>
      <c r="C280" s="34" t="n">
        <v>2023</v>
      </c>
      <c r="D280" s="37" t="n">
        <v>67981686.8780002</v>
      </c>
      <c r="E280" s="37"/>
      <c r="F280" s="37" t="n">
        <v>9501</v>
      </c>
      <c r="G280" s="37"/>
      <c r="H280" s="39" t="str">
        <f aca="false">IF(ISNUMBER(E280),IF(E280&lt;&gt;0,D280/E280-1,"n/a"),"n/a")</f>
        <v>n/a</v>
      </c>
    </row>
    <row r="281" customFormat="false" ht="15" hidden="false" customHeight="false" outlineLevel="0" collapsed="false">
      <c r="A281" s="23" t="s">
        <v>303</v>
      </c>
      <c r="B281" s="23" t="s">
        <v>172</v>
      </c>
      <c r="C281" s="34" t="n">
        <v>2024</v>
      </c>
      <c r="D281" s="37" t="n">
        <v>72648135.3237001</v>
      </c>
      <c r="E281" s="37" t="n">
        <v>67981686.8780002</v>
      </c>
      <c r="F281" s="37" t="n">
        <v>9392</v>
      </c>
      <c r="G281" s="37" t="n">
        <v>9501</v>
      </c>
      <c r="H281" s="39" t="n">
        <f aca="false">IF(ISNUMBER(E281),IF(E281&lt;&gt;0,D281/E281-1,"n/a"),"n/a")</f>
        <v>0.0686427280640207</v>
      </c>
    </row>
    <row r="282" customFormat="false" ht="15" hidden="false" customHeight="false" outlineLevel="0" collapsed="false">
      <c r="A282" s="23" t="s">
        <v>303</v>
      </c>
      <c r="B282" s="23" t="s">
        <v>172</v>
      </c>
      <c r="C282" s="34" t="n">
        <v>2025</v>
      </c>
      <c r="D282" s="37" t="n">
        <v>79164435.7463005</v>
      </c>
      <c r="E282" s="37" t="n">
        <v>72648135.3237001</v>
      </c>
      <c r="F282" s="37" t="n">
        <v>9541</v>
      </c>
      <c r="G282" s="37" t="n">
        <v>9392</v>
      </c>
      <c r="H282" s="39" t="n">
        <f aca="false">IF(ISNUMBER(E282),IF(E282&lt;&gt;0,D282/E282-1,"n/a"),"n/a")</f>
        <v>0.0896967333513168</v>
      </c>
    </row>
    <row r="283" customFormat="false" ht="15" hidden="false" customHeight="false" outlineLevel="0" collapsed="false">
      <c r="A283" s="23" t="s">
        <v>303</v>
      </c>
      <c r="B283" s="23" t="s">
        <v>173</v>
      </c>
      <c r="C283" s="34" t="n">
        <v>2023</v>
      </c>
      <c r="D283" s="37" t="n">
        <v>30453325.3197</v>
      </c>
      <c r="E283" s="37"/>
      <c r="F283" s="37" t="n">
        <v>2526</v>
      </c>
      <c r="G283" s="37"/>
      <c r="H283" s="39" t="str">
        <f aca="false">IF(ISNUMBER(E283),IF(E283&lt;&gt;0,D283/E283-1,"n/a"),"n/a")</f>
        <v>n/a</v>
      </c>
    </row>
    <row r="284" customFormat="false" ht="15" hidden="false" customHeight="false" outlineLevel="0" collapsed="false">
      <c r="A284" s="23" t="s">
        <v>303</v>
      </c>
      <c r="B284" s="23" t="s">
        <v>173</v>
      </c>
      <c r="C284" s="34" t="n">
        <v>2024</v>
      </c>
      <c r="D284" s="37" t="n">
        <v>31347889.9178</v>
      </c>
      <c r="E284" s="37" t="n">
        <v>30453325.3197</v>
      </c>
      <c r="F284" s="37" t="n">
        <v>2503</v>
      </c>
      <c r="G284" s="37" t="n">
        <v>2526</v>
      </c>
      <c r="H284" s="39" t="n">
        <f aca="false">IF(ISNUMBER(E284),IF(E284&lt;&gt;0,D284/E284-1,"n/a"),"n/a")</f>
        <v>0.0293749398040715</v>
      </c>
    </row>
    <row r="285" customFormat="false" ht="15" hidden="false" customHeight="false" outlineLevel="0" collapsed="false">
      <c r="A285" s="23" t="s">
        <v>303</v>
      </c>
      <c r="B285" s="23" t="s">
        <v>173</v>
      </c>
      <c r="C285" s="34" t="n">
        <v>2025</v>
      </c>
      <c r="D285" s="37" t="n">
        <v>32577120.9977</v>
      </c>
      <c r="E285" s="37" t="n">
        <v>31347889.9178</v>
      </c>
      <c r="F285" s="37" t="n">
        <v>2593</v>
      </c>
      <c r="G285" s="37" t="n">
        <v>2503</v>
      </c>
      <c r="H285" s="39" t="n">
        <f aca="false">IF(ISNUMBER(E285),IF(E285&lt;&gt;0,D285/E285-1,"n/a"),"n/a")</f>
        <v>0.0392125620934396</v>
      </c>
    </row>
    <row r="286" customFormat="false" ht="15" hidden="false" customHeight="false" outlineLevel="0" collapsed="false">
      <c r="A286" s="23" t="s">
        <v>303</v>
      </c>
      <c r="B286" s="23" t="s">
        <v>174</v>
      </c>
      <c r="C286" s="34" t="n">
        <v>2023</v>
      </c>
      <c r="D286" s="37" t="n">
        <v>32215318.9183</v>
      </c>
      <c r="E286" s="37"/>
      <c r="F286" s="37" t="n">
        <v>6747</v>
      </c>
      <c r="G286" s="37"/>
      <c r="H286" s="39" t="str">
        <f aca="false">IF(ISNUMBER(E286),IF(E286&lt;&gt;0,D286/E286-1,"n/a"),"n/a")</f>
        <v>n/a</v>
      </c>
    </row>
    <row r="287" customFormat="false" ht="15" hidden="false" customHeight="false" outlineLevel="0" collapsed="false">
      <c r="A287" s="23" t="s">
        <v>303</v>
      </c>
      <c r="B287" s="23" t="s">
        <v>174</v>
      </c>
      <c r="C287" s="34" t="n">
        <v>2024</v>
      </c>
      <c r="D287" s="37" t="n">
        <v>34093830.9192</v>
      </c>
      <c r="E287" s="37" t="n">
        <v>32215318.9183</v>
      </c>
      <c r="F287" s="37" t="n">
        <v>6692</v>
      </c>
      <c r="G287" s="37" t="n">
        <v>6747</v>
      </c>
      <c r="H287" s="39" t="n">
        <f aca="false">IF(ISNUMBER(E287),IF(E287&lt;&gt;0,D287/E287-1,"n/a"),"n/a")</f>
        <v>0.0583111409098267</v>
      </c>
    </row>
    <row r="288" customFormat="false" ht="15" hidden="false" customHeight="false" outlineLevel="0" collapsed="false">
      <c r="A288" s="23" t="s">
        <v>303</v>
      </c>
      <c r="B288" s="23" t="s">
        <v>174</v>
      </c>
      <c r="C288" s="34" t="n">
        <v>2025</v>
      </c>
      <c r="D288" s="37" t="n">
        <v>37214584.7843</v>
      </c>
      <c r="E288" s="37" t="n">
        <v>34093830.9192</v>
      </c>
      <c r="F288" s="37" t="n">
        <v>6712</v>
      </c>
      <c r="G288" s="37" t="n">
        <v>6692</v>
      </c>
      <c r="H288" s="39" t="n">
        <f aca="false">IF(ISNUMBER(E288),IF(E288&lt;&gt;0,D288/E288-1,"n/a"),"n/a")</f>
        <v>0.0915342682521061</v>
      </c>
    </row>
    <row r="289" customFormat="false" ht="15" hidden="false" customHeight="false" outlineLevel="0" collapsed="false">
      <c r="A289" s="23" t="s">
        <v>303</v>
      </c>
      <c r="B289" s="23" t="s">
        <v>175</v>
      </c>
      <c r="C289" s="34" t="n">
        <v>2023</v>
      </c>
      <c r="D289" s="37" t="n">
        <v>1373329.1617</v>
      </c>
      <c r="E289" s="37"/>
      <c r="F289" s="37" t="n">
        <v>291</v>
      </c>
      <c r="G289" s="37"/>
      <c r="H289" s="39" t="str">
        <f aca="false">IF(ISNUMBER(E289),IF(E289&lt;&gt;0,D289/E289-1,"n/a"),"n/a")</f>
        <v>n/a</v>
      </c>
    </row>
    <row r="290" customFormat="false" ht="15" hidden="false" customHeight="false" outlineLevel="0" collapsed="false">
      <c r="A290" s="23" t="s">
        <v>303</v>
      </c>
      <c r="B290" s="23" t="s">
        <v>175</v>
      </c>
      <c r="C290" s="34" t="n">
        <v>2024</v>
      </c>
      <c r="D290" s="37" t="n">
        <v>1469970.6584</v>
      </c>
      <c r="E290" s="37" t="n">
        <v>1373329.1617</v>
      </c>
      <c r="F290" s="37" t="n">
        <v>273</v>
      </c>
      <c r="G290" s="37" t="n">
        <v>291</v>
      </c>
      <c r="H290" s="39" t="n">
        <f aca="false">IF(ISNUMBER(E290),IF(E290&lt;&gt;0,D290/E290-1,"n/a"),"n/a")</f>
        <v>0.0703702356253544</v>
      </c>
    </row>
    <row r="291" customFormat="false" ht="15" hidden="false" customHeight="false" outlineLevel="0" collapsed="false">
      <c r="A291" s="23" t="s">
        <v>303</v>
      </c>
      <c r="B291" s="23" t="s">
        <v>175</v>
      </c>
      <c r="C291" s="34" t="n">
        <v>2025</v>
      </c>
      <c r="D291" s="37" t="n">
        <v>1587649.7705</v>
      </c>
      <c r="E291" s="37" t="n">
        <v>1469970.6584</v>
      </c>
      <c r="F291" s="37" t="n">
        <v>279</v>
      </c>
      <c r="G291" s="37" t="n">
        <v>273</v>
      </c>
      <c r="H291" s="39" t="n">
        <f aca="false">IF(ISNUMBER(E291),IF(E291&lt;&gt;0,D291/E291-1,"n/a"),"n/a")</f>
        <v>0.0800554156829829</v>
      </c>
    </row>
    <row r="292" customFormat="false" ht="15" hidden="false" customHeight="false" outlineLevel="0" collapsed="false">
      <c r="A292" s="23" t="s">
        <v>303</v>
      </c>
      <c r="B292" s="23" t="s">
        <v>176</v>
      </c>
      <c r="C292" s="34" t="n">
        <v>2023</v>
      </c>
      <c r="D292" s="37" t="n">
        <v>400022.2167</v>
      </c>
      <c r="E292" s="37"/>
      <c r="F292" s="37" t="n">
        <v>556</v>
      </c>
      <c r="G292" s="37"/>
      <c r="H292" s="39" t="str">
        <f aca="false">IF(ISNUMBER(E292),IF(E292&lt;&gt;0,D292/E292-1,"n/a"),"n/a")</f>
        <v>n/a</v>
      </c>
    </row>
    <row r="293" customFormat="false" ht="15" hidden="false" customHeight="false" outlineLevel="0" collapsed="false">
      <c r="A293" s="23" t="s">
        <v>303</v>
      </c>
      <c r="B293" s="23" t="s">
        <v>176</v>
      </c>
      <c r="C293" s="34" t="n">
        <v>2024</v>
      </c>
      <c r="D293" s="37" t="n">
        <v>476232.6279</v>
      </c>
      <c r="E293" s="37" t="n">
        <v>400022.2167</v>
      </c>
      <c r="F293" s="37" t="n">
        <v>566</v>
      </c>
      <c r="G293" s="37" t="n">
        <v>556</v>
      </c>
      <c r="H293" s="39" t="n">
        <f aca="false">IF(ISNUMBER(E293),IF(E293&lt;&gt;0,D293/E293-1,"n/a"),"n/a")</f>
        <v>0.190515446438703</v>
      </c>
    </row>
    <row r="294" customFormat="false" ht="15" hidden="false" customHeight="false" outlineLevel="0" collapsed="false">
      <c r="A294" s="23" t="s">
        <v>303</v>
      </c>
      <c r="B294" s="23" t="s">
        <v>176</v>
      </c>
      <c r="C294" s="34" t="n">
        <v>2025</v>
      </c>
      <c r="D294" s="37" t="n">
        <v>457377.97</v>
      </c>
      <c r="E294" s="37" t="n">
        <v>476232.6279</v>
      </c>
      <c r="F294" s="37" t="n">
        <v>551</v>
      </c>
      <c r="G294" s="37" t="n">
        <v>566</v>
      </c>
      <c r="H294" s="39" t="n">
        <f aca="false">IF(ISNUMBER(E294),IF(E294&lt;&gt;0,D294/E294-1,"n/a"),"n/a")</f>
        <v>-0.0395912770259808</v>
      </c>
    </row>
    <row r="295" customFormat="false" ht="15" hidden="false" customHeight="false" outlineLevel="0" collapsed="false">
      <c r="A295" s="23" t="s">
        <v>303</v>
      </c>
      <c r="B295" s="23" t="s">
        <v>177</v>
      </c>
      <c r="C295" s="34" t="n">
        <v>2023</v>
      </c>
      <c r="D295" s="37" t="n">
        <v>2357109.9685</v>
      </c>
      <c r="E295" s="37"/>
      <c r="F295" s="37" t="n">
        <v>282</v>
      </c>
      <c r="G295" s="37"/>
      <c r="H295" s="39" t="str">
        <f aca="false">IF(ISNUMBER(E295),IF(E295&lt;&gt;0,D295/E295-1,"n/a"),"n/a")</f>
        <v>n/a</v>
      </c>
    </row>
    <row r="296" customFormat="false" ht="15" hidden="false" customHeight="false" outlineLevel="0" collapsed="false">
      <c r="A296" s="23" t="s">
        <v>303</v>
      </c>
      <c r="B296" s="23" t="s">
        <v>177</v>
      </c>
      <c r="C296" s="34" t="n">
        <v>2024</v>
      </c>
      <c r="D296" s="37" t="n">
        <v>2223015.0306</v>
      </c>
      <c r="E296" s="37" t="n">
        <v>2357109.9685</v>
      </c>
      <c r="F296" s="37" t="n">
        <v>282</v>
      </c>
      <c r="G296" s="37" t="n">
        <v>282</v>
      </c>
      <c r="H296" s="39" t="n">
        <f aca="false">IF(ISNUMBER(E296),IF(E296&lt;&gt;0,D296/E296-1,"n/a"),"n/a")</f>
        <v>-0.0568895552995076</v>
      </c>
    </row>
    <row r="297" customFormat="false" ht="15" hidden="false" customHeight="false" outlineLevel="0" collapsed="false">
      <c r="A297" s="23" t="s">
        <v>303</v>
      </c>
      <c r="B297" s="23" t="s">
        <v>177</v>
      </c>
      <c r="C297" s="34" t="n">
        <v>2025</v>
      </c>
      <c r="D297" s="37" t="n">
        <v>2202143.4911</v>
      </c>
      <c r="E297" s="37" t="n">
        <v>2223015.0306</v>
      </c>
      <c r="F297" s="37" t="n">
        <v>270</v>
      </c>
      <c r="G297" s="37" t="n">
        <v>282</v>
      </c>
      <c r="H297" s="39" t="n">
        <f aca="false">IF(ISNUMBER(E297),IF(E297&lt;&gt;0,D297/E297-1,"n/a"),"n/a")</f>
        <v>-0.00938884317591215</v>
      </c>
    </row>
    <row r="298" customFormat="false" ht="15" hidden="false" customHeight="false" outlineLevel="0" collapsed="false">
      <c r="A298" s="23" t="s">
        <v>304</v>
      </c>
      <c r="B298" s="23" t="s">
        <v>171</v>
      </c>
      <c r="C298" s="34" t="n">
        <v>2023</v>
      </c>
      <c r="D298" s="37" t="n">
        <v>61295630.9944999</v>
      </c>
      <c r="E298" s="37"/>
      <c r="F298" s="37" t="n">
        <v>10962</v>
      </c>
      <c r="G298" s="37"/>
      <c r="H298" s="39" t="str">
        <f aca="false">IF(ISNUMBER(E298),IF(E298&lt;&gt;0,D298/E298-1,"n/a"),"n/a")</f>
        <v>n/a</v>
      </c>
    </row>
    <row r="299" customFormat="false" ht="15" hidden="false" customHeight="false" outlineLevel="0" collapsed="false">
      <c r="A299" s="23" t="s">
        <v>304</v>
      </c>
      <c r="B299" s="23" t="s">
        <v>171</v>
      </c>
      <c r="C299" s="34" t="n">
        <v>2024</v>
      </c>
      <c r="D299" s="37" t="n">
        <v>70362583.5629</v>
      </c>
      <c r="E299" s="37" t="n">
        <v>61295630.9944999</v>
      </c>
      <c r="F299" s="37" t="n">
        <v>10954</v>
      </c>
      <c r="G299" s="37" t="n">
        <v>10962</v>
      </c>
      <c r="H299" s="39" t="n">
        <f aca="false">IF(ISNUMBER(E299),IF(E299&lt;&gt;0,D299/E299-1,"n/a"),"n/a")</f>
        <v>0.147921677634963</v>
      </c>
    </row>
    <row r="300" customFormat="false" ht="15" hidden="false" customHeight="false" outlineLevel="0" collapsed="false">
      <c r="A300" s="23" t="s">
        <v>304</v>
      </c>
      <c r="B300" s="23" t="s">
        <v>171</v>
      </c>
      <c r="C300" s="34" t="n">
        <v>2025</v>
      </c>
      <c r="D300" s="37" t="n">
        <v>70990787.5948</v>
      </c>
      <c r="E300" s="37" t="n">
        <v>70362583.5629</v>
      </c>
      <c r="F300" s="37" t="n">
        <v>10897</v>
      </c>
      <c r="G300" s="37" t="n">
        <v>10954</v>
      </c>
      <c r="H300" s="39" t="n">
        <f aca="false">IF(ISNUMBER(E300),IF(E300&lt;&gt;0,D300/E300-1,"n/a"),"n/a")</f>
        <v>0.0089280978623878</v>
      </c>
    </row>
    <row r="301" customFormat="false" ht="15" hidden="false" customHeight="false" outlineLevel="0" collapsed="false">
      <c r="A301" s="23" t="s">
        <v>304</v>
      </c>
      <c r="B301" s="23" t="s">
        <v>172</v>
      </c>
      <c r="C301" s="34" t="n">
        <v>2023</v>
      </c>
      <c r="D301" s="37" t="n">
        <v>28820261.6473</v>
      </c>
      <c r="E301" s="37"/>
      <c r="F301" s="37" t="n">
        <v>4130</v>
      </c>
      <c r="G301" s="37"/>
      <c r="H301" s="39" t="str">
        <f aca="false">IF(ISNUMBER(E301),IF(E301&lt;&gt;0,D301/E301-1,"n/a"),"n/a")</f>
        <v>n/a</v>
      </c>
    </row>
    <row r="302" customFormat="false" ht="15" hidden="false" customHeight="false" outlineLevel="0" collapsed="false">
      <c r="A302" s="23" t="s">
        <v>304</v>
      </c>
      <c r="B302" s="23" t="s">
        <v>172</v>
      </c>
      <c r="C302" s="34" t="n">
        <v>2024</v>
      </c>
      <c r="D302" s="37" t="n">
        <v>30243513.2078</v>
      </c>
      <c r="E302" s="37" t="n">
        <v>28820261.6473</v>
      </c>
      <c r="F302" s="37" t="n">
        <v>4017</v>
      </c>
      <c r="G302" s="37" t="n">
        <v>4130</v>
      </c>
      <c r="H302" s="39" t="n">
        <f aca="false">IF(ISNUMBER(E302),IF(E302&lt;&gt;0,D302/E302-1,"n/a"),"n/a")</f>
        <v>0.0493837140660827</v>
      </c>
    </row>
    <row r="303" customFormat="false" ht="15" hidden="false" customHeight="false" outlineLevel="0" collapsed="false">
      <c r="A303" s="23" t="s">
        <v>304</v>
      </c>
      <c r="B303" s="23" t="s">
        <v>172</v>
      </c>
      <c r="C303" s="34" t="n">
        <v>2025</v>
      </c>
      <c r="D303" s="37" t="n">
        <v>33744243.0471</v>
      </c>
      <c r="E303" s="37" t="n">
        <v>30243513.2078</v>
      </c>
      <c r="F303" s="37" t="n">
        <v>4051</v>
      </c>
      <c r="G303" s="37" t="n">
        <v>4017</v>
      </c>
      <c r="H303" s="39" t="n">
        <f aca="false">IF(ISNUMBER(E303),IF(E303&lt;&gt;0,D303/E303-1,"n/a"),"n/a")</f>
        <v>0.115751427925947</v>
      </c>
    </row>
    <row r="304" customFormat="false" ht="15" hidden="false" customHeight="false" outlineLevel="0" collapsed="false">
      <c r="A304" s="23" t="s">
        <v>304</v>
      </c>
      <c r="B304" s="23" t="s">
        <v>173</v>
      </c>
      <c r="C304" s="34" t="n">
        <v>2023</v>
      </c>
      <c r="D304" s="37" t="n">
        <v>13384753.5674</v>
      </c>
      <c r="E304" s="37"/>
      <c r="F304" s="37" t="n">
        <v>1106</v>
      </c>
      <c r="G304" s="37"/>
      <c r="H304" s="39" t="str">
        <f aca="false">IF(ISNUMBER(E304),IF(E304&lt;&gt;0,D304/E304-1,"n/a"),"n/a")</f>
        <v>n/a</v>
      </c>
    </row>
    <row r="305" customFormat="false" ht="15" hidden="false" customHeight="false" outlineLevel="0" collapsed="false">
      <c r="A305" s="23" t="s">
        <v>304</v>
      </c>
      <c r="B305" s="23" t="s">
        <v>173</v>
      </c>
      <c r="C305" s="34" t="n">
        <v>2024</v>
      </c>
      <c r="D305" s="37" t="n">
        <v>13324774.28</v>
      </c>
      <c r="E305" s="37" t="n">
        <v>13384753.5674</v>
      </c>
      <c r="F305" s="37" t="n">
        <v>1083</v>
      </c>
      <c r="G305" s="37" t="n">
        <v>1106</v>
      </c>
      <c r="H305" s="39" t="n">
        <f aca="false">IF(ISNUMBER(E305),IF(E305&lt;&gt;0,D305/E305-1,"n/a"),"n/a")</f>
        <v>-0.00448116486403538</v>
      </c>
    </row>
    <row r="306" customFormat="false" ht="15" hidden="false" customHeight="false" outlineLevel="0" collapsed="false">
      <c r="A306" s="23" t="s">
        <v>304</v>
      </c>
      <c r="B306" s="23" t="s">
        <v>173</v>
      </c>
      <c r="C306" s="34" t="n">
        <v>2025</v>
      </c>
      <c r="D306" s="37" t="n">
        <v>12999411.4605</v>
      </c>
      <c r="E306" s="37" t="n">
        <v>13324774.28</v>
      </c>
      <c r="F306" s="37" t="n">
        <v>1096</v>
      </c>
      <c r="G306" s="37" t="n">
        <v>1083</v>
      </c>
      <c r="H306" s="39" t="n">
        <f aca="false">IF(ISNUMBER(E306),IF(E306&lt;&gt;0,D306/E306-1,"n/a"),"n/a")</f>
        <v>-0.0244178860116495</v>
      </c>
    </row>
    <row r="307" customFormat="false" ht="15" hidden="false" customHeight="false" outlineLevel="0" collapsed="false">
      <c r="A307" s="23" t="s">
        <v>304</v>
      </c>
      <c r="B307" s="23" t="s">
        <v>174</v>
      </c>
      <c r="C307" s="34" t="n">
        <v>2023</v>
      </c>
      <c r="D307" s="37" t="n">
        <v>13453213.6976</v>
      </c>
      <c r="E307" s="37"/>
      <c r="F307" s="37" t="n">
        <v>2849</v>
      </c>
      <c r="G307" s="37"/>
      <c r="H307" s="39" t="str">
        <f aca="false">IF(ISNUMBER(E307),IF(E307&lt;&gt;0,D307/E307-1,"n/a"),"n/a")</f>
        <v>n/a</v>
      </c>
    </row>
    <row r="308" customFormat="false" ht="15" hidden="false" customHeight="false" outlineLevel="0" collapsed="false">
      <c r="A308" s="23" t="s">
        <v>304</v>
      </c>
      <c r="B308" s="23" t="s">
        <v>174</v>
      </c>
      <c r="C308" s="34" t="n">
        <v>2024</v>
      </c>
      <c r="D308" s="37" t="n">
        <v>14895617.4617</v>
      </c>
      <c r="E308" s="37" t="n">
        <v>13453213.6976</v>
      </c>
      <c r="F308" s="37" t="n">
        <v>2930</v>
      </c>
      <c r="G308" s="37" t="n">
        <v>2849</v>
      </c>
      <c r="H308" s="39" t="n">
        <f aca="false">IF(ISNUMBER(E308),IF(E308&lt;&gt;0,D308/E308-1,"n/a"),"n/a")</f>
        <v>0.107216297646214</v>
      </c>
    </row>
    <row r="309" customFormat="false" ht="15" hidden="false" customHeight="false" outlineLevel="0" collapsed="false">
      <c r="A309" s="23" t="s">
        <v>304</v>
      </c>
      <c r="B309" s="23" t="s">
        <v>174</v>
      </c>
      <c r="C309" s="34" t="n">
        <v>2025</v>
      </c>
      <c r="D309" s="37" t="n">
        <v>15463967.6183</v>
      </c>
      <c r="E309" s="37" t="n">
        <v>14895617.4617</v>
      </c>
      <c r="F309" s="37" t="n">
        <v>2866</v>
      </c>
      <c r="G309" s="37" t="n">
        <v>2930</v>
      </c>
      <c r="H309" s="39" t="n">
        <f aca="false">IF(ISNUMBER(E309),IF(E309&lt;&gt;0,D309/E309-1,"n/a"),"n/a")</f>
        <v>0.0381555285010067</v>
      </c>
    </row>
    <row r="310" customFormat="false" ht="15" hidden="false" customHeight="false" outlineLevel="0" collapsed="false">
      <c r="A310" s="23" t="s">
        <v>304</v>
      </c>
      <c r="B310" s="23" t="s">
        <v>175</v>
      </c>
      <c r="C310" s="34" t="n">
        <v>2023</v>
      </c>
      <c r="D310" s="37" t="n">
        <v>557556.0461</v>
      </c>
      <c r="E310" s="37"/>
      <c r="F310" s="37" t="n">
        <v>121</v>
      </c>
      <c r="G310" s="37"/>
      <c r="H310" s="39" t="str">
        <f aca="false">IF(ISNUMBER(E310),IF(E310&lt;&gt;0,D310/E310-1,"n/a"),"n/a")</f>
        <v>n/a</v>
      </c>
    </row>
    <row r="311" customFormat="false" ht="15" hidden="false" customHeight="false" outlineLevel="0" collapsed="false">
      <c r="A311" s="23" t="s">
        <v>304</v>
      </c>
      <c r="B311" s="23" t="s">
        <v>175</v>
      </c>
      <c r="C311" s="34" t="n">
        <v>2024</v>
      </c>
      <c r="D311" s="37" t="n">
        <v>584497.1884</v>
      </c>
      <c r="E311" s="37" t="n">
        <v>557556.0461</v>
      </c>
      <c r="F311" s="37" t="n">
        <v>109</v>
      </c>
      <c r="G311" s="37" t="n">
        <v>121</v>
      </c>
      <c r="H311" s="39" t="n">
        <f aca="false">IF(ISNUMBER(E311),IF(E311&lt;&gt;0,D311/E311-1,"n/a"),"n/a")</f>
        <v>0.0483200612538397</v>
      </c>
    </row>
    <row r="312" customFormat="false" ht="15" hidden="false" customHeight="false" outlineLevel="0" collapsed="false">
      <c r="A312" s="23" t="s">
        <v>304</v>
      </c>
      <c r="B312" s="23" t="s">
        <v>175</v>
      </c>
      <c r="C312" s="34" t="n">
        <v>2025</v>
      </c>
      <c r="D312" s="37" t="n">
        <v>699498.8292</v>
      </c>
      <c r="E312" s="37" t="n">
        <v>584497.1884</v>
      </c>
      <c r="F312" s="37" t="n">
        <v>115</v>
      </c>
      <c r="G312" s="37" t="n">
        <v>109</v>
      </c>
      <c r="H312" s="39" t="n">
        <f aca="false">IF(ISNUMBER(E312),IF(E312&lt;&gt;0,D312/E312-1,"n/a"),"n/a")</f>
        <v>0.196753112046278</v>
      </c>
    </row>
    <row r="313" customFormat="false" ht="15" hidden="false" customHeight="false" outlineLevel="0" collapsed="false">
      <c r="A313" s="23" t="s">
        <v>304</v>
      </c>
      <c r="B313" s="23" t="s">
        <v>176</v>
      </c>
      <c r="C313" s="34" t="n">
        <v>2023</v>
      </c>
      <c r="D313" s="37" t="n">
        <v>204276.6816</v>
      </c>
      <c r="E313" s="37"/>
      <c r="F313" s="37" t="n">
        <v>227</v>
      </c>
      <c r="G313" s="37"/>
      <c r="H313" s="39" t="str">
        <f aca="false">IF(ISNUMBER(E313),IF(E313&lt;&gt;0,D313/E313-1,"n/a"),"n/a")</f>
        <v>n/a</v>
      </c>
    </row>
    <row r="314" customFormat="false" ht="15" hidden="false" customHeight="false" outlineLevel="0" collapsed="false">
      <c r="A314" s="23" t="s">
        <v>304</v>
      </c>
      <c r="B314" s="23" t="s">
        <v>176</v>
      </c>
      <c r="C314" s="34" t="n">
        <v>2024</v>
      </c>
      <c r="D314" s="37" t="n">
        <v>193094.7369</v>
      </c>
      <c r="E314" s="37" t="n">
        <v>204276.6816</v>
      </c>
      <c r="F314" s="37" t="n">
        <v>238</v>
      </c>
      <c r="G314" s="37" t="n">
        <v>227</v>
      </c>
      <c r="H314" s="39" t="n">
        <f aca="false">IF(ISNUMBER(E314),IF(E314&lt;&gt;0,D314/E314-1,"n/a"),"n/a")</f>
        <v>-0.0547392125837231</v>
      </c>
    </row>
    <row r="315" customFormat="false" ht="15" hidden="false" customHeight="false" outlineLevel="0" collapsed="false">
      <c r="A315" s="23" t="s">
        <v>304</v>
      </c>
      <c r="B315" s="23" t="s">
        <v>176</v>
      </c>
      <c r="C315" s="34" t="n">
        <v>2025</v>
      </c>
      <c r="D315" s="37" t="n">
        <v>198547.4519</v>
      </c>
      <c r="E315" s="37" t="n">
        <v>193094.7369</v>
      </c>
      <c r="F315" s="37" t="n">
        <v>232</v>
      </c>
      <c r="G315" s="37" t="n">
        <v>238</v>
      </c>
      <c r="H315" s="39" t="n">
        <f aca="false">IF(ISNUMBER(E315),IF(E315&lt;&gt;0,D315/E315-1,"n/a"),"n/a")</f>
        <v>0.0282385480181355</v>
      </c>
    </row>
    <row r="316" customFormat="false" ht="15" hidden="false" customHeight="false" outlineLevel="0" collapsed="false">
      <c r="A316" s="23" t="s">
        <v>304</v>
      </c>
      <c r="B316" s="23" t="s">
        <v>177</v>
      </c>
      <c r="C316" s="34" t="n">
        <v>2023</v>
      </c>
      <c r="D316" s="37" t="n">
        <v>984864.8824</v>
      </c>
      <c r="E316" s="37"/>
      <c r="F316" s="37" t="n">
        <v>123</v>
      </c>
      <c r="G316" s="37"/>
      <c r="H316" s="39" t="str">
        <f aca="false">IF(ISNUMBER(E316),IF(E316&lt;&gt;0,D316/E316-1,"n/a"),"n/a")</f>
        <v>n/a</v>
      </c>
    </row>
    <row r="317" customFormat="false" ht="15" hidden="false" customHeight="false" outlineLevel="0" collapsed="false">
      <c r="A317" s="23" t="s">
        <v>304</v>
      </c>
      <c r="B317" s="23" t="s">
        <v>177</v>
      </c>
      <c r="C317" s="34" t="n">
        <v>2024</v>
      </c>
      <c r="D317" s="37" t="n">
        <v>765343.5603</v>
      </c>
      <c r="E317" s="37" t="n">
        <v>984864.8824</v>
      </c>
      <c r="F317" s="37" t="n">
        <v>115</v>
      </c>
      <c r="G317" s="37" t="n">
        <v>123</v>
      </c>
      <c r="H317" s="39" t="n">
        <f aca="false">IF(ISNUMBER(E317),IF(E317&lt;&gt;0,D317/E317-1,"n/a"),"n/a")</f>
        <v>-0.222894862049555</v>
      </c>
    </row>
    <row r="318" customFormat="false" ht="15" hidden="false" customHeight="false" outlineLevel="0" collapsed="false">
      <c r="A318" s="23" t="s">
        <v>304</v>
      </c>
      <c r="B318" s="23" t="s">
        <v>177</v>
      </c>
      <c r="C318" s="34" t="n">
        <v>2025</v>
      </c>
      <c r="D318" s="37" t="n">
        <v>1000792.22</v>
      </c>
      <c r="E318" s="37" t="n">
        <v>765343.5603</v>
      </c>
      <c r="F318" s="37" t="n">
        <v>119</v>
      </c>
      <c r="G318" s="37" t="n">
        <v>115</v>
      </c>
      <c r="H318" s="39" t="n">
        <f aca="false">IF(ISNUMBER(E318),IF(E318&lt;&gt;0,D318/E318-1,"n/a"),"n/a")</f>
        <v>0.307637866068552</v>
      </c>
    </row>
  </sheetData>
  <mergeCells count="11">
    <mergeCell ref="A3:L3"/>
    <mergeCell ref="A6:L6"/>
    <mergeCell ref="A18:L18"/>
    <mergeCell ref="A30:L30"/>
    <mergeCell ref="A47:L47"/>
    <mergeCell ref="A56:L56"/>
    <mergeCell ref="A80:L80"/>
    <mergeCell ref="A93:L93"/>
    <mergeCell ref="A102:L102"/>
    <mergeCell ref="A191:L191"/>
    <mergeCell ref="A238:L238"/>
  </mergeCells>
  <hyperlinks>
    <hyperlink ref="L1" location="'Start Here'!A1" display="Back to Start Here"/>
  </hyperlink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 r:id="rId3"/>
    <tablePart r:id="rId4"/>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DC3E6"/>
    <pageSetUpPr fitToPage="true"/>
  </sheetPr>
  <dimension ref="A1:N4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71"/>
    <col collapsed="false" customWidth="true" hidden="false" outlineLevel="0" max="2" min="2" style="0" width="26.71"/>
    <col collapsed="false" customWidth="true" hidden="false" outlineLevel="0" max="3" min="3" style="0" width="22.71"/>
    <col collapsed="false" customWidth="true" hidden="false" outlineLevel="0" max="4" min="4" style="0" width="15.71"/>
    <col collapsed="false" customWidth="true" hidden="false" outlineLevel="0" max="5" min="5" style="0" width="26.71"/>
    <col collapsed="false" customWidth="true" hidden="false" outlineLevel="0" max="9" min="6" style="0" width="15.71"/>
    <col collapsed="false" customWidth="true" hidden="false" outlineLevel="0" max="10" min="10" style="0" width="17.71"/>
    <col collapsed="false" customWidth="true" hidden="false" outlineLevel="0" max="11" min="11" style="0" width="12.71"/>
    <col collapsed="false" customWidth="true" hidden="false" outlineLevel="0" max="12" min="12" style="0" width="19.71"/>
  </cols>
  <sheetData>
    <row r="1" customFormat="false" ht="19.7" hidden="false" customHeight="false" outlineLevel="0" collapsed="false">
      <c r="A1" s="19" t="s">
        <v>305</v>
      </c>
      <c r="N1" s="5" t="s">
        <v>61</v>
      </c>
    </row>
    <row r="2" customFormat="false" ht="15" hidden="false" customHeight="false" outlineLevel="0" collapsed="false">
      <c r="A2" s="2" t="s">
        <v>306</v>
      </c>
    </row>
    <row r="3" customFormat="false" ht="30" hidden="false" customHeight="true" outlineLevel="0" collapsed="false">
      <c r="A3" s="3" t="s">
        <v>307</v>
      </c>
      <c r="B3" s="3"/>
      <c r="C3" s="3"/>
      <c r="D3" s="3"/>
      <c r="E3" s="3"/>
      <c r="F3" s="3"/>
      <c r="G3" s="3"/>
      <c r="H3" s="3"/>
      <c r="I3" s="3"/>
      <c r="J3" s="3"/>
      <c r="K3" s="3"/>
      <c r="L3" s="3"/>
      <c r="M3" s="3"/>
      <c r="N3" s="3"/>
    </row>
    <row r="5" customFormat="false" ht="15" hidden="false" customHeight="false" outlineLevel="0" collapsed="false">
      <c r="A5" s="20" t="s">
        <v>308</v>
      </c>
      <c r="B5" s="21"/>
      <c r="C5" s="21"/>
      <c r="D5" s="21"/>
      <c r="E5" s="21"/>
      <c r="F5" s="21"/>
      <c r="G5" s="21"/>
      <c r="H5" s="21"/>
      <c r="I5" s="21"/>
      <c r="J5" s="21"/>
      <c r="K5" s="21"/>
      <c r="L5" s="21"/>
      <c r="M5" s="21"/>
      <c r="N5" s="21"/>
    </row>
    <row r="6" customFormat="false" ht="13.5" hidden="false" customHeight="true" outlineLevel="0" collapsed="false">
      <c r="A6" s="26" t="s">
        <v>309</v>
      </c>
      <c r="B6" s="26"/>
      <c r="C6" s="26"/>
      <c r="D6" s="26"/>
      <c r="E6" s="26"/>
      <c r="F6" s="26"/>
      <c r="G6" s="26"/>
      <c r="H6" s="26"/>
      <c r="I6" s="26"/>
      <c r="J6" s="26"/>
      <c r="K6" s="26"/>
      <c r="L6" s="26"/>
      <c r="M6" s="26"/>
      <c r="N6" s="26"/>
    </row>
    <row r="7" customFormat="false" ht="43.5" hidden="false" customHeight="true" outlineLevel="0" collapsed="false">
      <c r="A7" s="22" t="s">
        <v>189</v>
      </c>
      <c r="B7" s="22" t="s">
        <v>310</v>
      </c>
      <c r="C7" s="22" t="s">
        <v>68</v>
      </c>
      <c r="D7" s="22" t="s">
        <v>135</v>
      </c>
      <c r="E7" s="22" t="s">
        <v>107</v>
      </c>
      <c r="F7" s="22" t="s">
        <v>72</v>
      </c>
      <c r="G7" s="22" t="s">
        <v>148</v>
      </c>
      <c r="H7" s="22" t="s">
        <v>149</v>
      </c>
      <c r="I7" s="22" t="s">
        <v>108</v>
      </c>
      <c r="J7" s="22" t="s">
        <v>74</v>
      </c>
      <c r="K7" s="22" t="s">
        <v>311</v>
      </c>
      <c r="L7" s="22" t="s">
        <v>142</v>
      </c>
    </row>
    <row r="8" customFormat="false" ht="15" hidden="false" customHeight="false" outlineLevel="0" collapsed="false">
      <c r="A8" s="23" t="s">
        <v>201</v>
      </c>
      <c r="B8" s="23" t="s">
        <v>312</v>
      </c>
      <c r="C8" s="37" t="n">
        <v>21148201.8375</v>
      </c>
      <c r="D8" s="37" t="n">
        <v>8731913.4712</v>
      </c>
      <c r="E8" s="38" t="n">
        <f aca="false">C8-D8</f>
        <v>12416288.3663</v>
      </c>
      <c r="F8" s="39" t="n">
        <f aca="false">IF(C8&gt;0,E8/C8,"n/a")</f>
        <v>0.587108467268523</v>
      </c>
      <c r="G8" s="37" t="n">
        <v>3802070.7088</v>
      </c>
      <c r="H8" s="37" t="n">
        <v>4371835.009</v>
      </c>
      <c r="I8" s="38" t="n">
        <f aca="false">C8-D8-G8-H8</f>
        <v>4242382.64849997</v>
      </c>
      <c r="J8" s="39" t="n">
        <f aca="false">IF(C8&gt;0,I8/C8,"n/a")</f>
        <v>0.200602523141111</v>
      </c>
      <c r="K8" s="39" t="n">
        <f aca="false">C8/SUM($C$8:$C$13)</f>
        <v>0.104358776075377</v>
      </c>
      <c r="L8" s="37" t="n">
        <v>9634</v>
      </c>
    </row>
    <row r="9" customFormat="false" ht="15" hidden="false" customHeight="false" outlineLevel="0" collapsed="false">
      <c r="A9" s="23" t="s">
        <v>200</v>
      </c>
      <c r="B9" s="23" t="s">
        <v>313</v>
      </c>
      <c r="C9" s="37" t="n">
        <v>29549094.2914</v>
      </c>
      <c r="D9" s="37" t="n">
        <v>15097025.4161</v>
      </c>
      <c r="E9" s="38" t="n">
        <f aca="false">C9-D9</f>
        <v>14452068.8753</v>
      </c>
      <c r="F9" s="39" t="n">
        <f aca="false">IF(C9&gt;0,E9/C9,"n/a")</f>
        <v>0.489086695273301</v>
      </c>
      <c r="G9" s="37" t="n">
        <v>6720387.7958</v>
      </c>
      <c r="H9" s="37" t="n">
        <v>6783448.999</v>
      </c>
      <c r="I9" s="38" t="n">
        <f aca="false">C9-D9-G9-H9</f>
        <v>948232.080499996</v>
      </c>
      <c r="J9" s="39" t="n">
        <f aca="false">IF(C9&gt;0,I9/C9,"n/a")</f>
        <v>0.0320900556595391</v>
      </c>
      <c r="K9" s="39" t="n">
        <f aca="false">C9/SUM($C$8:$C$13)</f>
        <v>0.145814161321195</v>
      </c>
      <c r="L9" s="37" t="n">
        <v>9772</v>
      </c>
    </row>
    <row r="10" customFormat="false" ht="15" hidden="false" customHeight="false" outlineLevel="0" collapsed="false">
      <c r="A10" s="23" t="s">
        <v>202</v>
      </c>
      <c r="B10" s="23" t="s">
        <v>314</v>
      </c>
      <c r="C10" s="37" t="n">
        <v>20503977.0544999</v>
      </c>
      <c r="D10" s="37" t="n">
        <v>9747172.43540001</v>
      </c>
      <c r="E10" s="38" t="n">
        <f aca="false">C10-D10</f>
        <v>10756804.6190999</v>
      </c>
      <c r="F10" s="39" t="n">
        <f aca="false">IF(C10&gt;0,E10/C10,"n/a")</f>
        <v>0.524620398789374</v>
      </c>
      <c r="G10" s="37" t="n">
        <v>4210720.3215</v>
      </c>
      <c r="H10" s="37" t="n">
        <v>4330207.75450001</v>
      </c>
      <c r="I10" s="38" t="n">
        <f aca="false">C10-D10-G10-H10</f>
        <v>2215876.54309993</v>
      </c>
      <c r="J10" s="39" t="n">
        <f aca="false">IF(C10&gt;0,I10/C10,"n/a")</f>
        <v>0.108070572709387</v>
      </c>
      <c r="K10" s="39" t="n">
        <f aca="false">C10/SUM($C$8:$C$13)</f>
        <v>0.101179758285217</v>
      </c>
      <c r="L10" s="37" t="n">
        <v>9882</v>
      </c>
    </row>
    <row r="11" customFormat="false" ht="15" hidden="false" customHeight="false" outlineLevel="0" collapsed="false">
      <c r="A11" s="23" t="s">
        <v>197</v>
      </c>
      <c r="B11" s="23" t="s">
        <v>315</v>
      </c>
      <c r="C11" s="37" t="n">
        <v>48348041.9253999</v>
      </c>
      <c r="D11" s="37" t="n">
        <v>21648388.3005</v>
      </c>
      <c r="E11" s="38" t="n">
        <f aca="false">C11-D11</f>
        <v>26699653.6249</v>
      </c>
      <c r="F11" s="39" t="n">
        <f aca="false">IF(C11&gt;0,E11/C11,"n/a")</f>
        <v>0.55223857185565</v>
      </c>
      <c r="G11" s="37" t="n">
        <v>9134124.3727</v>
      </c>
      <c r="H11" s="37" t="n">
        <v>9997788.91100002</v>
      </c>
      <c r="I11" s="38" t="n">
        <f aca="false">C11-D11-G11-H11</f>
        <v>7567740.34119994</v>
      </c>
      <c r="J11" s="39" t="n">
        <f aca="false">IF(C11&gt;0,I11/C11,"n/a")</f>
        <v>0.156526304682138</v>
      </c>
      <c r="K11" s="39" t="n">
        <f aca="false">C11/SUM($C$8:$C$13)</f>
        <v>0.238580212149715</v>
      </c>
      <c r="L11" s="37" t="n">
        <v>9692</v>
      </c>
    </row>
    <row r="12" customFormat="false" ht="15" hidden="false" customHeight="false" outlineLevel="0" collapsed="false">
      <c r="A12" s="23" t="s">
        <v>199</v>
      </c>
      <c r="B12" s="23" t="s">
        <v>316</v>
      </c>
      <c r="C12" s="37" t="n">
        <v>27763849.121</v>
      </c>
      <c r="D12" s="37" t="n">
        <v>13579996.3315</v>
      </c>
      <c r="E12" s="38" t="n">
        <f aca="false">C12-D12</f>
        <v>14183852.7895</v>
      </c>
      <c r="F12" s="39" t="n">
        <f aca="false">IF(C12&gt;0,E12/C12,"n/a")</f>
        <v>0.510874869247565</v>
      </c>
      <c r="G12" s="37" t="n">
        <v>6127320.5046</v>
      </c>
      <c r="H12" s="37" t="n">
        <v>6524566.1132</v>
      </c>
      <c r="I12" s="38" t="n">
        <f aca="false">C12-D12-G12-H12</f>
        <v>1531966.17169997</v>
      </c>
      <c r="J12" s="39" t="n">
        <f aca="false">IF(C12&gt;0,I12/C12,"n/a")</f>
        <v>0.0551784504022975</v>
      </c>
      <c r="K12" s="39" t="n">
        <f aca="false">C12/SUM($C$8:$C$13)</f>
        <v>0.137004617965737</v>
      </c>
      <c r="L12" s="37" t="n">
        <v>9706</v>
      </c>
    </row>
    <row r="13" customFormat="false" ht="15" hidden="false" customHeight="false" outlineLevel="0" collapsed="false">
      <c r="A13" s="23" t="s">
        <v>195</v>
      </c>
      <c r="B13" s="23" t="s">
        <v>317</v>
      </c>
      <c r="C13" s="37" t="n">
        <v>55335837.9223999</v>
      </c>
      <c r="D13" s="37" t="n">
        <v>24003521.9475</v>
      </c>
      <c r="E13" s="38" t="n">
        <f aca="false">C13-D13</f>
        <v>31332315.9748999</v>
      </c>
      <c r="F13" s="39" t="n">
        <f aca="false">IF(C13&gt;0,E13/C13,"n/a")</f>
        <v>0.566221045009542</v>
      </c>
      <c r="G13" s="37" t="n">
        <v>9714315.60450001</v>
      </c>
      <c r="H13" s="37" t="n">
        <v>11804951.9909</v>
      </c>
      <c r="I13" s="38" t="n">
        <f aca="false">C13-D13-G13-H13</f>
        <v>9813048.37949986</v>
      </c>
      <c r="J13" s="39" t="n">
        <f aca="false">IF(C13&gt;0,I13/C13,"n/a")</f>
        <v>0.177336220936262</v>
      </c>
      <c r="K13" s="39" t="n">
        <f aca="false">C13/SUM($C$8:$C$13)</f>
        <v>0.273062474202759</v>
      </c>
      <c r="L13" s="37" t="n">
        <v>9654</v>
      </c>
    </row>
    <row r="14" customFormat="false" ht="15" hidden="false" customHeight="false" outlineLevel="0" collapsed="false">
      <c r="A14" s="41" t="s">
        <v>318</v>
      </c>
      <c r="B14" s="41" t="s">
        <v>319</v>
      </c>
      <c r="C14" s="42" t="n">
        <f aca="false">SUM($C$8:$C$13)</f>
        <v>202649002.1522</v>
      </c>
      <c r="D14" s="42" t="n">
        <f aca="false">SUM($D$8:$D$13)</f>
        <v>92808017.9022</v>
      </c>
      <c r="G14" s="42" t="n">
        <f aca="false">SUM($G$8:$G$13)</f>
        <v>39708939.3079</v>
      </c>
      <c r="H14" s="42" t="n">
        <f aca="false">SUM($H$8:$H$13)</f>
        <v>43812798.7776</v>
      </c>
      <c r="L14" s="42" t="n">
        <f aca="false">SUM($L$8:$L$13)</f>
        <v>58340</v>
      </c>
    </row>
    <row r="17" customFormat="false" ht="15" hidden="false" customHeight="false" outlineLevel="0" collapsed="false">
      <c r="A17" s="20" t="s">
        <v>320</v>
      </c>
      <c r="B17" s="21"/>
      <c r="C17" s="21"/>
      <c r="D17" s="21"/>
      <c r="E17" s="21"/>
      <c r="F17" s="21"/>
      <c r="G17" s="21"/>
      <c r="H17" s="21"/>
      <c r="I17" s="21"/>
      <c r="J17" s="21"/>
      <c r="K17" s="21"/>
      <c r="L17" s="21"/>
      <c r="M17" s="21"/>
      <c r="N17" s="21"/>
    </row>
    <row r="18" customFormat="false" ht="13.5" hidden="false" customHeight="true" outlineLevel="0" collapsed="false">
      <c r="A18" s="26" t="s">
        <v>321</v>
      </c>
      <c r="B18" s="26"/>
      <c r="C18" s="26"/>
      <c r="D18" s="26"/>
      <c r="E18" s="26"/>
      <c r="F18" s="26"/>
      <c r="G18" s="26"/>
      <c r="H18" s="26"/>
      <c r="I18" s="26"/>
      <c r="J18" s="26"/>
      <c r="K18" s="26"/>
      <c r="L18" s="26"/>
      <c r="M18" s="26"/>
      <c r="N18" s="26"/>
    </row>
    <row r="19" customFormat="false" ht="43.5" hidden="false" customHeight="true" outlineLevel="0" collapsed="false">
      <c r="A19" s="22" t="s">
        <v>322</v>
      </c>
      <c r="B19" s="22"/>
      <c r="C19" s="22" t="s">
        <v>68</v>
      </c>
      <c r="D19" s="22" t="s">
        <v>135</v>
      </c>
      <c r="E19" s="22" t="s">
        <v>107</v>
      </c>
      <c r="F19" s="22" t="s">
        <v>72</v>
      </c>
      <c r="G19" s="22" t="s">
        <v>148</v>
      </c>
      <c r="H19" s="22" t="s">
        <v>149</v>
      </c>
      <c r="I19" s="22" t="s">
        <v>108</v>
      </c>
      <c r="J19" s="22" t="s">
        <v>74</v>
      </c>
      <c r="K19" s="22" t="s">
        <v>311</v>
      </c>
      <c r="L19" s="22" t="s">
        <v>142</v>
      </c>
    </row>
    <row r="20" customFormat="false" ht="15" hidden="false" customHeight="false" outlineLevel="0" collapsed="false">
      <c r="A20" s="23" t="s">
        <v>323</v>
      </c>
      <c r="B20" s="23"/>
      <c r="C20" s="37" t="n">
        <v>73952683.7441998</v>
      </c>
      <c r="D20" s="37" t="n">
        <v>32947622.5924001</v>
      </c>
      <c r="E20" s="38" t="n">
        <f aca="false">C20-D20</f>
        <v>41005061.1517997</v>
      </c>
      <c r="F20" s="39" t="n">
        <f aca="false">IF(C20&gt;0,E20/C20,"n/a")</f>
        <v>0.554476985495686</v>
      </c>
      <c r="G20" s="37" t="n">
        <v>14098553.6021</v>
      </c>
      <c r="H20" s="37" t="n">
        <v>16312049.1002</v>
      </c>
      <c r="I20" s="38" t="n">
        <f aca="false">C20-D20-G20-H20</f>
        <v>10594458.4494997</v>
      </c>
      <c r="J20" s="39" t="n">
        <f aca="false">IF(C20&gt;0,I20/C20,"n/a")</f>
        <v>0.143259959113122</v>
      </c>
      <c r="K20" s="39" t="n">
        <f aca="false">C20/SUM($C$20:$C$24)</f>
        <v>0.364929918029686</v>
      </c>
      <c r="L20" s="37" t="n">
        <v>14441</v>
      </c>
    </row>
    <row r="21" customFormat="false" ht="15" hidden="false" customHeight="false" outlineLevel="0" collapsed="false">
      <c r="A21" s="23" t="s">
        <v>324</v>
      </c>
      <c r="B21" s="23"/>
      <c r="C21" s="37" t="n">
        <v>51566934.5999998</v>
      </c>
      <c r="D21" s="37" t="n">
        <v>23949621.3242</v>
      </c>
      <c r="E21" s="38" t="n">
        <f aca="false">C21-D21</f>
        <v>27617313.2757998</v>
      </c>
      <c r="F21" s="39" t="n">
        <f aca="false">IF(C21&gt;0,E21/C21,"n/a")</f>
        <v>0.535562439187531</v>
      </c>
      <c r="G21" s="37" t="n">
        <v>11264015.8266</v>
      </c>
      <c r="H21" s="37" t="n">
        <v>11510470.2331</v>
      </c>
      <c r="I21" s="38" t="n">
        <f aca="false">C21-D21-G21-H21</f>
        <v>4842827.21609976</v>
      </c>
      <c r="J21" s="39" t="n">
        <f aca="false">IF(C21&gt;0,I21/C21,"n/a")</f>
        <v>0.0939134205603872</v>
      </c>
      <c r="K21" s="39" t="n">
        <f aca="false">C21/SUM($C$20:$C$24)</f>
        <v>0.254464290730978</v>
      </c>
      <c r="L21" s="37" t="n">
        <v>14598</v>
      </c>
    </row>
    <row r="22" customFormat="false" ht="15" hidden="false" customHeight="false" outlineLevel="0" collapsed="false">
      <c r="A22" s="23" t="s">
        <v>325</v>
      </c>
      <c r="B22" s="23"/>
      <c r="C22" s="37" t="n">
        <v>48335022.5600999</v>
      </c>
      <c r="D22" s="37" t="n">
        <v>21989480.2094</v>
      </c>
      <c r="E22" s="38" t="n">
        <f aca="false">C22-D22</f>
        <v>26345542.3507</v>
      </c>
      <c r="F22" s="39" t="n">
        <f aca="false">IF(C22&gt;0,E22/C22,"n/a")</f>
        <v>0.545061136941476</v>
      </c>
      <c r="G22" s="37" t="n">
        <v>9232766.28019999</v>
      </c>
      <c r="H22" s="37" t="n">
        <v>9837609.857</v>
      </c>
      <c r="I22" s="38" t="n">
        <f aca="false">C22-D22-G22-H22</f>
        <v>7275166.21349997</v>
      </c>
      <c r="J22" s="39" t="n">
        <f aca="false">IF(C22&gt;0,I22/C22,"n/a")</f>
        <v>0.150515419837738</v>
      </c>
      <c r="K22" s="39" t="n">
        <f aca="false">C22/SUM($C$20:$C$24)</f>
        <v>0.238515966260707</v>
      </c>
      <c r="L22" s="37" t="n">
        <v>14628</v>
      </c>
    </row>
    <row r="23" customFormat="false" ht="15" hidden="false" customHeight="false" outlineLevel="0" collapsed="false">
      <c r="A23" s="23" t="s">
        <v>326</v>
      </c>
      <c r="B23" s="23"/>
      <c r="C23" s="37" t="n">
        <v>21446250.9106999</v>
      </c>
      <c r="D23" s="37" t="n">
        <v>10491724.5622</v>
      </c>
      <c r="E23" s="38" t="n">
        <f aca="false">C23-D23</f>
        <v>10954526.3484999</v>
      </c>
      <c r="F23" s="39" t="n">
        <f aca="false">IF(C23&gt;0,E23/C23,"n/a")</f>
        <v>0.510789806298243</v>
      </c>
      <c r="G23" s="37" t="n">
        <v>3549153.7091</v>
      </c>
      <c r="H23" s="37" t="n">
        <v>4601302.0077</v>
      </c>
      <c r="I23" s="38" t="n">
        <f aca="false">C23-D23-G23-H23</f>
        <v>2804070.63169994</v>
      </c>
      <c r="J23" s="39" t="n">
        <f aca="false">IF(C23&gt;0,I23/C23,"n/a")</f>
        <v>0.130748756198732</v>
      </c>
      <c r="K23" s="39" t="n">
        <f aca="false">C23/SUM($C$20:$C$24)</f>
        <v>0.105829541142239</v>
      </c>
      <c r="L23" s="37" t="n">
        <v>9713</v>
      </c>
    </row>
    <row r="24" customFormat="false" ht="15" hidden="false" customHeight="false" outlineLevel="0" collapsed="false">
      <c r="A24" s="23" t="s">
        <v>327</v>
      </c>
      <c r="B24" s="23"/>
      <c r="C24" s="37" t="n">
        <v>7348110.3372</v>
      </c>
      <c r="D24" s="37" t="n">
        <v>3429569.214</v>
      </c>
      <c r="E24" s="38" t="n">
        <f aca="false">C24-D24</f>
        <v>3918541.1232</v>
      </c>
      <c r="F24" s="39" t="n">
        <f aca="false">IF(C24&gt;0,E24/C24,"n/a")</f>
        <v>0.533271949301344</v>
      </c>
      <c r="G24" s="37" t="n">
        <v>1564449.8899</v>
      </c>
      <c r="H24" s="37" t="n">
        <v>1551367.5796</v>
      </c>
      <c r="I24" s="38" t="n">
        <f aca="false">C24-D24-G24-H24</f>
        <v>802723.653700005</v>
      </c>
      <c r="J24" s="39" t="n">
        <f aca="false">IF(C24&gt;0,I24/C24,"n/a")</f>
        <v>0.109242188380895</v>
      </c>
      <c r="K24" s="39" t="n">
        <f aca="false">C24/SUM($C$20:$C$24)</f>
        <v>0.0362602838363902</v>
      </c>
      <c r="L24" s="37" t="n">
        <v>4960</v>
      </c>
    </row>
    <row r="25" customFormat="false" ht="15" hidden="false" customHeight="false" outlineLevel="0" collapsed="false">
      <c r="A25" s="41" t="s">
        <v>318</v>
      </c>
      <c r="C25" s="42" t="n">
        <f aca="false">SUM($C$20:$C$24)</f>
        <v>202649002.152199</v>
      </c>
    </row>
    <row r="28" customFormat="false" ht="15" hidden="false" customHeight="false" outlineLevel="0" collapsed="false">
      <c r="A28" s="20" t="s">
        <v>328</v>
      </c>
      <c r="B28" s="21"/>
      <c r="C28" s="21"/>
      <c r="D28" s="21"/>
      <c r="E28" s="21"/>
      <c r="F28" s="21"/>
      <c r="G28" s="21"/>
      <c r="H28" s="21"/>
      <c r="I28" s="21"/>
      <c r="J28" s="21"/>
      <c r="K28" s="21"/>
      <c r="L28" s="21"/>
      <c r="M28" s="21"/>
      <c r="N28" s="21"/>
    </row>
    <row r="29" customFormat="false" ht="13.5" hidden="false" customHeight="true" outlineLevel="0" collapsed="false">
      <c r="A29" s="26" t="s">
        <v>329</v>
      </c>
      <c r="B29" s="26"/>
      <c r="C29" s="26"/>
      <c r="D29" s="26"/>
      <c r="E29" s="26"/>
      <c r="F29" s="26"/>
      <c r="G29" s="26"/>
      <c r="H29" s="26"/>
      <c r="I29" s="26"/>
      <c r="J29" s="26"/>
      <c r="K29" s="26"/>
      <c r="L29" s="26"/>
      <c r="M29" s="26"/>
      <c r="N29" s="26"/>
    </row>
    <row r="30" customFormat="false" ht="57.75" hidden="false" customHeight="true" outlineLevel="0" collapsed="false">
      <c r="A30" s="22" t="s">
        <v>189</v>
      </c>
      <c r="B30" s="22" t="s">
        <v>330</v>
      </c>
      <c r="C30" s="22" t="s">
        <v>331</v>
      </c>
      <c r="D30" s="22" t="s">
        <v>332</v>
      </c>
      <c r="E30" s="22" t="s">
        <v>333</v>
      </c>
      <c r="F30" s="22" t="s">
        <v>334</v>
      </c>
      <c r="G30" s="22" t="s">
        <v>335</v>
      </c>
      <c r="H30" s="22" t="s">
        <v>336</v>
      </c>
      <c r="I30" s="22" t="s">
        <v>337</v>
      </c>
      <c r="J30" s="22" t="s">
        <v>338</v>
      </c>
    </row>
    <row r="31" customFormat="false" ht="15" hidden="false" customHeight="false" outlineLevel="0" collapsed="false">
      <c r="A31" s="23" t="s">
        <v>201</v>
      </c>
      <c r="B31" s="38" t="n">
        <f aca="false">SUMIFS('Entity &amp; Division'!$G$150:$G$437,'Entity &amp; Division'!$C$150:$C$437,$A31,'Entity &amp; Division'!$A$150:$A$437,"Same-sign",'Entity &amp; Division'!$B$150:$B$437,"REVENUE")</f>
        <v>19447445.3177</v>
      </c>
      <c r="C31" s="38" t="n">
        <f aca="false">SUMIFS('Entity &amp; Division'!$H$150:$H$437,'Entity &amp; Division'!$C$150:$C$437,$A31,'Entity &amp; Division'!$A$150:$A$437,"Same-sign",'Entity &amp; Division'!$B$150:$B$437,"REVENUE")</f>
        <v>20163398.3221</v>
      </c>
      <c r="D31" s="38" t="n">
        <f aca="false">B31-C31</f>
        <v>-715953.004400011</v>
      </c>
      <c r="E31" s="39" t="n">
        <f aca="false">IF(C31&lt;&gt;0,D31/ABS(C31),"n/a")</f>
        <v>-0.0355075564626075</v>
      </c>
      <c r="F31" s="38" t="n">
        <f aca="false">SUMIFS('Entity &amp; Division'!$G$150:$G$437,'Entity &amp; Division'!$C$150:$C$437,$A31,'Entity &amp; Division'!$A$150:$A$437,"Same-sign",'Entity &amp; Division'!$B$150:$B$437,"COGS")+SUMIFS('Entity &amp; Division'!$G$150:$G$437,'Entity &amp; Division'!$C$150:$C$437,$A31,'Entity &amp; Division'!$A$150:$A$437,"Same-sign",'Entity &amp; Division'!$B$150:$B$437,"PEOPLE")+SUMIFS('Entity &amp; Division'!$G$150:$G$437,'Entity &amp; Division'!$C$150:$C$437,$A31,'Entity &amp; Division'!$A$150:$A$437,"Same-sign",'Entity &amp; Division'!$B$150:$B$437,"OPEX")</f>
        <v>16521382.0693</v>
      </c>
      <c r="G31" s="38" t="n">
        <f aca="false">SUMIFS('Entity &amp; Division'!$H$150:$H$437,'Entity &amp; Division'!$C$150:$C$437,$A31,'Entity &amp; Division'!$A$150:$A$437,"Same-sign",'Entity &amp; Division'!$B$150:$B$437,"COGS")+SUMIFS('Entity &amp; Division'!$H$150:$H$437,'Entity &amp; Division'!$C$150:$C$437,$A31,'Entity &amp; Division'!$A$150:$A$437,"Same-sign",'Entity &amp; Division'!$B$150:$B$437,"PEOPLE")+SUMIFS('Entity &amp; Division'!$H$150:$H$437,'Entity &amp; Division'!$C$150:$C$437,$A31,'Entity &amp; Division'!$A$150:$A$437,"Same-sign",'Entity &amp; Division'!$B$150:$B$437,"OPEX")</f>
        <v>15523464.0078</v>
      </c>
      <c r="H31" s="38" t="n">
        <f aca="false">F31-G31</f>
        <v>997918.061499996</v>
      </c>
      <c r="I31" s="39" t="n">
        <f aca="false">IF(G31&lt;&gt;0,H31/ABS(G31),"n/a")</f>
        <v>0.064284496102067</v>
      </c>
      <c r="J31" s="38" t="n">
        <f aca="false">D31-H31</f>
        <v>-1713871.06590001</v>
      </c>
    </row>
    <row r="32" customFormat="false" ht="15" hidden="false" customHeight="false" outlineLevel="0" collapsed="false">
      <c r="A32" s="23" t="s">
        <v>200</v>
      </c>
      <c r="B32" s="38" t="n">
        <f aca="false">SUMIFS('Entity &amp; Division'!$G$150:$G$437,'Entity &amp; Division'!$C$150:$C$437,$A32,'Entity &amp; Division'!$A$150:$A$437,"Same-sign",'Entity &amp; Division'!$B$150:$B$437,"REVENUE")</f>
        <v>27740192.4399</v>
      </c>
      <c r="C32" s="38" t="n">
        <f aca="false">SUMIFS('Entity &amp; Division'!$H$150:$H$437,'Entity &amp; Division'!$C$150:$C$437,$A32,'Entity &amp; Division'!$A$150:$A$437,"Same-sign",'Entity &amp; Division'!$B$150:$B$437,"REVENUE")</f>
        <v>28768944.7408</v>
      </c>
      <c r="D32" s="38" t="n">
        <f aca="false">B32-C32</f>
        <v>-1028752.30090002</v>
      </c>
      <c r="E32" s="39" t="n">
        <f aca="false">IF(C32&lt;&gt;0,D32/ABS(C32),"n/a")</f>
        <v>-0.0357591253404944</v>
      </c>
      <c r="F32" s="38" t="n">
        <f aca="false">SUMIFS('Entity &amp; Division'!$G$150:$G$437,'Entity &amp; Division'!$C$150:$C$437,$A32,'Entity &amp; Division'!$A$150:$A$437,"Same-sign",'Entity &amp; Division'!$B$150:$B$437,"COGS")+SUMIFS('Entity &amp; Division'!$G$150:$G$437,'Entity &amp; Division'!$C$150:$C$437,$A32,'Entity &amp; Division'!$A$150:$A$437,"Same-sign",'Entity &amp; Division'!$B$150:$B$437,"PEOPLE")+SUMIFS('Entity &amp; Division'!$G$150:$G$437,'Entity &amp; Division'!$C$150:$C$437,$A32,'Entity &amp; Division'!$A$150:$A$437,"Same-sign",'Entity &amp; Division'!$B$150:$B$437,"OPEX")</f>
        <v>27067905.3946</v>
      </c>
      <c r="G32" s="38" t="n">
        <f aca="false">SUMIFS('Entity &amp; Division'!$H$150:$H$437,'Entity &amp; Division'!$C$150:$C$437,$A32,'Entity &amp; Division'!$A$150:$A$437,"Same-sign",'Entity &amp; Division'!$B$150:$B$437,"COGS")+SUMIFS('Entity &amp; Division'!$H$150:$H$437,'Entity &amp; Division'!$C$150:$C$437,$A32,'Entity &amp; Division'!$A$150:$A$437,"Same-sign",'Entity &amp; Division'!$B$150:$B$437,"PEOPLE")+SUMIFS('Entity &amp; Division'!$H$150:$H$437,'Entity &amp; Division'!$C$150:$C$437,$A32,'Entity &amp; Division'!$A$150:$A$437,"Same-sign",'Entity &amp; Division'!$B$150:$B$437,"OPEX")</f>
        <v>25427725.2447</v>
      </c>
      <c r="H32" s="38" t="n">
        <f aca="false">F32-G32</f>
        <v>1640180.14990001</v>
      </c>
      <c r="I32" s="39" t="n">
        <f aca="false">IF(G32&lt;&gt;0,H32/ABS(G32),"n/a")</f>
        <v>0.0645036130489841</v>
      </c>
      <c r="J32" s="38" t="n">
        <f aca="false">D32-H32</f>
        <v>-2668932.45080004</v>
      </c>
    </row>
    <row r="33" customFormat="false" ht="15" hidden="false" customHeight="false" outlineLevel="0" collapsed="false">
      <c r="A33" s="23" t="s">
        <v>202</v>
      </c>
      <c r="B33" s="38" t="n">
        <f aca="false">SUMIFS('Entity &amp; Division'!$G$150:$G$437,'Entity &amp; Division'!$C$150:$C$437,$A33,'Entity &amp; Division'!$A$150:$A$437,"Same-sign",'Entity &amp; Division'!$B$150:$B$437,"REVENUE")</f>
        <v>19030286.5781</v>
      </c>
      <c r="C33" s="38" t="n">
        <f aca="false">SUMIFS('Entity &amp; Division'!$H$150:$H$437,'Entity &amp; Division'!$C$150:$C$437,$A33,'Entity &amp; Division'!$A$150:$A$437,"Same-sign",'Entity &amp; Division'!$B$150:$B$437,"REVENUE")</f>
        <v>19723180.4956</v>
      </c>
      <c r="D33" s="38" t="n">
        <f aca="false">B33-C33</f>
        <v>-692893.917500012</v>
      </c>
      <c r="E33" s="39" t="n">
        <f aca="false">IF(C33&lt;&gt;0,D33/ABS(C33),"n/a")</f>
        <v>-0.0351309423779084</v>
      </c>
      <c r="F33" s="38" t="n">
        <f aca="false">SUMIFS('Entity &amp; Division'!$G$150:$G$437,'Entity &amp; Division'!$C$150:$C$437,$A33,'Entity &amp; Division'!$A$150:$A$437,"Same-sign",'Entity &amp; Division'!$B$150:$B$437,"COGS")+SUMIFS('Entity &amp; Division'!$G$150:$G$437,'Entity &amp; Division'!$C$150:$C$437,$A33,'Entity &amp; Division'!$A$150:$A$437,"Same-sign",'Entity &amp; Division'!$B$150:$B$437,"PEOPLE")+SUMIFS('Entity &amp; Division'!$G$150:$G$437,'Entity &amp; Division'!$C$150:$C$437,$A33,'Entity &amp; Division'!$A$150:$A$437,"Same-sign",'Entity &amp; Division'!$B$150:$B$437,"OPEX")</f>
        <v>17487058.1545</v>
      </c>
      <c r="G33" s="38" t="n">
        <f aca="false">SUMIFS('Entity &amp; Division'!$H$150:$H$437,'Entity &amp; Division'!$C$150:$C$437,$A33,'Entity &amp; Division'!$A$150:$A$437,"Same-sign",'Entity &amp; Division'!$B$150:$B$437,"COGS")+SUMIFS('Entity &amp; Division'!$H$150:$H$437,'Entity &amp; Division'!$C$150:$C$437,$A33,'Entity &amp; Division'!$A$150:$A$437,"Same-sign",'Entity &amp; Division'!$B$150:$B$437,"PEOPLE")+SUMIFS('Entity &amp; Division'!$H$150:$H$437,'Entity &amp; Division'!$C$150:$C$437,$A33,'Entity &amp; Division'!$A$150:$A$437,"Same-sign",'Entity &amp; Division'!$B$150:$B$437,"OPEX")</f>
        <v>16444063.5593</v>
      </c>
      <c r="H33" s="38" t="n">
        <f aca="false">F33-G33</f>
        <v>1042994.5952</v>
      </c>
      <c r="I33" s="39" t="n">
        <f aca="false">IF(G33&lt;&gt;0,H33/ABS(G33),"n/a")</f>
        <v>0.0634268160931629</v>
      </c>
      <c r="J33" s="38" t="n">
        <f aca="false">D33-H33</f>
        <v>-1735888.51270001</v>
      </c>
    </row>
    <row r="34" customFormat="false" ht="15" hidden="false" customHeight="false" outlineLevel="0" collapsed="false">
      <c r="A34" s="23" t="s">
        <v>197</v>
      </c>
      <c r="B34" s="38" t="n">
        <f aca="false">SUMIFS('Entity &amp; Division'!$G$150:$G$437,'Entity &amp; Division'!$C$150:$C$437,$A34,'Entity &amp; Division'!$A$150:$A$437,"Same-sign",'Entity &amp; Division'!$B$150:$B$437,"REVENUE")</f>
        <v>45356328.6175999</v>
      </c>
      <c r="C34" s="38" t="n">
        <f aca="false">SUMIFS('Entity &amp; Division'!$H$150:$H$437,'Entity &amp; Division'!$C$150:$C$437,$A34,'Entity &amp; Division'!$A$150:$A$437,"Same-sign",'Entity &amp; Division'!$B$150:$B$437,"REVENUE")</f>
        <v>46995351.7604001</v>
      </c>
      <c r="D34" s="38" t="n">
        <f aca="false">B34-C34</f>
        <v>-1639023.14280011</v>
      </c>
      <c r="E34" s="39" t="n">
        <f aca="false">IF(C34&lt;&gt;0,D34/ABS(C34),"n/a")</f>
        <v>-0.0348762820450087</v>
      </c>
      <c r="F34" s="38" t="n">
        <f aca="false">SUMIFS('Entity &amp; Division'!$G$150:$G$437,'Entity &amp; Division'!$C$150:$C$437,$A34,'Entity &amp; Division'!$A$150:$A$437,"Same-sign",'Entity &amp; Division'!$B$150:$B$437,"COGS")+SUMIFS('Entity &amp; Division'!$G$150:$G$437,'Entity &amp; Division'!$C$150:$C$437,$A34,'Entity &amp; Division'!$A$150:$A$437,"Same-sign",'Entity &amp; Division'!$B$150:$B$437,"PEOPLE")+SUMIFS('Entity &amp; Division'!$G$150:$G$437,'Entity &amp; Division'!$C$150:$C$437,$A34,'Entity &amp; Division'!$A$150:$A$437,"Same-sign",'Entity &amp; Division'!$B$150:$B$437,"OPEX")</f>
        <v>38279036.6384</v>
      </c>
      <c r="G34" s="38" t="n">
        <f aca="false">SUMIFS('Entity &amp; Division'!$H$150:$H$437,'Entity &amp; Division'!$C$150:$C$437,$A34,'Entity &amp; Division'!$A$150:$A$437,"Same-sign",'Entity &amp; Division'!$B$150:$B$437,"COGS")+SUMIFS('Entity &amp; Division'!$H$150:$H$437,'Entity &amp; Division'!$C$150:$C$437,$A34,'Entity &amp; Division'!$A$150:$A$437,"Same-sign",'Entity &amp; Division'!$B$150:$B$437,"PEOPLE")+SUMIFS('Entity &amp; Division'!$H$150:$H$437,'Entity &amp; Division'!$C$150:$C$437,$A34,'Entity &amp; Division'!$A$150:$A$437,"Same-sign",'Entity &amp; Division'!$B$150:$B$437,"OPEX")</f>
        <v>35988056.8605</v>
      </c>
      <c r="H34" s="38" t="n">
        <f aca="false">F34-G34</f>
        <v>2290979.7779</v>
      </c>
      <c r="I34" s="39" t="n">
        <f aca="false">IF(G34&lt;&gt;0,H34/ABS(G34),"n/a")</f>
        <v>0.0636594464319229</v>
      </c>
      <c r="J34" s="38" t="n">
        <f aca="false">D34-H34</f>
        <v>-3930002.9207001</v>
      </c>
    </row>
    <row r="35" customFormat="false" ht="15" hidden="false" customHeight="false" outlineLevel="0" collapsed="false">
      <c r="A35" s="23" t="s">
        <v>199</v>
      </c>
      <c r="B35" s="38" t="n">
        <f aca="false">SUMIFS('Entity &amp; Division'!$G$150:$G$437,'Entity &amp; Division'!$C$150:$C$437,$A35,'Entity &amp; Division'!$A$150:$A$437,"Same-sign",'Entity &amp; Division'!$B$150:$B$437,"REVENUE")</f>
        <v>26567250.3893</v>
      </c>
      <c r="C35" s="38" t="n">
        <f aca="false">SUMIFS('Entity &amp; Division'!$H$150:$H$437,'Entity &amp; Division'!$C$150:$C$437,$A35,'Entity &amp; Division'!$A$150:$A$437,"Same-sign",'Entity &amp; Division'!$B$150:$B$437,"REVENUE")</f>
        <v>27585399.4654</v>
      </c>
      <c r="D35" s="38" t="n">
        <f aca="false">B35-C35</f>
        <v>-1018149.07610001</v>
      </c>
      <c r="E35" s="39" t="n">
        <f aca="false">IF(C35&lt;&gt;0,D35/ABS(C35),"n/a")</f>
        <v>-0.0369089843116848</v>
      </c>
      <c r="F35" s="38" t="n">
        <f aca="false">SUMIFS('Entity &amp; Division'!$G$150:$G$437,'Entity &amp; Division'!$C$150:$C$437,$A35,'Entity &amp; Division'!$A$150:$A$437,"Same-sign",'Entity &amp; Division'!$B$150:$B$437,"COGS")+SUMIFS('Entity &amp; Division'!$G$150:$G$437,'Entity &amp; Division'!$C$150:$C$437,$A35,'Entity &amp; Division'!$A$150:$A$437,"Same-sign",'Entity &amp; Division'!$B$150:$B$437,"PEOPLE")+SUMIFS('Entity &amp; Division'!$G$150:$G$437,'Entity &amp; Division'!$C$150:$C$437,$A35,'Entity &amp; Division'!$A$150:$A$437,"Same-sign",'Entity &amp; Division'!$B$150:$B$437,"OPEX")</f>
        <v>24910281.6212</v>
      </c>
      <c r="G35" s="38" t="n">
        <f aca="false">SUMIFS('Entity &amp; Division'!$H$150:$H$437,'Entity &amp; Division'!$C$150:$C$437,$A35,'Entity &amp; Division'!$A$150:$A$437,"Same-sign",'Entity &amp; Division'!$B$150:$B$437,"COGS")+SUMIFS('Entity &amp; Division'!$H$150:$H$437,'Entity &amp; Division'!$C$150:$C$437,$A35,'Entity &amp; Division'!$A$150:$A$437,"Same-sign",'Entity &amp; Division'!$B$150:$B$437,"PEOPLE")+SUMIFS('Entity &amp; Division'!$H$150:$H$437,'Entity &amp; Division'!$C$150:$C$437,$A35,'Entity &amp; Division'!$A$150:$A$437,"Same-sign",'Entity &amp; Division'!$B$150:$B$437,"OPEX")</f>
        <v>23426053.9696</v>
      </c>
      <c r="H35" s="38" t="n">
        <f aca="false">F35-G35</f>
        <v>1484227.65160002</v>
      </c>
      <c r="I35" s="39" t="n">
        <f aca="false">IF(G35&lt;&gt;0,H35/ABS(G35),"n/a")</f>
        <v>0.0633579882265321</v>
      </c>
      <c r="J35" s="38" t="n">
        <f aca="false">D35-H35</f>
        <v>-2502376.72770003</v>
      </c>
    </row>
    <row r="36" customFormat="false" ht="15" hidden="false" customHeight="false" outlineLevel="0" collapsed="false">
      <c r="A36" s="23" t="s">
        <v>195</v>
      </c>
      <c r="B36" s="38" t="n">
        <f aca="false">SUMIFS('Entity &amp; Division'!$G$150:$G$437,'Entity &amp; Division'!$C$150:$C$437,$A36,'Entity &amp; Division'!$A$150:$A$437,"Same-sign",'Entity &amp; Division'!$B$150:$B$437,"REVENUE")</f>
        <v>52255212.286</v>
      </c>
      <c r="C36" s="38" t="n">
        <f aca="false">SUMIFS('Entity &amp; Division'!$H$150:$H$437,'Entity &amp; Division'!$C$150:$C$437,$A36,'Entity &amp; Division'!$A$150:$A$437,"Same-sign",'Entity &amp; Division'!$B$150:$B$437,"REVENUE")</f>
        <v>54183478.1058</v>
      </c>
      <c r="D36" s="38" t="n">
        <f aca="false">B36-C36</f>
        <v>-1928265.81980007</v>
      </c>
      <c r="E36" s="39" t="n">
        <f aca="false">IF(C36&lt;&gt;0,D36/ABS(C36),"n/a")</f>
        <v>-0.0355877084161133</v>
      </c>
      <c r="F36" s="38" t="n">
        <f aca="false">SUMIFS('Entity &amp; Division'!$G$150:$G$437,'Entity &amp; Division'!$C$150:$C$437,$A36,'Entity &amp; Division'!$A$150:$A$437,"Same-sign",'Entity &amp; Division'!$B$150:$B$437,"COGS")+SUMIFS('Entity &amp; Division'!$G$150:$G$437,'Entity &amp; Division'!$C$150:$C$437,$A36,'Entity &amp; Division'!$A$150:$A$437,"Same-sign",'Entity &amp; Division'!$B$150:$B$437,"PEOPLE")+SUMIFS('Entity &amp; Division'!$G$150:$G$437,'Entity &amp; Division'!$C$150:$C$437,$A36,'Entity &amp; Division'!$A$150:$A$437,"Same-sign",'Entity &amp; Division'!$B$150:$B$437,"OPEX")</f>
        <v>43257650.0733</v>
      </c>
      <c r="G36" s="38" t="n">
        <f aca="false">SUMIFS('Entity &amp; Division'!$H$150:$H$437,'Entity &amp; Division'!$C$150:$C$437,$A36,'Entity &amp; Division'!$A$150:$A$437,"Same-sign",'Entity &amp; Division'!$B$150:$B$437,"COGS")+SUMIFS('Entity &amp; Division'!$H$150:$H$437,'Entity &amp; Division'!$C$150:$C$437,$A36,'Entity &amp; Division'!$A$150:$A$437,"Same-sign",'Entity &amp; Division'!$B$150:$B$437,"PEOPLE")+SUMIFS('Entity &amp; Division'!$H$150:$H$437,'Entity &amp; Division'!$C$150:$C$437,$A36,'Entity &amp; Division'!$A$150:$A$437,"Same-sign",'Entity &amp; Division'!$B$150:$B$437,"OPEX")</f>
        <v>40626929.5242</v>
      </c>
      <c r="H36" s="38" t="n">
        <f aca="false">F36-G36</f>
        <v>2630720.54909998</v>
      </c>
      <c r="I36" s="39" t="n">
        <f aca="false">IF(G36&lt;&gt;0,H36/ABS(G36),"n/a")</f>
        <v>0.0647531226186551</v>
      </c>
      <c r="J36" s="38" t="n">
        <f aca="false">D36-H36</f>
        <v>-4558986.36890005</v>
      </c>
    </row>
    <row r="41" customFormat="false" ht="15" hidden="false" customHeight="false" outlineLevel="0" collapsed="false">
      <c r="A41" s="20" t="s">
        <v>339</v>
      </c>
      <c r="B41" s="21"/>
      <c r="C41" s="21"/>
      <c r="D41" s="21"/>
      <c r="E41" s="21"/>
      <c r="F41" s="21"/>
      <c r="G41" s="21"/>
      <c r="H41" s="21"/>
      <c r="I41" s="21"/>
      <c r="J41" s="21"/>
      <c r="K41" s="21"/>
      <c r="L41" s="21"/>
      <c r="M41" s="21"/>
      <c r="N41" s="21"/>
    </row>
    <row r="42" customFormat="false" ht="13.5" hidden="false" customHeight="true" outlineLevel="0" collapsed="false">
      <c r="A42" s="26" t="s">
        <v>340</v>
      </c>
      <c r="B42" s="26"/>
      <c r="C42" s="26"/>
      <c r="D42" s="26"/>
      <c r="E42" s="26"/>
      <c r="F42" s="26"/>
      <c r="G42" s="26"/>
      <c r="H42" s="26"/>
      <c r="I42" s="26"/>
      <c r="J42" s="26"/>
      <c r="K42" s="26"/>
      <c r="L42" s="26"/>
      <c r="M42" s="26"/>
      <c r="N42" s="26"/>
    </row>
    <row r="43" customFormat="false" ht="43.5" hidden="false" customHeight="true" outlineLevel="0" collapsed="false">
      <c r="A43" s="22" t="s">
        <v>208</v>
      </c>
      <c r="B43" s="22" t="s">
        <v>162</v>
      </c>
      <c r="C43" s="22" t="s">
        <v>322</v>
      </c>
      <c r="D43" s="22" t="s">
        <v>92</v>
      </c>
      <c r="E43" s="22" t="s">
        <v>163</v>
      </c>
      <c r="F43" s="22" t="s">
        <v>164</v>
      </c>
      <c r="G43" s="22" t="s">
        <v>192</v>
      </c>
      <c r="H43" s="22" t="s">
        <v>341</v>
      </c>
    </row>
    <row r="44" customFormat="false" ht="15" hidden="false" customHeight="false" outlineLevel="0" collapsed="false">
      <c r="A44" s="23" t="s">
        <v>216</v>
      </c>
      <c r="B44" s="23" t="s">
        <v>224</v>
      </c>
      <c r="C44" s="23" t="s">
        <v>323</v>
      </c>
      <c r="D44" s="37" t="n">
        <v>6824</v>
      </c>
      <c r="E44" s="37" t="n">
        <v>70102761.5273999</v>
      </c>
      <c r="F44" s="37" t="n">
        <v>72689502.3617</v>
      </c>
      <c r="G44" s="38" t="n">
        <f aca="false">E44-F44</f>
        <v>-2586740.83430013</v>
      </c>
      <c r="H44" s="45" t="n">
        <v>-0.0355861678819657</v>
      </c>
    </row>
    <row r="45" customFormat="false" ht="15" hidden="false" customHeight="false" outlineLevel="0" collapsed="false">
      <c r="A45" s="23" t="s">
        <v>216</v>
      </c>
      <c r="B45" s="23" t="s">
        <v>224</v>
      </c>
      <c r="C45" s="23" t="s">
        <v>324</v>
      </c>
      <c r="D45" s="37" t="n">
        <v>6832</v>
      </c>
      <c r="E45" s="37" t="n">
        <v>48191423.9708998</v>
      </c>
      <c r="F45" s="37" t="n">
        <v>49986087.9713001</v>
      </c>
      <c r="G45" s="38" t="n">
        <f aca="false">E45-F45</f>
        <v>-1794664.00040026</v>
      </c>
      <c r="H45" s="45" t="n">
        <v>-0.0359032697543849</v>
      </c>
    </row>
    <row r="46" customFormat="false" ht="15" hidden="false" customHeight="false" outlineLevel="0" collapsed="false">
      <c r="A46" s="23" t="s">
        <v>216</v>
      </c>
      <c r="B46" s="23" t="s">
        <v>224</v>
      </c>
      <c r="C46" s="23" t="s">
        <v>325</v>
      </c>
      <c r="D46" s="37" t="n">
        <v>6947</v>
      </c>
      <c r="E46" s="37" t="n">
        <v>45390040.9087999</v>
      </c>
      <c r="F46" s="37" t="n">
        <v>47055147.0214001</v>
      </c>
      <c r="G46" s="38" t="n">
        <f aca="false">E46-F46</f>
        <v>-1665106.11260021</v>
      </c>
      <c r="H46" s="45" t="n">
        <v>-0.0353862694731935</v>
      </c>
    </row>
    <row r="47" customFormat="false" ht="15" hidden="false" customHeight="false" outlineLevel="0" collapsed="false">
      <c r="A47" s="23" t="s">
        <v>216</v>
      </c>
      <c r="B47" s="23" t="s">
        <v>224</v>
      </c>
      <c r="C47" s="23" t="s">
        <v>326</v>
      </c>
      <c r="D47" s="37" t="n">
        <v>4637</v>
      </c>
      <c r="E47" s="37" t="n">
        <v>19818216.6033</v>
      </c>
      <c r="F47" s="37" t="n">
        <v>20534925.3282</v>
      </c>
      <c r="G47" s="38" t="n">
        <f aca="false">E47-F47</f>
        <v>-716708.724899989</v>
      </c>
      <c r="H47" s="45" t="n">
        <v>-0.0349019396684031</v>
      </c>
    </row>
    <row r="48" customFormat="false" ht="15" hidden="false" customHeight="false" outlineLevel="0" collapsed="false">
      <c r="A48" s="23" t="s">
        <v>216</v>
      </c>
      <c r="B48" s="23" t="s">
        <v>224</v>
      </c>
      <c r="C48" s="23" t="s">
        <v>327</v>
      </c>
      <c r="D48" s="37" t="n">
        <v>2297</v>
      </c>
      <c r="E48" s="37" t="n">
        <v>6894272.6182</v>
      </c>
      <c r="F48" s="37" t="n">
        <v>7154090.2075</v>
      </c>
      <c r="G48" s="38" t="n">
        <f aca="false">E48-F48</f>
        <v>-259817.589300004</v>
      </c>
      <c r="H48" s="45" t="n">
        <v>-0.0363173487842829</v>
      </c>
    </row>
    <row r="49" customFormat="false" ht="15" hidden="false" customHeight="false" outlineLevel="0" collapsed="false">
      <c r="A49" s="23" t="s">
        <v>216</v>
      </c>
      <c r="B49" s="23" t="s">
        <v>172</v>
      </c>
      <c r="C49" s="23" t="s">
        <v>323</v>
      </c>
      <c r="D49" s="37" t="n">
        <v>2482</v>
      </c>
      <c r="E49" s="37" t="n">
        <v>31565327.1411</v>
      </c>
      <c r="F49" s="37" t="n">
        <v>29614683.9738</v>
      </c>
      <c r="G49" s="38" t="n">
        <f aca="false">E49-F49</f>
        <v>1950643.16730002</v>
      </c>
      <c r="H49" s="45" t="n">
        <v>0.0658674314750658</v>
      </c>
    </row>
    <row r="50" customFormat="false" ht="15" hidden="false" customHeight="false" outlineLevel="0" collapsed="false">
      <c r="A50" s="23" t="s">
        <v>216</v>
      </c>
      <c r="B50" s="23" t="s">
        <v>172</v>
      </c>
      <c r="C50" s="23" t="s">
        <v>324</v>
      </c>
      <c r="D50" s="37" t="n">
        <v>2567</v>
      </c>
      <c r="E50" s="37" t="n">
        <v>22370460.3804</v>
      </c>
      <c r="F50" s="37" t="n">
        <v>21051606.7279</v>
      </c>
      <c r="G50" s="38" t="n">
        <f aca="false">E50-F50</f>
        <v>1318853.65249995</v>
      </c>
      <c r="H50" s="45" t="n">
        <v>0.062648598254123</v>
      </c>
    </row>
    <row r="51" customFormat="false" ht="15" hidden="false" customHeight="false" outlineLevel="0" collapsed="false">
      <c r="A51" s="23" t="s">
        <v>216</v>
      </c>
      <c r="B51" s="23" t="s">
        <v>172</v>
      </c>
      <c r="C51" s="23" t="s">
        <v>325</v>
      </c>
      <c r="D51" s="37" t="n">
        <v>2524</v>
      </c>
      <c r="E51" s="37" t="n">
        <v>20816739.575</v>
      </c>
      <c r="F51" s="37" t="n">
        <v>19563218.4099</v>
      </c>
      <c r="G51" s="38" t="n">
        <f aca="false">E51-F51</f>
        <v>1253521.16509999</v>
      </c>
      <c r="H51" s="45" t="n">
        <v>0.0640754061440961</v>
      </c>
    </row>
    <row r="52" customFormat="false" ht="15" hidden="false" customHeight="false" outlineLevel="0" collapsed="false">
      <c r="A52" s="23" t="s">
        <v>216</v>
      </c>
      <c r="B52" s="23" t="s">
        <v>172</v>
      </c>
      <c r="C52" s="23" t="s">
        <v>326</v>
      </c>
      <c r="D52" s="37" t="n">
        <v>1685</v>
      </c>
      <c r="E52" s="37" t="n">
        <v>9791164.09110001</v>
      </c>
      <c r="F52" s="37" t="n">
        <v>9215553.6916</v>
      </c>
      <c r="G52" s="38" t="n">
        <f aca="false">E52-F52</f>
        <v>575610.399500009</v>
      </c>
      <c r="H52" s="45" t="n">
        <v>0.0624607504619792</v>
      </c>
    </row>
    <row r="53" customFormat="false" ht="15" hidden="false" customHeight="false" outlineLevel="0" collapsed="false">
      <c r="A53" s="23" t="s">
        <v>216</v>
      </c>
      <c r="B53" s="23" t="s">
        <v>172</v>
      </c>
      <c r="C53" s="23" t="s">
        <v>327</v>
      </c>
      <c r="D53" s="37" t="n">
        <v>884</v>
      </c>
      <c r="E53" s="37" t="n">
        <v>3257634.5121</v>
      </c>
      <c r="F53" s="37" t="n">
        <v>3060521.0974</v>
      </c>
      <c r="G53" s="38" t="n">
        <f aca="false">E53-F53</f>
        <v>197113.414699999</v>
      </c>
      <c r="H53" s="45" t="n">
        <v>0.064405180826054</v>
      </c>
    </row>
    <row r="54" customFormat="false" ht="15" hidden="false" customHeight="false" outlineLevel="0" collapsed="false">
      <c r="A54" s="23" t="s">
        <v>216</v>
      </c>
      <c r="B54" s="23" t="s">
        <v>225</v>
      </c>
      <c r="C54" s="23" t="s">
        <v>323</v>
      </c>
      <c r="D54" s="37" t="n">
        <v>687</v>
      </c>
      <c r="E54" s="37" t="n">
        <v>13356058.5135</v>
      </c>
      <c r="F54" s="37" t="n">
        <v>12575004.2897</v>
      </c>
      <c r="G54" s="38" t="n">
        <f aca="false">E54-F54</f>
        <v>781054.223799991</v>
      </c>
      <c r="H54" s="45" t="n">
        <v>0.0621116467085223</v>
      </c>
    </row>
    <row r="55" customFormat="false" ht="15" hidden="false" customHeight="false" outlineLevel="0" collapsed="false">
      <c r="A55" s="23" t="s">
        <v>216</v>
      </c>
      <c r="B55" s="23" t="s">
        <v>225</v>
      </c>
      <c r="C55" s="23" t="s">
        <v>324</v>
      </c>
      <c r="D55" s="37" t="n">
        <v>690</v>
      </c>
      <c r="E55" s="37" t="n">
        <v>10742731.5091</v>
      </c>
      <c r="F55" s="37" t="n">
        <v>10067267.331</v>
      </c>
      <c r="G55" s="38" t="n">
        <f aca="false">E55-F55</f>
        <v>675464.178100012</v>
      </c>
      <c r="H55" s="45" t="n">
        <v>0.0670950870669792</v>
      </c>
    </row>
    <row r="56" customFormat="false" ht="15" hidden="false" customHeight="false" outlineLevel="0" collapsed="false">
      <c r="A56" s="23" t="s">
        <v>216</v>
      </c>
      <c r="B56" s="23" t="s">
        <v>225</v>
      </c>
      <c r="C56" s="23" t="s">
        <v>325</v>
      </c>
      <c r="D56" s="37" t="n">
        <v>667</v>
      </c>
      <c r="E56" s="37" t="n">
        <v>9043761.80249999</v>
      </c>
      <c r="F56" s="37" t="n">
        <v>8514197.51089999</v>
      </c>
      <c r="G56" s="38" t="n">
        <f aca="false">E56-F56</f>
        <v>529564.2916</v>
      </c>
      <c r="H56" s="45" t="n">
        <v>0.0621977926777062</v>
      </c>
    </row>
    <row r="57" customFormat="false" ht="15" hidden="false" customHeight="false" outlineLevel="0" collapsed="false">
      <c r="A57" s="23" t="s">
        <v>216</v>
      </c>
      <c r="B57" s="23" t="s">
        <v>225</v>
      </c>
      <c r="C57" s="23" t="s">
        <v>326</v>
      </c>
      <c r="D57" s="37" t="n">
        <v>427</v>
      </c>
      <c r="E57" s="37" t="n">
        <v>3623314.7479</v>
      </c>
      <c r="F57" s="37" t="n">
        <v>3412514.8236</v>
      </c>
      <c r="G57" s="38" t="n">
        <f aca="false">E57-F57</f>
        <v>210799.9243</v>
      </c>
      <c r="H57" s="45" t="n">
        <v>0.0617726032549856</v>
      </c>
    </row>
    <row r="58" customFormat="false" ht="15" hidden="false" customHeight="false" outlineLevel="0" collapsed="false">
      <c r="A58" s="23" t="s">
        <v>216</v>
      </c>
      <c r="B58" s="23" t="s">
        <v>225</v>
      </c>
      <c r="C58" s="23" t="s">
        <v>327</v>
      </c>
      <c r="D58" s="37" t="n">
        <v>250</v>
      </c>
      <c r="E58" s="37" t="n">
        <v>1498773.5862</v>
      </c>
      <c r="F58" s="37" t="n">
        <v>1402805.9589</v>
      </c>
      <c r="G58" s="38" t="n">
        <f aca="false">E58-F58</f>
        <v>95967.6273000003</v>
      </c>
      <c r="H58" s="45" t="n">
        <v>0.0684111916485245</v>
      </c>
    </row>
    <row r="59" customFormat="false" ht="15" hidden="false" customHeight="false" outlineLevel="0" collapsed="false">
      <c r="A59" s="23" t="s">
        <v>216</v>
      </c>
      <c r="B59" s="23" t="s">
        <v>226</v>
      </c>
      <c r="C59" s="23" t="s">
        <v>323</v>
      </c>
      <c r="D59" s="37" t="n">
        <v>1791</v>
      </c>
      <c r="E59" s="37" t="n">
        <v>15104851.9944</v>
      </c>
      <c r="F59" s="37" t="n">
        <v>14200885.8882</v>
      </c>
      <c r="G59" s="38" t="n">
        <f aca="false">E59-F59</f>
        <v>903966.106199995</v>
      </c>
      <c r="H59" s="45" t="n">
        <v>0.0636556136931663</v>
      </c>
    </row>
    <row r="60" customFormat="false" ht="15" hidden="false" customHeight="false" outlineLevel="0" collapsed="false">
      <c r="A60" s="23" t="s">
        <v>216</v>
      </c>
      <c r="B60" s="23" t="s">
        <v>226</v>
      </c>
      <c r="C60" s="23" t="s">
        <v>324</v>
      </c>
      <c r="D60" s="37" t="n">
        <v>1791</v>
      </c>
      <c r="E60" s="37" t="n">
        <v>10993036.1366</v>
      </c>
      <c r="F60" s="37" t="n">
        <v>10328017.2164</v>
      </c>
      <c r="G60" s="38" t="n">
        <f aca="false">E60-F60</f>
        <v>665018.920200024</v>
      </c>
      <c r="H60" s="45" t="n">
        <v>0.064389795859752</v>
      </c>
    </row>
    <row r="61" customFormat="false" ht="15" hidden="false" customHeight="false" outlineLevel="0" collapsed="false">
      <c r="A61" s="23" t="s">
        <v>216</v>
      </c>
      <c r="B61" s="23" t="s">
        <v>226</v>
      </c>
      <c r="C61" s="23" t="s">
        <v>325</v>
      </c>
      <c r="D61" s="37" t="n">
        <v>1747</v>
      </c>
      <c r="E61" s="37" t="n">
        <v>9437667.77089999</v>
      </c>
      <c r="F61" s="37" t="n">
        <v>8874476.4132</v>
      </c>
      <c r="G61" s="38" t="n">
        <f aca="false">E61-F61</f>
        <v>563191.357699994</v>
      </c>
      <c r="H61" s="45" t="n">
        <v>0.0634619251297239</v>
      </c>
    </row>
    <row r="62" customFormat="false" ht="15" hidden="false" customHeight="false" outlineLevel="0" collapsed="false">
      <c r="A62" s="23" t="s">
        <v>216</v>
      </c>
      <c r="B62" s="23" t="s">
        <v>226</v>
      </c>
      <c r="C62" s="23" t="s">
        <v>326</v>
      </c>
      <c r="D62" s="37" t="n">
        <v>1180</v>
      </c>
      <c r="E62" s="37" t="n">
        <v>4432865.4186</v>
      </c>
      <c r="F62" s="37" t="n">
        <v>4161809.8979</v>
      </c>
      <c r="G62" s="38" t="n">
        <f aca="false">E62-F62</f>
        <v>271055.520700001</v>
      </c>
      <c r="H62" s="45" t="n">
        <v>0.0651292412074783</v>
      </c>
    </row>
    <row r="63" customFormat="false" ht="15" hidden="false" customHeight="false" outlineLevel="0" collapsed="false">
      <c r="A63" s="23" t="s">
        <v>216</v>
      </c>
      <c r="B63" s="23" t="s">
        <v>226</v>
      </c>
      <c r="C63" s="23" t="s">
        <v>327</v>
      </c>
      <c r="D63" s="37" t="n">
        <v>616</v>
      </c>
      <c r="E63" s="37" t="n">
        <v>1488926.7719</v>
      </c>
      <c r="F63" s="37" t="n">
        <v>1393729.9357</v>
      </c>
      <c r="G63" s="38" t="n">
        <f aca="false">E63-F63</f>
        <v>95196.8361999989</v>
      </c>
      <c r="H63" s="45" t="n">
        <v>0.0683036460375571</v>
      </c>
    </row>
    <row r="64" customFormat="false" ht="15" hidden="false" customHeight="false" outlineLevel="0" collapsed="false">
      <c r="A64" s="23" t="s">
        <v>216</v>
      </c>
      <c r="B64" s="23" t="s">
        <v>227</v>
      </c>
      <c r="C64" s="23" t="s">
        <v>323</v>
      </c>
      <c r="D64" s="37" t="n">
        <v>65</v>
      </c>
      <c r="E64" s="37" t="n">
        <v>573407.6373</v>
      </c>
      <c r="F64" s="37" t="n">
        <v>539302.0539</v>
      </c>
      <c r="G64" s="38" t="n">
        <f aca="false">E64-F64</f>
        <v>34105.5834</v>
      </c>
      <c r="H64" s="45" t="n">
        <v>0.0632402253122589</v>
      </c>
    </row>
    <row r="65" customFormat="false" ht="15" hidden="false" customHeight="false" outlineLevel="0" collapsed="false">
      <c r="A65" s="23" t="s">
        <v>216</v>
      </c>
      <c r="B65" s="23" t="s">
        <v>227</v>
      </c>
      <c r="C65" s="23" t="s">
        <v>324</v>
      </c>
      <c r="D65" s="37" t="n">
        <v>76</v>
      </c>
      <c r="E65" s="37" t="n">
        <v>529872.8652</v>
      </c>
      <c r="F65" s="37" t="n">
        <v>501016.0451</v>
      </c>
      <c r="G65" s="38" t="n">
        <f aca="false">E65-F65</f>
        <v>28856.8200999999</v>
      </c>
      <c r="H65" s="45" t="n">
        <v>0.0575965987161955</v>
      </c>
    </row>
    <row r="66" customFormat="false" ht="15" hidden="false" customHeight="false" outlineLevel="0" collapsed="false">
      <c r="A66" s="23" t="s">
        <v>216</v>
      </c>
      <c r="B66" s="23" t="s">
        <v>227</v>
      </c>
      <c r="C66" s="23" t="s">
        <v>325</v>
      </c>
      <c r="D66" s="37" t="n">
        <v>67</v>
      </c>
      <c r="E66" s="37" t="n">
        <v>373037.8112</v>
      </c>
      <c r="F66" s="37" t="n">
        <v>348375.8259</v>
      </c>
      <c r="G66" s="38" t="n">
        <f aca="false">E66-F66</f>
        <v>24661.9853000001</v>
      </c>
      <c r="H66" s="45" t="n">
        <v>0.0707913220909855</v>
      </c>
    </row>
    <row r="67" customFormat="false" ht="15" hidden="false" customHeight="false" outlineLevel="0" collapsed="false">
      <c r="A67" s="23" t="s">
        <v>216</v>
      </c>
      <c r="B67" s="23" t="s">
        <v>227</v>
      </c>
      <c r="C67" s="23" t="s">
        <v>326</v>
      </c>
      <c r="D67" s="37" t="n">
        <v>55</v>
      </c>
      <c r="E67" s="37" t="n">
        <v>200389.7289</v>
      </c>
      <c r="F67" s="37" t="n">
        <v>188063.0994</v>
      </c>
      <c r="G67" s="38" t="n">
        <f aca="false">E67-F67</f>
        <v>12326.6294999999</v>
      </c>
      <c r="H67" s="45" t="n">
        <v>0.0655451789283868</v>
      </c>
    </row>
    <row r="68" customFormat="false" ht="15" hidden="false" customHeight="false" outlineLevel="0" collapsed="false">
      <c r="A68" s="23" t="s">
        <v>216</v>
      </c>
      <c r="B68" s="23" t="s">
        <v>227</v>
      </c>
      <c r="C68" s="23" t="s">
        <v>327</v>
      </c>
      <c r="D68" s="37" t="n">
        <v>29</v>
      </c>
      <c r="E68" s="37" t="n">
        <v>65402.0512</v>
      </c>
      <c r="F68" s="37" t="n">
        <v>61480.7795</v>
      </c>
      <c r="G68" s="38" t="n">
        <f aca="false">E68-F68</f>
        <v>3921.27169999998</v>
      </c>
      <c r="H68" s="45" t="n">
        <v>0.0637804486522491</v>
      </c>
    </row>
    <row r="69" customFormat="false" ht="15" hidden="false" customHeight="false" outlineLevel="0" collapsed="false">
      <c r="A69" s="23" t="s">
        <v>216</v>
      </c>
      <c r="B69" s="23" t="s">
        <v>228</v>
      </c>
      <c r="C69" s="23" t="s">
        <v>323</v>
      </c>
      <c r="D69" s="37" t="n">
        <v>153</v>
      </c>
      <c r="E69" s="37" t="n">
        <v>172541.6439</v>
      </c>
      <c r="F69" s="37" t="n">
        <v>162569.641</v>
      </c>
      <c r="G69" s="38" t="n">
        <f aca="false">E69-F69</f>
        <v>9972.00290000011</v>
      </c>
      <c r="H69" s="45" t="n">
        <v>0.0613398838716757</v>
      </c>
    </row>
    <row r="70" customFormat="false" ht="15" hidden="false" customHeight="false" outlineLevel="0" collapsed="false">
      <c r="A70" s="23" t="s">
        <v>216</v>
      </c>
      <c r="B70" s="23" t="s">
        <v>228</v>
      </c>
      <c r="C70" s="23" t="s">
        <v>324</v>
      </c>
      <c r="D70" s="37" t="n">
        <v>150</v>
      </c>
      <c r="E70" s="37" t="n">
        <v>133437.2259</v>
      </c>
      <c r="F70" s="37" t="n">
        <v>126133.4466</v>
      </c>
      <c r="G70" s="38" t="n">
        <f aca="false">E70-F70</f>
        <v>7303.77929999998</v>
      </c>
      <c r="H70" s="45" t="n">
        <v>0.0579051750100992</v>
      </c>
    </row>
    <row r="71" customFormat="false" ht="15" hidden="false" customHeight="false" outlineLevel="0" collapsed="false">
      <c r="A71" s="23" t="s">
        <v>216</v>
      </c>
      <c r="B71" s="23" t="s">
        <v>228</v>
      </c>
      <c r="C71" s="23" t="s">
        <v>325</v>
      </c>
      <c r="D71" s="37" t="n">
        <v>148</v>
      </c>
      <c r="E71" s="37" t="n">
        <v>124213.2047</v>
      </c>
      <c r="F71" s="37" t="n">
        <v>116066.6136</v>
      </c>
      <c r="G71" s="38" t="n">
        <f aca="false">E71-F71</f>
        <v>8146.59109999996</v>
      </c>
      <c r="H71" s="45" t="n">
        <v>0.0701889272661609</v>
      </c>
    </row>
    <row r="72" customFormat="false" ht="15" hidden="false" customHeight="false" outlineLevel="0" collapsed="false">
      <c r="A72" s="23" t="s">
        <v>216</v>
      </c>
      <c r="B72" s="23" t="s">
        <v>228</v>
      </c>
      <c r="C72" s="23" t="s">
        <v>326</v>
      </c>
      <c r="D72" s="37" t="n">
        <v>96</v>
      </c>
      <c r="E72" s="37" t="n">
        <v>69298.6511</v>
      </c>
      <c r="F72" s="37" t="n">
        <v>65298.6521</v>
      </c>
      <c r="G72" s="38" t="n">
        <f aca="false">E72-F72</f>
        <v>3999.99900000001</v>
      </c>
      <c r="H72" s="45" t="n">
        <v>0.0612569918575701</v>
      </c>
    </row>
    <row r="73" customFormat="false" ht="15" hidden="false" customHeight="false" outlineLevel="0" collapsed="false">
      <c r="A73" s="23" t="s">
        <v>216</v>
      </c>
      <c r="B73" s="23" t="s">
        <v>228</v>
      </c>
      <c r="C73" s="23" t="s">
        <v>327</v>
      </c>
      <c r="D73" s="37" t="n">
        <v>42</v>
      </c>
      <c r="E73" s="37" t="n">
        <v>25583.7318</v>
      </c>
      <c r="F73" s="37" t="n">
        <v>23840.6619</v>
      </c>
      <c r="G73" s="38" t="n">
        <f aca="false">E73-F73</f>
        <v>1743.06990000001</v>
      </c>
      <c r="H73" s="45" t="n">
        <v>0.0731133182170584</v>
      </c>
    </row>
    <row r="74" customFormat="false" ht="15" hidden="false" customHeight="false" outlineLevel="0" collapsed="false">
      <c r="A74" s="23" t="s">
        <v>216</v>
      </c>
      <c r="B74" s="23" t="s">
        <v>229</v>
      </c>
      <c r="C74" s="23" t="s">
        <v>323</v>
      </c>
      <c r="D74" s="37" t="n">
        <v>69</v>
      </c>
      <c r="E74" s="37" t="n">
        <v>904342.5344</v>
      </c>
      <c r="F74" s="37" t="n">
        <v>855415.9575</v>
      </c>
      <c r="G74" s="38" t="n">
        <f aca="false">E74-F74</f>
        <v>48926.5769000003</v>
      </c>
      <c r="H74" s="45" t="n">
        <v>0.0571962405786661</v>
      </c>
    </row>
    <row r="75" customFormat="false" ht="15" hidden="false" customHeight="false" outlineLevel="0" collapsed="false">
      <c r="A75" s="23" t="s">
        <v>216</v>
      </c>
      <c r="B75" s="23" t="s">
        <v>229</v>
      </c>
      <c r="C75" s="23" t="s">
        <v>324</v>
      </c>
      <c r="D75" s="37" t="n">
        <v>70</v>
      </c>
      <c r="E75" s="37" t="n">
        <v>709080.531</v>
      </c>
      <c r="F75" s="37" t="n">
        <v>666985.2481</v>
      </c>
      <c r="G75" s="38" t="n">
        <f aca="false">E75-F75</f>
        <v>42095.2829</v>
      </c>
      <c r="H75" s="45" t="n">
        <v>0.0631127645175276</v>
      </c>
    </row>
    <row r="76" customFormat="false" ht="15" hidden="false" customHeight="false" outlineLevel="0" collapsed="false">
      <c r="A76" s="23" t="s">
        <v>216</v>
      </c>
      <c r="B76" s="23" t="s">
        <v>229</v>
      </c>
      <c r="C76" s="23" t="s">
        <v>325</v>
      </c>
      <c r="D76" s="37" t="n">
        <v>74</v>
      </c>
      <c r="E76" s="37" t="n">
        <v>718198.6358</v>
      </c>
      <c r="F76" s="37" t="n">
        <v>671527.8072</v>
      </c>
      <c r="G76" s="38" t="n">
        <f aca="false">E76-F76</f>
        <v>46670.8285999999</v>
      </c>
      <c r="H76" s="45" t="n">
        <v>0.0694994728432744</v>
      </c>
    </row>
    <row r="77" customFormat="false" ht="15" hidden="false" customHeight="false" outlineLevel="0" collapsed="false">
      <c r="A77" s="23" t="s">
        <v>216</v>
      </c>
      <c r="B77" s="23" t="s">
        <v>229</v>
      </c>
      <c r="C77" s="23" t="s">
        <v>326</v>
      </c>
      <c r="D77" s="37" t="n">
        <v>51</v>
      </c>
      <c r="E77" s="37" t="n">
        <v>332581.1089</v>
      </c>
      <c r="F77" s="37" t="n">
        <v>313353.653</v>
      </c>
      <c r="G77" s="38" t="n">
        <f aca="false">E77-F77</f>
        <v>19227.4559000002</v>
      </c>
      <c r="H77" s="45" t="n">
        <v>0.0613602417457696</v>
      </c>
    </row>
    <row r="78" customFormat="false" ht="15" hidden="false" customHeight="false" outlineLevel="0" collapsed="false">
      <c r="A78" s="23" t="s">
        <v>216</v>
      </c>
      <c r="B78" s="23" t="s">
        <v>229</v>
      </c>
      <c r="C78" s="23" t="s">
        <v>327</v>
      </c>
      <c r="D78" s="37" t="n">
        <v>30</v>
      </c>
      <c r="E78" s="37" t="n">
        <v>148101.0936</v>
      </c>
      <c r="F78" s="37" t="n">
        <v>138405.0506</v>
      </c>
      <c r="G78" s="38" t="n">
        <f aca="false">E78-F78</f>
        <v>9696.04299999995</v>
      </c>
      <c r="H78" s="45" t="n">
        <v>0.0700555576401776</v>
      </c>
    </row>
    <row r="79" customFormat="false" ht="15" hidden="false" customHeight="false" outlineLevel="0" collapsed="false">
      <c r="A79" s="23" t="s">
        <v>217</v>
      </c>
      <c r="B79" s="23" t="s">
        <v>224</v>
      </c>
      <c r="C79" s="23" t="s">
        <v>323</v>
      </c>
      <c r="D79" s="37" t="n">
        <v>7649</v>
      </c>
      <c r="E79" s="37" t="n">
        <v>70129264.0352999</v>
      </c>
      <c r="F79" s="37" t="n">
        <v>72761002.1505</v>
      </c>
      <c r="G79" s="38" t="n">
        <f aca="false">E79-F79</f>
        <v>-2631738.11520015</v>
      </c>
      <c r="H79" s="45" t="n">
        <v>-0.0361696243511939</v>
      </c>
    </row>
    <row r="80" customFormat="false" ht="15" hidden="false" customHeight="false" outlineLevel="0" collapsed="false">
      <c r="A80" s="23" t="s">
        <v>217</v>
      </c>
      <c r="B80" s="23" t="s">
        <v>224</v>
      </c>
      <c r="C80" s="23" t="s">
        <v>324</v>
      </c>
      <c r="D80" s="37" t="n">
        <v>7682</v>
      </c>
      <c r="E80" s="37" t="n">
        <v>48523750.2461998</v>
      </c>
      <c r="F80" s="37" t="n">
        <v>49690665.6374001</v>
      </c>
      <c r="G80" s="38" t="n">
        <f aca="false">E80-F80</f>
        <v>-1166915.39120024</v>
      </c>
      <c r="H80" s="45" t="n">
        <v>-0.0234835934723666</v>
      </c>
    </row>
    <row r="81" customFormat="false" ht="15" hidden="false" customHeight="false" outlineLevel="0" collapsed="false">
      <c r="A81" s="23" t="s">
        <v>217</v>
      </c>
      <c r="B81" s="23" t="s">
        <v>224</v>
      </c>
      <c r="C81" s="23" t="s">
        <v>325</v>
      </c>
      <c r="D81" s="37" t="n">
        <v>7822</v>
      </c>
      <c r="E81" s="37" t="n">
        <v>46014234.2039999</v>
      </c>
      <c r="F81" s="37" t="n">
        <v>46413900.5337001</v>
      </c>
      <c r="G81" s="38" t="n">
        <f aca="false">E81-F81</f>
        <v>-399666.329700209</v>
      </c>
      <c r="H81" s="45" t="n">
        <v>-0.00861091882182603</v>
      </c>
    </row>
    <row r="82" customFormat="false" ht="15" hidden="false" customHeight="false" outlineLevel="0" collapsed="false">
      <c r="A82" s="23" t="s">
        <v>217</v>
      </c>
      <c r="B82" s="23" t="s">
        <v>224</v>
      </c>
      <c r="C82" s="23" t="s">
        <v>326</v>
      </c>
      <c r="D82" s="37" t="n">
        <v>5189</v>
      </c>
      <c r="E82" s="37" t="n">
        <v>20090426.8247</v>
      </c>
      <c r="F82" s="37" t="n">
        <v>20251643.9774</v>
      </c>
      <c r="G82" s="38" t="n">
        <f aca="false">E82-F82</f>
        <v>-161217.152699985</v>
      </c>
      <c r="H82" s="45" t="n">
        <v>-0.00796069459249387</v>
      </c>
    </row>
    <row r="83" customFormat="false" ht="15" hidden="false" customHeight="false" outlineLevel="0" collapsed="false">
      <c r="A83" s="23" t="s">
        <v>217</v>
      </c>
      <c r="B83" s="23" t="s">
        <v>224</v>
      </c>
      <c r="C83" s="23" t="s">
        <v>327</v>
      </c>
      <c r="D83" s="37" t="n">
        <v>2611</v>
      </c>
      <c r="E83" s="37" t="n">
        <v>6870189.6425</v>
      </c>
      <c r="F83" s="37" t="n">
        <v>7176560.1939</v>
      </c>
      <c r="G83" s="38" t="n">
        <f aca="false">E83-F83</f>
        <v>-306370.551400005</v>
      </c>
      <c r="H83" s="45" t="n">
        <v>-0.0426904454393641</v>
      </c>
    </row>
    <row r="84" customFormat="false" ht="15" hidden="false" customHeight="false" outlineLevel="0" collapsed="false">
      <c r="A84" s="23" t="s">
        <v>217</v>
      </c>
      <c r="B84" s="23" t="s">
        <v>172</v>
      </c>
      <c r="C84" s="23" t="s">
        <v>323</v>
      </c>
      <c r="D84" s="37" t="n">
        <v>2824</v>
      </c>
      <c r="E84" s="37" t="n">
        <v>31469113.0485001</v>
      </c>
      <c r="F84" s="37" t="n">
        <v>29753266.1445</v>
      </c>
      <c r="G84" s="38" t="n">
        <f aca="false">E84-F84</f>
        <v>1715846.90400005</v>
      </c>
      <c r="H84" s="45" t="n">
        <v>0.0576691948933204</v>
      </c>
    </row>
    <row r="85" customFormat="false" ht="15" hidden="false" customHeight="false" outlineLevel="0" collapsed="false">
      <c r="A85" s="23" t="s">
        <v>217</v>
      </c>
      <c r="B85" s="23" t="s">
        <v>172</v>
      </c>
      <c r="C85" s="23" t="s">
        <v>324</v>
      </c>
      <c r="D85" s="37" t="n">
        <v>2920</v>
      </c>
      <c r="E85" s="37" t="n">
        <v>22670104.4886</v>
      </c>
      <c r="F85" s="37" t="n">
        <v>20757349.8956</v>
      </c>
      <c r="G85" s="38" t="n">
        <f aca="false">E85-F85</f>
        <v>1912754.59299995</v>
      </c>
      <c r="H85" s="45" t="n">
        <v>0.092148304220928</v>
      </c>
    </row>
    <row r="86" customFormat="false" ht="15" hidden="false" customHeight="false" outlineLevel="0" collapsed="false">
      <c r="A86" s="23" t="s">
        <v>217</v>
      </c>
      <c r="B86" s="23" t="s">
        <v>172</v>
      </c>
      <c r="C86" s="23" t="s">
        <v>325</v>
      </c>
      <c r="D86" s="37" t="n">
        <v>2882</v>
      </c>
      <c r="E86" s="37" t="n">
        <v>20352624.3143</v>
      </c>
      <c r="F86" s="37" t="n">
        <v>19993574.3054</v>
      </c>
      <c r="G86" s="38" t="n">
        <f aca="false">E86-F86</f>
        <v>359050.008900005</v>
      </c>
      <c r="H86" s="45" t="n">
        <v>0.0179582701629806</v>
      </c>
    </row>
    <row r="87" customFormat="false" ht="15" hidden="false" customHeight="false" outlineLevel="0" collapsed="false">
      <c r="A87" s="23" t="s">
        <v>217</v>
      </c>
      <c r="B87" s="23" t="s">
        <v>172</v>
      </c>
      <c r="C87" s="23" t="s">
        <v>326</v>
      </c>
      <c r="D87" s="37" t="n">
        <v>1903</v>
      </c>
      <c r="E87" s="37" t="n">
        <v>9827087.1252</v>
      </c>
      <c r="F87" s="37" t="n">
        <v>9178897.2217</v>
      </c>
      <c r="G87" s="38" t="n">
        <f aca="false">E87-F87</f>
        <v>648189.9035</v>
      </c>
      <c r="H87" s="45" t="n">
        <v>0.0706174051026088</v>
      </c>
    </row>
    <row r="88" customFormat="false" ht="15" hidden="false" customHeight="false" outlineLevel="0" collapsed="false">
      <c r="A88" s="23" t="s">
        <v>217</v>
      </c>
      <c r="B88" s="23" t="s">
        <v>172</v>
      </c>
      <c r="C88" s="23" t="s">
        <v>327</v>
      </c>
      <c r="D88" s="37" t="n">
        <v>988</v>
      </c>
      <c r="E88" s="37" t="n">
        <v>3244660.0078</v>
      </c>
      <c r="F88" s="37" t="n">
        <v>3073501.9895</v>
      </c>
      <c r="G88" s="38" t="n">
        <f aca="false">E88-F88</f>
        <v>171158.018299998</v>
      </c>
      <c r="H88" s="45" t="n">
        <v>0.0556882731440315</v>
      </c>
    </row>
    <row r="89" customFormat="false" ht="15" hidden="false" customHeight="false" outlineLevel="0" collapsed="false">
      <c r="A89" s="23" t="s">
        <v>217</v>
      </c>
      <c r="B89" s="23" t="s">
        <v>225</v>
      </c>
      <c r="C89" s="23" t="s">
        <v>323</v>
      </c>
      <c r="D89" s="37" t="n">
        <v>795</v>
      </c>
      <c r="E89" s="37" t="n">
        <v>13011570.0435</v>
      </c>
      <c r="F89" s="37" t="n">
        <v>12904081.2148</v>
      </c>
      <c r="G89" s="38" t="n">
        <f aca="false">E89-F89</f>
        <v>107488.828699978</v>
      </c>
      <c r="H89" s="45" t="n">
        <v>0.00832983200514256</v>
      </c>
    </row>
    <row r="90" customFormat="false" ht="15" hidden="false" customHeight="false" outlineLevel="0" collapsed="false">
      <c r="A90" s="23" t="s">
        <v>217</v>
      </c>
      <c r="B90" s="23" t="s">
        <v>225</v>
      </c>
      <c r="C90" s="23" t="s">
        <v>324</v>
      </c>
      <c r="D90" s="37" t="n">
        <v>775</v>
      </c>
      <c r="E90" s="37" t="n">
        <v>10387661.2591</v>
      </c>
      <c r="F90" s="37" t="n">
        <v>10438057.6835</v>
      </c>
      <c r="G90" s="38" t="n">
        <f aca="false">E90-F90</f>
        <v>-50396.4243999794</v>
      </c>
      <c r="H90" s="45" t="n">
        <v>-0.00482814197124667</v>
      </c>
    </row>
    <row r="91" customFormat="false" ht="15" hidden="false" customHeight="false" outlineLevel="0" collapsed="false">
      <c r="A91" s="23" t="s">
        <v>217</v>
      </c>
      <c r="B91" s="23" t="s">
        <v>225</v>
      </c>
      <c r="C91" s="23" t="s">
        <v>325</v>
      </c>
      <c r="D91" s="37" t="n">
        <v>760</v>
      </c>
      <c r="E91" s="37" t="n">
        <v>8775940.66489999</v>
      </c>
      <c r="F91" s="37" t="n">
        <v>8767382.6503</v>
      </c>
      <c r="G91" s="38" t="n">
        <f aca="false">E91-F91</f>
        <v>8558.01459999196</v>
      </c>
      <c r="H91" s="45" t="n">
        <v>0.000976119663227824</v>
      </c>
    </row>
    <row r="92" customFormat="false" ht="15" hidden="false" customHeight="false" outlineLevel="0" collapsed="false">
      <c r="A92" s="23" t="s">
        <v>217</v>
      </c>
      <c r="B92" s="23" t="s">
        <v>225</v>
      </c>
      <c r="C92" s="23" t="s">
        <v>326</v>
      </c>
      <c r="D92" s="37" t="n">
        <v>493</v>
      </c>
      <c r="E92" s="37" t="n">
        <v>3454415.3579</v>
      </c>
      <c r="F92" s="37" t="n">
        <v>3566578.596</v>
      </c>
      <c r="G92" s="38" t="n">
        <f aca="false">E92-F92</f>
        <v>-112163.238100003</v>
      </c>
      <c r="H92" s="45" t="n">
        <v>-0.031448413397028</v>
      </c>
    </row>
    <row r="93" customFormat="false" ht="15" hidden="false" customHeight="false" outlineLevel="0" collapsed="false">
      <c r="A93" s="23" t="s">
        <v>217</v>
      </c>
      <c r="B93" s="23" t="s">
        <v>225</v>
      </c>
      <c r="C93" s="23" t="s">
        <v>327</v>
      </c>
      <c r="D93" s="37" t="n">
        <v>278</v>
      </c>
      <c r="E93" s="37" t="n">
        <v>1493480.3162</v>
      </c>
      <c r="F93" s="37" t="n">
        <v>1407523.7617</v>
      </c>
      <c r="G93" s="38" t="n">
        <f aca="false">E93-F93</f>
        <v>85956.5545000006</v>
      </c>
      <c r="H93" s="45" t="n">
        <v>0.0610693452138827</v>
      </c>
    </row>
    <row r="94" customFormat="false" ht="15" hidden="false" customHeight="false" outlineLevel="0" collapsed="false">
      <c r="A94" s="23" t="s">
        <v>217</v>
      </c>
      <c r="B94" s="23" t="s">
        <v>226</v>
      </c>
      <c r="C94" s="23" t="s">
        <v>323</v>
      </c>
      <c r="D94" s="37" t="n">
        <v>2052</v>
      </c>
      <c r="E94" s="37" t="n">
        <v>15156603.1048</v>
      </c>
      <c r="F94" s="37" t="n">
        <v>14142988.6426</v>
      </c>
      <c r="G94" s="38" t="n">
        <f aca="false">E94-F94</f>
        <v>1013614.46219999</v>
      </c>
      <c r="H94" s="45" t="n">
        <v>0.0716690430724731</v>
      </c>
    </row>
    <row r="95" customFormat="false" ht="15" hidden="false" customHeight="false" outlineLevel="0" collapsed="false">
      <c r="A95" s="23" t="s">
        <v>217</v>
      </c>
      <c r="B95" s="23" t="s">
        <v>226</v>
      </c>
      <c r="C95" s="23" t="s">
        <v>324</v>
      </c>
      <c r="D95" s="37" t="n">
        <v>2045</v>
      </c>
      <c r="E95" s="37" t="n">
        <v>10904582.0059</v>
      </c>
      <c r="F95" s="37" t="n">
        <v>10424132.4718</v>
      </c>
      <c r="G95" s="38" t="n">
        <f aca="false">E95-F95</f>
        <v>480449.534100018</v>
      </c>
      <c r="H95" s="45" t="n">
        <v>0.0460901216863601</v>
      </c>
    </row>
    <row r="96" customFormat="false" ht="15" hidden="false" customHeight="false" outlineLevel="0" collapsed="false">
      <c r="A96" s="23" t="s">
        <v>217</v>
      </c>
      <c r="B96" s="23" t="s">
        <v>226</v>
      </c>
      <c r="C96" s="23" t="s">
        <v>325</v>
      </c>
      <c r="D96" s="37" t="n">
        <v>1997</v>
      </c>
      <c r="E96" s="37" t="n">
        <v>9184422.48539999</v>
      </c>
      <c r="F96" s="37" t="n">
        <v>9108282.6101</v>
      </c>
      <c r="G96" s="38" t="n">
        <f aca="false">E96-F96</f>
        <v>76139.8752999939</v>
      </c>
      <c r="H96" s="45" t="n">
        <v>0.00835941072091571</v>
      </c>
    </row>
    <row r="97" customFormat="false" ht="15" hidden="false" customHeight="false" outlineLevel="0" collapsed="false">
      <c r="A97" s="23" t="s">
        <v>217</v>
      </c>
      <c r="B97" s="23" t="s">
        <v>226</v>
      </c>
      <c r="C97" s="23" t="s">
        <v>326</v>
      </c>
      <c r="D97" s="37" t="n">
        <v>1359</v>
      </c>
      <c r="E97" s="37" t="n">
        <v>4409188.0277</v>
      </c>
      <c r="F97" s="37" t="n">
        <v>4183122.768</v>
      </c>
      <c r="G97" s="38" t="n">
        <f aca="false">E97-F97</f>
        <v>226065.259700003</v>
      </c>
      <c r="H97" s="45" t="n">
        <v>0.054042224490601</v>
      </c>
    </row>
    <row r="98" customFormat="false" ht="15" hidden="false" customHeight="false" outlineLevel="0" collapsed="false">
      <c r="A98" s="23" t="s">
        <v>217</v>
      </c>
      <c r="B98" s="23" t="s">
        <v>226</v>
      </c>
      <c r="C98" s="23" t="s">
        <v>327</v>
      </c>
      <c r="D98" s="37" t="n">
        <v>700</v>
      </c>
      <c r="E98" s="37" t="n">
        <v>1505933.9788</v>
      </c>
      <c r="F98" s="37" t="n">
        <v>1377783.245</v>
      </c>
      <c r="G98" s="38" t="n">
        <f aca="false">E98-F98</f>
        <v>128150.733799998</v>
      </c>
      <c r="H98" s="45" t="n">
        <v>0.0930122602848172</v>
      </c>
    </row>
    <row r="99" customFormat="false" ht="15" hidden="false" customHeight="false" outlineLevel="0" collapsed="false">
      <c r="A99" s="23" t="s">
        <v>217</v>
      </c>
      <c r="B99" s="23" t="s">
        <v>227</v>
      </c>
      <c r="C99" s="23" t="s">
        <v>323</v>
      </c>
      <c r="D99" s="37" t="n">
        <v>72</v>
      </c>
      <c r="E99" s="37" t="n">
        <v>614920.3273</v>
      </c>
      <c r="F99" s="37" t="n">
        <v>501682.9539</v>
      </c>
      <c r="G99" s="38" t="n">
        <f aca="false">E99-F99</f>
        <v>113237.3734</v>
      </c>
      <c r="H99" s="45" t="n">
        <v>0.225715010884287</v>
      </c>
    </row>
    <row r="100" customFormat="false" ht="15" hidden="false" customHeight="false" outlineLevel="0" collapsed="false">
      <c r="A100" s="23" t="s">
        <v>217</v>
      </c>
      <c r="B100" s="23" t="s">
        <v>227</v>
      </c>
      <c r="C100" s="23" t="s">
        <v>324</v>
      </c>
      <c r="D100" s="37" t="n">
        <v>88</v>
      </c>
      <c r="E100" s="37" t="n">
        <v>501997.5152</v>
      </c>
      <c r="F100" s="37" t="n">
        <v>527181.5751</v>
      </c>
      <c r="G100" s="38" t="n">
        <f aca="false">E100-F100</f>
        <v>-25184.0599</v>
      </c>
      <c r="H100" s="45" t="n">
        <v>-0.0477711306492889</v>
      </c>
    </row>
    <row r="101" customFormat="false" ht="15" hidden="false" customHeight="false" outlineLevel="0" collapsed="false">
      <c r="A101" s="23" t="s">
        <v>217</v>
      </c>
      <c r="B101" s="23" t="s">
        <v>227</v>
      </c>
      <c r="C101" s="23" t="s">
        <v>325</v>
      </c>
      <c r="D101" s="37" t="n">
        <v>73</v>
      </c>
      <c r="E101" s="37" t="n">
        <v>359624.9812</v>
      </c>
      <c r="F101" s="37" t="n">
        <v>361708.4059</v>
      </c>
      <c r="G101" s="38" t="n">
        <f aca="false">E101-F101</f>
        <v>-2083.42469999997</v>
      </c>
      <c r="H101" s="45" t="n">
        <v>-0.00575995654515142</v>
      </c>
    </row>
    <row r="102" customFormat="false" ht="15" hidden="false" customHeight="false" outlineLevel="0" collapsed="false">
      <c r="A102" s="23" t="s">
        <v>217</v>
      </c>
      <c r="B102" s="23" t="s">
        <v>227</v>
      </c>
      <c r="C102" s="23" t="s">
        <v>326</v>
      </c>
      <c r="D102" s="37" t="n">
        <v>61</v>
      </c>
      <c r="E102" s="37" t="n">
        <v>212598.9089</v>
      </c>
      <c r="F102" s="37" t="n">
        <v>176788.4794</v>
      </c>
      <c r="G102" s="38" t="n">
        <f aca="false">E102-F102</f>
        <v>35810.4294999999</v>
      </c>
      <c r="H102" s="45" t="n">
        <v>0.202560877391652</v>
      </c>
    </row>
    <row r="103" customFormat="false" ht="15" hidden="false" customHeight="false" outlineLevel="0" collapsed="false">
      <c r="A103" s="23" t="s">
        <v>217</v>
      </c>
      <c r="B103" s="23" t="s">
        <v>227</v>
      </c>
      <c r="C103" s="23" t="s">
        <v>327</v>
      </c>
      <c r="D103" s="37" t="n">
        <v>31</v>
      </c>
      <c r="E103" s="37" t="n">
        <v>73313.0612</v>
      </c>
      <c r="F103" s="37" t="n">
        <v>54119.6495</v>
      </c>
      <c r="G103" s="38" t="n">
        <f aca="false">E103-F103</f>
        <v>19193.4117</v>
      </c>
      <c r="H103" s="45" t="n">
        <v>0.35464774582474</v>
      </c>
    </row>
    <row r="104" customFormat="false" ht="15" hidden="false" customHeight="false" outlineLevel="0" collapsed="false">
      <c r="A104" s="23" t="s">
        <v>217</v>
      </c>
      <c r="B104" s="23" t="s">
        <v>228</v>
      </c>
      <c r="C104" s="23" t="s">
        <v>323</v>
      </c>
      <c r="D104" s="37" t="n">
        <v>170</v>
      </c>
      <c r="E104" s="37" t="n">
        <v>197676.0645</v>
      </c>
      <c r="F104" s="37" t="n">
        <v>139904.661</v>
      </c>
      <c r="G104" s="38" t="n">
        <f aca="false">E104-F104</f>
        <v>57771.4035000002</v>
      </c>
      <c r="H104" s="45"/>
    </row>
    <row r="105" customFormat="false" ht="15" hidden="false" customHeight="false" outlineLevel="0" collapsed="false">
      <c r="A105" s="23" t="s">
        <v>217</v>
      </c>
      <c r="B105" s="23" t="s">
        <v>228</v>
      </c>
      <c r="C105" s="23" t="s">
        <v>324</v>
      </c>
      <c r="D105" s="37" t="n">
        <v>165</v>
      </c>
      <c r="E105" s="37" t="n">
        <v>131123.1979</v>
      </c>
      <c r="F105" s="37" t="n">
        <v>128380.4665</v>
      </c>
      <c r="G105" s="38" t="n">
        <f aca="false">E105-F105</f>
        <v>2742.73139999996</v>
      </c>
      <c r="H105" s="45" t="n">
        <v>0.0213640865684188</v>
      </c>
    </row>
    <row r="106" customFormat="false" ht="15" hidden="false" customHeight="false" outlineLevel="0" collapsed="false">
      <c r="A106" s="23" t="s">
        <v>217</v>
      </c>
      <c r="B106" s="23" t="s">
        <v>228</v>
      </c>
      <c r="C106" s="23" t="s">
        <v>325</v>
      </c>
      <c r="D106" s="37" t="n">
        <v>172</v>
      </c>
      <c r="E106" s="37" t="n">
        <v>120270.6247</v>
      </c>
      <c r="F106" s="37" t="n">
        <v>119839.3808</v>
      </c>
      <c r="G106" s="38" t="n">
        <f aca="false">E106-F106</f>
        <v>431.243899999943</v>
      </c>
      <c r="H106" s="45" t="n">
        <v>0.00359851575601608</v>
      </c>
    </row>
    <row r="107" customFormat="false" ht="15" hidden="false" customHeight="false" outlineLevel="0" collapsed="false">
      <c r="A107" s="23" t="s">
        <v>217</v>
      </c>
      <c r="B107" s="23" t="s">
        <v>228</v>
      </c>
      <c r="C107" s="23" t="s">
        <v>326</v>
      </c>
      <c r="D107" s="37" t="n">
        <v>100</v>
      </c>
      <c r="E107" s="37" t="n">
        <v>68751.0011</v>
      </c>
      <c r="F107" s="37" t="n">
        <v>65845.9821</v>
      </c>
      <c r="G107" s="38" t="n">
        <f aca="false">E107-F107</f>
        <v>2905.019</v>
      </c>
      <c r="H107" s="45" t="n">
        <v>0.0441183942793679</v>
      </c>
    </row>
    <row r="108" customFormat="false" ht="15" hidden="false" customHeight="false" outlineLevel="0" collapsed="false">
      <c r="A108" s="23" t="s">
        <v>217</v>
      </c>
      <c r="B108" s="23" t="s">
        <v>228</v>
      </c>
      <c r="C108" s="23" t="s">
        <v>327</v>
      </c>
      <c r="D108" s="37" t="n">
        <v>48</v>
      </c>
      <c r="E108" s="37" t="n">
        <v>21883.4618</v>
      </c>
      <c r="F108" s="37" t="n">
        <v>27345.78</v>
      </c>
      <c r="G108" s="38" t="n">
        <f aca="false">E108-F108</f>
        <v>-5462.31819999999</v>
      </c>
      <c r="H108" s="45" t="n">
        <v>-0.199749950449393</v>
      </c>
    </row>
    <row r="109" customFormat="false" ht="15" hidden="false" customHeight="false" outlineLevel="0" collapsed="false">
      <c r="A109" s="23" t="s">
        <v>217</v>
      </c>
      <c r="B109" s="23" t="s">
        <v>229</v>
      </c>
      <c r="C109" s="23" t="s">
        <v>323</v>
      </c>
      <c r="D109" s="37" t="n">
        <v>76</v>
      </c>
      <c r="E109" s="37" t="n">
        <v>896674.1861</v>
      </c>
      <c r="F109" s="37" t="n">
        <v>862501.6175</v>
      </c>
      <c r="G109" s="38" t="n">
        <f aca="false">E109-F109</f>
        <v>34172.5686000004</v>
      </c>
      <c r="H109" s="45" t="n">
        <v>0.0396202950888959</v>
      </c>
    </row>
    <row r="110" customFormat="false" ht="15" hidden="false" customHeight="false" outlineLevel="0" collapsed="false">
      <c r="A110" s="23" t="s">
        <v>217</v>
      </c>
      <c r="B110" s="23" t="s">
        <v>229</v>
      </c>
      <c r="C110" s="23" t="s">
        <v>324</v>
      </c>
      <c r="D110" s="37" t="n">
        <v>84</v>
      </c>
      <c r="E110" s="37" t="n">
        <v>620536.5362</v>
      </c>
      <c r="F110" s="37" t="n">
        <v>765619.2681</v>
      </c>
      <c r="G110" s="38" t="n">
        <f aca="false">E110-F110</f>
        <v>-145082.7319</v>
      </c>
      <c r="H110" s="45" t="n">
        <v>-0.189497231776892</v>
      </c>
    </row>
    <row r="111" customFormat="false" ht="15" hidden="false" customHeight="false" outlineLevel="0" collapsed="false">
      <c r="A111" s="23" t="s">
        <v>217</v>
      </c>
      <c r="B111" s="23" t="s">
        <v>229</v>
      </c>
      <c r="C111" s="23" t="s">
        <v>325</v>
      </c>
      <c r="D111" s="37" t="n">
        <v>86</v>
      </c>
      <c r="E111" s="37" t="n">
        <v>709209.7558</v>
      </c>
      <c r="F111" s="37" t="n">
        <v>679669.3772</v>
      </c>
      <c r="G111" s="38" t="n">
        <f aca="false">E111-F111</f>
        <v>29540.3786000001</v>
      </c>
      <c r="H111" s="45" t="n">
        <v>0.0434628653150389</v>
      </c>
    </row>
    <row r="112" customFormat="false" ht="15" hidden="false" customHeight="false" outlineLevel="0" collapsed="false">
      <c r="A112" s="23" t="s">
        <v>217</v>
      </c>
      <c r="B112" s="23" t="s">
        <v>229</v>
      </c>
      <c r="C112" s="23" t="s">
        <v>326</v>
      </c>
      <c r="D112" s="37" t="n">
        <v>62</v>
      </c>
      <c r="E112" s="37" t="n">
        <v>348091.6289</v>
      </c>
      <c r="F112" s="37" t="n">
        <v>298635.573</v>
      </c>
      <c r="G112" s="38" t="n">
        <f aca="false">E112-F112</f>
        <v>49456.0559</v>
      </c>
      <c r="H112" s="45" t="n">
        <v>0.165606713906116</v>
      </c>
    </row>
    <row r="113" customFormat="false" ht="15" hidden="false" customHeight="false" outlineLevel="0" collapsed="false">
      <c r="A113" s="23" t="s">
        <v>217</v>
      </c>
      <c r="B113" s="23" t="s">
        <v>229</v>
      </c>
      <c r="C113" s="23" t="s">
        <v>327</v>
      </c>
      <c r="D113" s="37" t="n">
        <v>31</v>
      </c>
      <c r="E113" s="37" t="n">
        <v>141327.8236</v>
      </c>
      <c r="F113" s="37" t="n">
        <v>144524.1306</v>
      </c>
      <c r="G113" s="38" t="n">
        <f aca="false">E113-F113</f>
        <v>-3196.307</v>
      </c>
      <c r="H113" s="45" t="n">
        <v>-0.0221160783789555</v>
      </c>
    </row>
    <row r="117" customFormat="false" ht="15" hidden="false" customHeight="false" outlineLevel="0" collapsed="false">
      <c r="A117" s="20" t="s">
        <v>342</v>
      </c>
      <c r="B117" s="21"/>
      <c r="C117" s="21"/>
      <c r="D117" s="21"/>
      <c r="E117" s="21"/>
      <c r="F117" s="21"/>
      <c r="G117" s="21"/>
      <c r="H117" s="21"/>
      <c r="I117" s="21"/>
      <c r="J117" s="21"/>
      <c r="K117" s="21"/>
      <c r="L117" s="21"/>
      <c r="M117" s="21"/>
      <c r="N117" s="21"/>
    </row>
    <row r="118" customFormat="false" ht="13.5" hidden="false" customHeight="true" outlineLevel="0" collapsed="false">
      <c r="A118" s="26" t="s">
        <v>343</v>
      </c>
      <c r="B118" s="26"/>
      <c r="C118" s="26"/>
      <c r="D118" s="26"/>
      <c r="E118" s="26"/>
      <c r="F118" s="26"/>
      <c r="G118" s="26"/>
      <c r="H118" s="26"/>
      <c r="I118" s="26"/>
      <c r="J118" s="26"/>
      <c r="K118" s="26"/>
      <c r="L118" s="26"/>
      <c r="M118" s="26"/>
      <c r="N118" s="26"/>
    </row>
    <row r="119" customFormat="false" ht="30" hidden="false" customHeight="true" outlineLevel="0" collapsed="false">
      <c r="A119" s="22" t="s">
        <v>318</v>
      </c>
      <c r="B119" s="22" t="s">
        <v>189</v>
      </c>
      <c r="C119" s="22" t="s">
        <v>106</v>
      </c>
      <c r="D119" s="22" t="s">
        <v>297</v>
      </c>
      <c r="E119" s="22" t="s">
        <v>344</v>
      </c>
    </row>
    <row r="120" customFormat="false" ht="15" hidden="false" customHeight="false" outlineLevel="0" collapsed="false">
      <c r="A120" s="23" t="s">
        <v>224</v>
      </c>
      <c r="B120" s="23" t="s">
        <v>201</v>
      </c>
      <c r="C120" s="34" t="n">
        <v>2024</v>
      </c>
      <c r="D120" s="37" t="n">
        <v>20889221.4347</v>
      </c>
      <c r="E120" s="45" t="n">
        <v>0.0730623130010866</v>
      </c>
    </row>
    <row r="121" customFormat="false" ht="15" hidden="false" customHeight="false" outlineLevel="0" collapsed="false">
      <c r="A121" s="23" t="s">
        <v>224</v>
      </c>
      <c r="B121" s="23" t="s">
        <v>201</v>
      </c>
      <c r="C121" s="34" t="n">
        <v>2025</v>
      </c>
      <c r="D121" s="37" t="n">
        <v>22397427.5217</v>
      </c>
      <c r="E121" s="45" t="n">
        <v>0.0722002058197635</v>
      </c>
    </row>
    <row r="122" customFormat="false" ht="15" hidden="false" customHeight="false" outlineLevel="0" collapsed="false">
      <c r="A122" s="23" t="s">
        <v>224</v>
      </c>
      <c r="B122" s="23" t="s">
        <v>200</v>
      </c>
      <c r="C122" s="34" t="n">
        <v>2024</v>
      </c>
      <c r="D122" s="37" t="n">
        <v>29894771.0182</v>
      </c>
      <c r="E122" s="45" t="n">
        <v>0.0601760167079184</v>
      </c>
    </row>
    <row r="123" customFormat="false" ht="15" hidden="false" customHeight="false" outlineLevel="0" collapsed="false">
      <c r="A123" s="23" t="s">
        <v>224</v>
      </c>
      <c r="B123" s="23" t="s">
        <v>200</v>
      </c>
      <c r="C123" s="34" t="n">
        <v>2025</v>
      </c>
      <c r="D123" s="37" t="n">
        <v>31643454.8967</v>
      </c>
      <c r="E123" s="45" t="n">
        <v>0.0584946403314297</v>
      </c>
    </row>
    <row r="124" customFormat="false" ht="15" hidden="false" customHeight="false" outlineLevel="0" collapsed="false">
      <c r="A124" s="23" t="s">
        <v>224</v>
      </c>
      <c r="B124" s="23" t="s">
        <v>202</v>
      </c>
      <c r="C124" s="34" t="n">
        <v>2024</v>
      </c>
      <c r="D124" s="37" t="n">
        <v>19884140.4917</v>
      </c>
      <c r="E124" s="45" t="n">
        <v>0.0590280988293548</v>
      </c>
    </row>
    <row r="125" customFormat="false" ht="15" hidden="false" customHeight="false" outlineLevel="0" collapsed="false">
      <c r="A125" s="23" t="s">
        <v>224</v>
      </c>
      <c r="B125" s="23" t="s">
        <v>202</v>
      </c>
      <c r="C125" s="34" t="n">
        <v>2025</v>
      </c>
      <c r="D125" s="37" t="n">
        <v>20992621.4984</v>
      </c>
      <c r="E125" s="45" t="n">
        <v>0.0557469912849737</v>
      </c>
    </row>
    <row r="126" customFormat="false" ht="15" hidden="false" customHeight="false" outlineLevel="0" collapsed="false">
      <c r="A126" s="23" t="s">
        <v>224</v>
      </c>
      <c r="B126" s="23" t="s">
        <v>197</v>
      </c>
      <c r="C126" s="34" t="n">
        <v>2024</v>
      </c>
      <c r="D126" s="37" t="n">
        <v>46315745.6233999</v>
      </c>
      <c r="E126" s="45" t="n">
        <v>0.064108327107782</v>
      </c>
    </row>
    <row r="127" customFormat="false" ht="15" hidden="false" customHeight="false" outlineLevel="0" collapsed="false">
      <c r="A127" s="23" t="s">
        <v>224</v>
      </c>
      <c r="B127" s="23" t="s">
        <v>197</v>
      </c>
      <c r="C127" s="34" t="n">
        <v>2025</v>
      </c>
      <c r="D127" s="37" t="n">
        <v>48590063.8659</v>
      </c>
      <c r="E127" s="45" t="n">
        <v>0.0491046449082961</v>
      </c>
    </row>
    <row r="128" customFormat="false" ht="15" hidden="false" customHeight="false" outlineLevel="0" collapsed="false">
      <c r="A128" s="23" t="s">
        <v>224</v>
      </c>
      <c r="B128" s="23" t="s">
        <v>199</v>
      </c>
      <c r="C128" s="34" t="n">
        <v>2024</v>
      </c>
      <c r="D128" s="37" t="n">
        <v>28321827.464</v>
      </c>
      <c r="E128" s="45" t="n">
        <v>0.0404536627677765</v>
      </c>
    </row>
    <row r="129" customFormat="false" ht="15" hidden="false" customHeight="false" outlineLevel="0" collapsed="false">
      <c r="A129" s="23" t="s">
        <v>224</v>
      </c>
      <c r="B129" s="23" t="s">
        <v>199</v>
      </c>
      <c r="C129" s="34" t="n">
        <v>2025</v>
      </c>
      <c r="D129" s="37" t="n">
        <v>30421171.1201</v>
      </c>
      <c r="E129" s="45" t="n">
        <v>0.0741245831953628</v>
      </c>
    </row>
    <row r="130" customFormat="false" ht="15" hidden="false" customHeight="false" outlineLevel="0" collapsed="false">
      <c r="A130" s="23" t="s">
        <v>224</v>
      </c>
      <c r="B130" s="23" t="s">
        <v>195</v>
      </c>
      <c r="C130" s="34" t="n">
        <v>2024</v>
      </c>
      <c r="D130" s="37" t="n">
        <v>53088266.0159999</v>
      </c>
      <c r="E130" s="45" t="n">
        <v>0.0738240710631244</v>
      </c>
    </row>
    <row r="131" customFormat="false" ht="15" hidden="false" customHeight="false" outlineLevel="0" collapsed="false">
      <c r="A131" s="23" t="s">
        <v>224</v>
      </c>
      <c r="B131" s="23" t="s">
        <v>195</v>
      </c>
      <c r="C131" s="34" t="n">
        <v>2025</v>
      </c>
      <c r="D131" s="37" t="n">
        <v>55653878.3240999</v>
      </c>
      <c r="E131" s="45" t="n">
        <v>0.0483272952883176</v>
      </c>
    </row>
    <row r="132" customFormat="false" ht="15" hidden="false" customHeight="false" outlineLevel="0" collapsed="false">
      <c r="A132" s="23" t="s">
        <v>345</v>
      </c>
      <c r="B132" s="23" t="s">
        <v>201</v>
      </c>
      <c r="C132" s="34" t="n">
        <v>2024</v>
      </c>
      <c r="D132" s="37" t="n">
        <v>20327362.8009</v>
      </c>
      <c r="E132" s="45" t="n">
        <v>0.0783928363580519</v>
      </c>
    </row>
    <row r="133" customFormat="false" ht="15" hidden="false" customHeight="false" outlineLevel="0" collapsed="false">
      <c r="A133" s="23" t="s">
        <v>345</v>
      </c>
      <c r="B133" s="23" t="s">
        <v>201</v>
      </c>
      <c r="C133" s="34" t="n">
        <v>2025</v>
      </c>
      <c r="D133" s="37" t="n">
        <v>21371886.1571</v>
      </c>
      <c r="E133" s="45" t="n">
        <v>0.0513850894693402</v>
      </c>
    </row>
    <row r="134" customFormat="false" ht="15" hidden="false" customHeight="false" outlineLevel="0" collapsed="false">
      <c r="A134" s="23" t="s">
        <v>345</v>
      </c>
      <c r="B134" s="23" t="s">
        <v>200</v>
      </c>
      <c r="C134" s="34" t="n">
        <v>2024</v>
      </c>
      <c r="D134" s="37" t="n">
        <v>29595247.8112</v>
      </c>
      <c r="E134" s="45" t="n">
        <v>0.0769517668005175</v>
      </c>
    </row>
    <row r="135" customFormat="false" ht="15" hidden="false" customHeight="false" outlineLevel="0" collapsed="false">
      <c r="A135" s="23" t="s">
        <v>345</v>
      </c>
      <c r="B135" s="23" t="s">
        <v>200</v>
      </c>
      <c r="C135" s="34" t="n">
        <v>2025</v>
      </c>
      <c r="D135" s="37" t="n">
        <v>31527502.7785</v>
      </c>
      <c r="E135" s="45" t="n">
        <v>0.0652893660369629</v>
      </c>
    </row>
    <row r="136" customFormat="false" ht="15" hidden="false" customHeight="false" outlineLevel="0" collapsed="false">
      <c r="A136" s="23" t="s">
        <v>345</v>
      </c>
      <c r="B136" s="23" t="s">
        <v>202</v>
      </c>
      <c r="C136" s="34" t="n">
        <v>2024</v>
      </c>
      <c r="D136" s="37" t="n">
        <v>19633165.584</v>
      </c>
      <c r="E136" s="45" t="n">
        <v>0.0820706634110078</v>
      </c>
    </row>
    <row r="137" customFormat="false" ht="15" hidden="false" customHeight="false" outlineLevel="0" collapsed="false">
      <c r="A137" s="23" t="s">
        <v>345</v>
      </c>
      <c r="B137" s="23" t="s">
        <v>202</v>
      </c>
      <c r="C137" s="34" t="n">
        <v>2025</v>
      </c>
      <c r="D137" s="37" t="n">
        <v>21018206.2994</v>
      </c>
      <c r="E137" s="45" t="n">
        <v>0.0705459702600775</v>
      </c>
    </row>
    <row r="138" customFormat="false" ht="15" hidden="false" customHeight="false" outlineLevel="0" collapsed="false">
      <c r="A138" s="23" t="s">
        <v>345</v>
      </c>
      <c r="B138" s="23" t="s">
        <v>197</v>
      </c>
      <c r="C138" s="34" t="n">
        <v>2024</v>
      </c>
      <c r="D138" s="37" t="n">
        <v>45002967.3977001</v>
      </c>
      <c r="E138" s="45" t="n">
        <v>0.0622584914388669</v>
      </c>
    </row>
    <row r="139" customFormat="false" ht="15" hidden="false" customHeight="false" outlineLevel="0" collapsed="false">
      <c r="A139" s="23" t="s">
        <v>345</v>
      </c>
      <c r="B139" s="23" t="s">
        <v>197</v>
      </c>
      <c r="C139" s="34" t="n">
        <v>2025</v>
      </c>
      <c r="D139" s="37" t="n">
        <v>47479075.0589001</v>
      </c>
      <c r="E139" s="45" t="n">
        <v>0.055020986490028</v>
      </c>
    </row>
    <row r="140" customFormat="false" ht="15" hidden="false" customHeight="false" outlineLevel="0" collapsed="false">
      <c r="A140" s="23" t="s">
        <v>345</v>
      </c>
      <c r="B140" s="23" t="s">
        <v>199</v>
      </c>
      <c r="C140" s="34" t="n">
        <v>2024</v>
      </c>
      <c r="D140" s="37" t="n">
        <v>27838668.0906</v>
      </c>
      <c r="E140" s="45" t="n">
        <v>0.0732639435514284</v>
      </c>
    </row>
    <row r="141" customFormat="false" ht="15" hidden="false" customHeight="false" outlineLevel="0" collapsed="false">
      <c r="A141" s="23" t="s">
        <v>345</v>
      </c>
      <c r="B141" s="23" t="s">
        <v>199</v>
      </c>
      <c r="C141" s="34" t="n">
        <v>2025</v>
      </c>
      <c r="D141" s="37" t="n">
        <v>30241760.0677</v>
      </c>
      <c r="E141" s="45" t="n">
        <v>0.0863220887320899</v>
      </c>
    </row>
    <row r="142" customFormat="false" ht="15" hidden="false" customHeight="false" outlineLevel="0" collapsed="false">
      <c r="A142" s="23" t="s">
        <v>345</v>
      </c>
      <c r="B142" s="23" t="s">
        <v>195</v>
      </c>
      <c r="C142" s="34" t="n">
        <v>2024</v>
      </c>
      <c r="D142" s="37" t="n">
        <v>51523273.1991</v>
      </c>
      <c r="E142" s="45" t="n">
        <v>0.0757401602665075</v>
      </c>
    </row>
    <row r="143" customFormat="false" ht="15" hidden="false" customHeight="false" outlineLevel="0" collapsed="false">
      <c r="A143" s="23" t="s">
        <v>345</v>
      </c>
      <c r="B143" s="23" t="s">
        <v>195</v>
      </c>
      <c r="C143" s="34" t="n">
        <v>2025</v>
      </c>
      <c r="D143" s="37" t="n">
        <v>54768786.8012</v>
      </c>
      <c r="E143" s="45" t="n">
        <v>0.062991215436925</v>
      </c>
    </row>
    <row r="147" customFormat="false" ht="15" hidden="false" customHeight="false" outlineLevel="0" collapsed="false">
      <c r="A147" s="20" t="s">
        <v>346</v>
      </c>
      <c r="B147" s="21"/>
      <c r="C147" s="21"/>
      <c r="D147" s="21"/>
      <c r="E147" s="21"/>
      <c r="F147" s="21"/>
      <c r="G147" s="21"/>
      <c r="H147" s="21"/>
      <c r="I147" s="21"/>
      <c r="J147" s="21"/>
      <c r="K147" s="21"/>
      <c r="L147" s="21"/>
      <c r="M147" s="21"/>
      <c r="N147" s="21"/>
    </row>
    <row r="148" customFormat="false" ht="27.75" hidden="false" customHeight="true" outlineLevel="0" collapsed="false">
      <c r="A148" s="26" t="s">
        <v>347</v>
      </c>
      <c r="B148" s="26"/>
      <c r="C148" s="26"/>
      <c r="D148" s="26"/>
      <c r="E148" s="26"/>
      <c r="F148" s="26"/>
      <c r="G148" s="26"/>
      <c r="H148" s="26"/>
      <c r="I148" s="26"/>
      <c r="J148" s="26"/>
      <c r="K148" s="26"/>
      <c r="L148" s="26"/>
      <c r="M148" s="26"/>
      <c r="N148" s="26"/>
    </row>
    <row r="149" customFormat="false" ht="43.5" hidden="false" customHeight="true" outlineLevel="0" collapsed="false">
      <c r="A149" s="22" t="s">
        <v>208</v>
      </c>
      <c r="B149" s="22" t="s">
        <v>162</v>
      </c>
      <c r="C149" s="22" t="s">
        <v>189</v>
      </c>
      <c r="D149" s="22" t="s">
        <v>190</v>
      </c>
      <c r="E149" s="22" t="s">
        <v>191</v>
      </c>
      <c r="F149" s="22" t="s">
        <v>92</v>
      </c>
      <c r="G149" s="22" t="s">
        <v>163</v>
      </c>
      <c r="H149" s="22" t="s">
        <v>164</v>
      </c>
      <c r="I149" s="22" t="s">
        <v>348</v>
      </c>
      <c r="J149" s="22" t="s">
        <v>341</v>
      </c>
      <c r="K149" s="22" t="s">
        <v>194</v>
      </c>
      <c r="L149" s="22" t="s">
        <v>170</v>
      </c>
    </row>
    <row r="150" customFormat="false" ht="15" hidden="false" customHeight="false" outlineLevel="0" collapsed="false">
      <c r="A150" s="23" t="s">
        <v>216</v>
      </c>
      <c r="B150" s="23" t="s">
        <v>224</v>
      </c>
      <c r="C150" s="23" t="s">
        <v>201</v>
      </c>
      <c r="D150" s="34" t="n">
        <v>4100</v>
      </c>
      <c r="E150" s="23" t="s">
        <v>196</v>
      </c>
      <c r="F150" s="37" t="n">
        <v>1465</v>
      </c>
      <c r="G150" s="37" t="n">
        <v>16515292.5906</v>
      </c>
      <c r="H150" s="37" t="n">
        <v>17116952.7187</v>
      </c>
      <c r="I150" s="38" t="n">
        <f aca="false">G150-H150</f>
        <v>-601660.12810001</v>
      </c>
      <c r="J150" s="45" t="n">
        <v>-0.0351499556017757</v>
      </c>
      <c r="K150" s="45" t="n">
        <v>0.0856695053290227</v>
      </c>
      <c r="L150" s="46" t="str">
        <f aca="false">IF(I150&gt;0,"Actual above budget",IF(I150&lt;0,"Actual below budget","On budget"))</f>
        <v>Actual below budget</v>
      </c>
    </row>
    <row r="151" customFormat="false" ht="15" hidden="false" customHeight="false" outlineLevel="0" collapsed="false">
      <c r="A151" s="23" t="s">
        <v>216</v>
      </c>
      <c r="B151" s="23" t="s">
        <v>224</v>
      </c>
      <c r="C151" s="23" t="s">
        <v>201</v>
      </c>
      <c r="D151" s="34" t="n">
        <v>4110</v>
      </c>
      <c r="E151" s="23" t="s">
        <v>204</v>
      </c>
      <c r="F151" s="37" t="n">
        <v>1440</v>
      </c>
      <c r="G151" s="37" t="n">
        <v>2572901.9624</v>
      </c>
      <c r="H151" s="37" t="n">
        <v>2665314.5504</v>
      </c>
      <c r="I151" s="38" t="n">
        <f aca="false">G151-H151</f>
        <v>-92412.588</v>
      </c>
      <c r="J151" s="45" t="n">
        <v>-0.0346723008682526</v>
      </c>
      <c r="K151" s="45" t="n">
        <v>0.0131584931930523</v>
      </c>
      <c r="L151" s="46" t="str">
        <f aca="false">IF(I151&gt;0,"Actual above budget",IF(I151&lt;0,"Actual below budget","On budget"))</f>
        <v>Actual below budget</v>
      </c>
    </row>
    <row r="152" customFormat="false" ht="15" hidden="false" customHeight="false" outlineLevel="0" collapsed="false">
      <c r="A152" s="23" t="s">
        <v>216</v>
      </c>
      <c r="B152" s="23" t="s">
        <v>224</v>
      </c>
      <c r="C152" s="23" t="s">
        <v>201</v>
      </c>
      <c r="D152" s="34" t="n">
        <v>4120</v>
      </c>
      <c r="E152" s="23" t="s">
        <v>349</v>
      </c>
      <c r="F152" s="37" t="n">
        <v>52</v>
      </c>
      <c r="G152" s="37" t="n">
        <v>576538.4066</v>
      </c>
      <c r="H152" s="37" t="n">
        <v>595802.8673</v>
      </c>
      <c r="I152" s="38" t="n">
        <f aca="false">G152-H152</f>
        <v>-19264.4606999998</v>
      </c>
      <c r="J152" s="45" t="n">
        <v>-0.032333615290072</v>
      </c>
      <c r="K152" s="45" t="n">
        <v>0.00274303837252964</v>
      </c>
      <c r="L152" s="46" t="str">
        <f aca="false">IF(I152&gt;0,"Actual above budget",IF(I152&lt;0,"Actual below budget","On budget"))</f>
        <v>Actual below budget</v>
      </c>
    </row>
    <row r="153" customFormat="false" ht="15" hidden="false" customHeight="false" outlineLevel="0" collapsed="false">
      <c r="A153" s="23" t="s">
        <v>216</v>
      </c>
      <c r="B153" s="23" t="s">
        <v>224</v>
      </c>
      <c r="C153" s="23" t="s">
        <v>201</v>
      </c>
      <c r="D153" s="34" t="n">
        <v>4190</v>
      </c>
      <c r="E153" s="23" t="s">
        <v>350</v>
      </c>
      <c r="F153" s="37" t="n">
        <v>1635</v>
      </c>
      <c r="G153" s="37" t="n">
        <v>-217287.6419</v>
      </c>
      <c r="H153" s="37" t="n">
        <v>-214671.8143</v>
      </c>
      <c r="I153" s="38" t="n">
        <f aca="false">G153-H153</f>
        <v>-2615.82759999999</v>
      </c>
      <c r="J153" s="45"/>
      <c r="K153" s="45" t="n">
        <v>0.000372463864650107</v>
      </c>
      <c r="L153" s="46" t="str">
        <f aca="false">IF(I153&gt;0,"Actual above budget",IF(I153&lt;0,"Actual below budget","On budget"))</f>
        <v>Actual below budget</v>
      </c>
    </row>
    <row r="154" customFormat="false" ht="15" hidden="false" customHeight="false" outlineLevel="0" collapsed="false">
      <c r="A154" s="23" t="s">
        <v>216</v>
      </c>
      <c r="B154" s="23" t="s">
        <v>224</v>
      </c>
      <c r="C154" s="23" t="s">
        <v>200</v>
      </c>
      <c r="D154" s="34" t="n">
        <v>4100</v>
      </c>
      <c r="E154" s="23" t="s">
        <v>196</v>
      </c>
      <c r="F154" s="37" t="n">
        <v>1458</v>
      </c>
      <c r="G154" s="37" t="n">
        <v>23532210.7044</v>
      </c>
      <c r="H154" s="37" t="n">
        <v>24390095.5505</v>
      </c>
      <c r="I154" s="38" t="n">
        <f aca="false">G154-H154</f>
        <v>-857884.846100021</v>
      </c>
      <c r="J154" s="45" t="n">
        <v>-0.0351734926303892</v>
      </c>
      <c r="K154" s="45" t="n">
        <v>0.122152968033202</v>
      </c>
      <c r="L154" s="46" t="str">
        <f aca="false">IF(I154&gt;0,"Actual above budget",IF(I154&lt;0,"Actual below budget","On budget"))</f>
        <v>Actual below budget</v>
      </c>
    </row>
    <row r="155" customFormat="false" ht="15" hidden="false" customHeight="false" outlineLevel="0" collapsed="false">
      <c r="A155" s="23" t="s">
        <v>216</v>
      </c>
      <c r="B155" s="23" t="s">
        <v>224</v>
      </c>
      <c r="C155" s="23" t="s">
        <v>200</v>
      </c>
      <c r="D155" s="34" t="n">
        <v>4110</v>
      </c>
      <c r="E155" s="23" t="s">
        <v>204</v>
      </c>
      <c r="F155" s="37" t="n">
        <v>1472</v>
      </c>
      <c r="G155" s="37" t="n">
        <v>3640518.3144</v>
      </c>
      <c r="H155" s="37" t="n">
        <v>3776003.1442</v>
      </c>
      <c r="I155" s="38" t="n">
        <f aca="false">G155-H155</f>
        <v>-135484.829800001</v>
      </c>
      <c r="J155" s="45" t="n">
        <v>-0.0358804864895589</v>
      </c>
      <c r="K155" s="45" t="n">
        <v>0.0192914866823678</v>
      </c>
      <c r="L155" s="46" t="str">
        <f aca="false">IF(I155&gt;0,"Actual above budget",IF(I155&lt;0,"Actual below budget","On budget"))</f>
        <v>Actual below budget</v>
      </c>
    </row>
    <row r="156" customFormat="false" ht="15" hidden="false" customHeight="false" outlineLevel="0" collapsed="false">
      <c r="A156" s="23" t="s">
        <v>216</v>
      </c>
      <c r="B156" s="23" t="s">
        <v>224</v>
      </c>
      <c r="C156" s="23" t="s">
        <v>200</v>
      </c>
      <c r="D156" s="34" t="n">
        <v>4120</v>
      </c>
      <c r="E156" s="23" t="s">
        <v>349</v>
      </c>
      <c r="F156" s="37" t="n">
        <v>64</v>
      </c>
      <c r="G156" s="37" t="n">
        <v>870596.7431</v>
      </c>
      <c r="H156" s="37" t="n">
        <v>898774.0136</v>
      </c>
      <c r="I156" s="38" t="n">
        <f aca="false">G156-H156</f>
        <v>-28177.2705000001</v>
      </c>
      <c r="J156" s="45" t="n">
        <v>-0.0313507845950476</v>
      </c>
      <c r="K156" s="45" t="n">
        <v>0.00401212031929072</v>
      </c>
      <c r="L156" s="46" t="str">
        <f aca="false">IF(I156&gt;0,"Actual above budget",IF(I156&lt;0,"Actual below budget","On budget"))</f>
        <v>Actual below budget</v>
      </c>
    </row>
    <row r="157" customFormat="false" ht="15" hidden="false" customHeight="false" outlineLevel="0" collapsed="false">
      <c r="A157" s="23" t="s">
        <v>216</v>
      </c>
      <c r="B157" s="23" t="s">
        <v>224</v>
      </c>
      <c r="C157" s="23" t="s">
        <v>200</v>
      </c>
      <c r="D157" s="34" t="n">
        <v>4190</v>
      </c>
      <c r="E157" s="23" t="s">
        <v>350</v>
      </c>
      <c r="F157" s="37" t="n">
        <v>1592</v>
      </c>
      <c r="G157" s="37" t="n">
        <v>-303133.322</v>
      </c>
      <c r="H157" s="37" t="n">
        <v>-295927.9675</v>
      </c>
      <c r="I157" s="38" t="n">
        <f aca="false">G157-H157</f>
        <v>-7205.35450000002</v>
      </c>
      <c r="J157" s="45"/>
      <c r="K157" s="45" t="n">
        <v>0.00102595988483494</v>
      </c>
      <c r="L157" s="46" t="str">
        <f aca="false">IF(I157&gt;0,"Actual above budget",IF(I157&lt;0,"Actual below budget","On budget"))</f>
        <v>Actual below budget</v>
      </c>
    </row>
    <row r="158" customFormat="false" ht="15" hidden="false" customHeight="false" outlineLevel="0" collapsed="false">
      <c r="A158" s="23" t="s">
        <v>216</v>
      </c>
      <c r="B158" s="23" t="s">
        <v>224</v>
      </c>
      <c r="C158" s="23" t="s">
        <v>202</v>
      </c>
      <c r="D158" s="34" t="n">
        <v>4100</v>
      </c>
      <c r="E158" s="23" t="s">
        <v>196</v>
      </c>
      <c r="F158" s="37" t="n">
        <v>1482</v>
      </c>
      <c r="G158" s="37" t="n">
        <v>16378411.5248</v>
      </c>
      <c r="H158" s="37" t="n">
        <v>16964616.433</v>
      </c>
      <c r="I158" s="38" t="n">
        <f aca="false">G158-H158</f>
        <v>-586204.908200016</v>
      </c>
      <c r="J158" s="45" t="n">
        <v>-0.0345545630527608</v>
      </c>
      <c r="K158" s="45" t="n">
        <v>0.0834688591805644</v>
      </c>
      <c r="L158" s="46" t="str">
        <f aca="false">IF(I158&gt;0,"Actual above budget",IF(I158&lt;0,"Actual below budget","On budget"))</f>
        <v>Actual below budget</v>
      </c>
    </row>
    <row r="159" customFormat="false" ht="15" hidden="false" customHeight="false" outlineLevel="0" collapsed="false">
      <c r="A159" s="23" t="s">
        <v>216</v>
      </c>
      <c r="B159" s="23" t="s">
        <v>224</v>
      </c>
      <c r="C159" s="23" t="s">
        <v>202</v>
      </c>
      <c r="D159" s="34" t="n">
        <v>4110</v>
      </c>
      <c r="E159" s="23" t="s">
        <v>204</v>
      </c>
      <c r="F159" s="37" t="n">
        <v>1450</v>
      </c>
      <c r="G159" s="37" t="n">
        <v>2404293.4743</v>
      </c>
      <c r="H159" s="37" t="n">
        <v>2487337.094</v>
      </c>
      <c r="I159" s="38" t="n">
        <f aca="false">G159-H159</f>
        <v>-83043.619699996</v>
      </c>
      <c r="J159" s="45" t="n">
        <v>-0.0333865562091763</v>
      </c>
      <c r="K159" s="45" t="n">
        <v>0.0118244595048985</v>
      </c>
      <c r="L159" s="46" t="str">
        <f aca="false">IF(I159&gt;0,"Actual above budget",IF(I159&lt;0,"Actual below budget","On budget"))</f>
        <v>Actual below budget</v>
      </c>
    </row>
    <row r="160" customFormat="false" ht="15" hidden="false" customHeight="false" outlineLevel="0" collapsed="false">
      <c r="A160" s="23" t="s">
        <v>216</v>
      </c>
      <c r="B160" s="23" t="s">
        <v>224</v>
      </c>
      <c r="C160" s="23" t="s">
        <v>202</v>
      </c>
      <c r="D160" s="34" t="n">
        <v>4120</v>
      </c>
      <c r="E160" s="23" t="s">
        <v>349</v>
      </c>
      <c r="F160" s="37" t="n">
        <v>53</v>
      </c>
      <c r="G160" s="37" t="n">
        <v>497349.7597</v>
      </c>
      <c r="H160" s="37" t="n">
        <v>517123.1244</v>
      </c>
      <c r="I160" s="38" t="n">
        <f aca="false">G160-H160</f>
        <v>-19773.3647</v>
      </c>
      <c r="J160" s="45" t="n">
        <v>-0.0382372471216451</v>
      </c>
      <c r="K160" s="45" t="n">
        <v>0.00281550046849342</v>
      </c>
      <c r="L160" s="46" t="str">
        <f aca="false">IF(I160&gt;0,"Actual above budget",IF(I160&lt;0,"Actual below budget","On budget"))</f>
        <v>Actual below budget</v>
      </c>
    </row>
    <row r="161" customFormat="false" ht="15" hidden="false" customHeight="false" outlineLevel="0" collapsed="false">
      <c r="A161" s="23" t="s">
        <v>216</v>
      </c>
      <c r="B161" s="23" t="s">
        <v>224</v>
      </c>
      <c r="C161" s="23" t="s">
        <v>202</v>
      </c>
      <c r="D161" s="34" t="n">
        <v>4190</v>
      </c>
      <c r="E161" s="23" t="s">
        <v>350</v>
      </c>
      <c r="F161" s="37" t="n">
        <v>1611</v>
      </c>
      <c r="G161" s="37" t="n">
        <v>-249768.1807</v>
      </c>
      <c r="H161" s="37" t="n">
        <v>-245896.1558</v>
      </c>
      <c r="I161" s="38" t="n">
        <f aca="false">G161-H161</f>
        <v>-3872.02489999947</v>
      </c>
      <c r="J161" s="45"/>
      <c r="K161" s="45" t="n">
        <v>0.000551331960208481</v>
      </c>
      <c r="L161" s="46" t="str">
        <f aca="false">IF(I161&gt;0,"Actual above budget",IF(I161&lt;0,"Actual below budget","On budget"))</f>
        <v>Actual below budget</v>
      </c>
    </row>
    <row r="162" customFormat="false" ht="15" hidden="false" customHeight="false" outlineLevel="0" collapsed="false">
      <c r="A162" s="23" t="s">
        <v>216</v>
      </c>
      <c r="B162" s="23" t="s">
        <v>224</v>
      </c>
      <c r="C162" s="23" t="s">
        <v>197</v>
      </c>
      <c r="D162" s="34" t="n">
        <v>4100</v>
      </c>
      <c r="E162" s="23" t="s">
        <v>196</v>
      </c>
      <c r="F162" s="37" t="n">
        <v>1506</v>
      </c>
      <c r="G162" s="37" t="n">
        <v>39062315.7333999</v>
      </c>
      <c r="H162" s="37" t="n">
        <v>40431207.2525</v>
      </c>
      <c r="I162" s="38" t="n">
        <f aca="false">G162-H162</f>
        <v>-1368891.5191001</v>
      </c>
      <c r="J162" s="45" t="n">
        <v>-0.0338573001432045</v>
      </c>
      <c r="K162" s="45" t="n">
        <v>0.194914460528952</v>
      </c>
      <c r="L162" s="46" t="str">
        <f aca="false">IF(I162&gt;0,"Actual above budget",IF(I162&lt;0,"Actual below budget","On budget"))</f>
        <v>Actual below budget</v>
      </c>
    </row>
    <row r="163" customFormat="false" ht="15" hidden="false" customHeight="false" outlineLevel="0" collapsed="false">
      <c r="A163" s="23" t="s">
        <v>216</v>
      </c>
      <c r="B163" s="23" t="s">
        <v>224</v>
      </c>
      <c r="C163" s="23" t="s">
        <v>197</v>
      </c>
      <c r="D163" s="34" t="n">
        <v>4110</v>
      </c>
      <c r="E163" s="23" t="s">
        <v>204</v>
      </c>
      <c r="F163" s="37" t="n">
        <v>1453</v>
      </c>
      <c r="G163" s="37" t="n">
        <v>5707360.3489</v>
      </c>
      <c r="H163" s="37" t="n">
        <v>5912906.03610001</v>
      </c>
      <c r="I163" s="38" t="n">
        <f aca="false">G163-H163</f>
        <v>-205545.687200007</v>
      </c>
      <c r="J163" s="45" t="n">
        <v>-0.03476221099153</v>
      </c>
      <c r="K163" s="45" t="n">
        <v>0.0292673496589279</v>
      </c>
      <c r="L163" s="46" t="str">
        <f aca="false">IF(I163&gt;0,"Actual above budget",IF(I163&lt;0,"Actual below budget","On budget"))</f>
        <v>Actual below budget</v>
      </c>
    </row>
    <row r="164" customFormat="false" ht="15" hidden="false" customHeight="false" outlineLevel="0" collapsed="false">
      <c r="A164" s="23" t="s">
        <v>216</v>
      </c>
      <c r="B164" s="23" t="s">
        <v>224</v>
      </c>
      <c r="C164" s="23" t="s">
        <v>197</v>
      </c>
      <c r="D164" s="34" t="n">
        <v>4120</v>
      </c>
      <c r="E164" s="23" t="s">
        <v>349</v>
      </c>
      <c r="F164" s="37" t="n">
        <v>53</v>
      </c>
      <c r="G164" s="37" t="n">
        <v>1213649.2649</v>
      </c>
      <c r="H164" s="37" t="n">
        <v>1256146.4243</v>
      </c>
      <c r="I164" s="38" t="n">
        <f aca="false">G164-H164</f>
        <v>-42497.1593999995</v>
      </c>
      <c r="J164" s="45" t="n">
        <v>-0.0338313739369055</v>
      </c>
      <c r="K164" s="45" t="n">
        <v>0.00605110834780383</v>
      </c>
      <c r="L164" s="46" t="str">
        <f aca="false">IF(I164&gt;0,"Actual above budget",IF(I164&lt;0,"Actual below budget","On budget"))</f>
        <v>Actual below budget</v>
      </c>
    </row>
    <row r="165" customFormat="false" ht="15" hidden="false" customHeight="false" outlineLevel="0" collapsed="false">
      <c r="A165" s="23" t="s">
        <v>216</v>
      </c>
      <c r="B165" s="23" t="s">
        <v>224</v>
      </c>
      <c r="C165" s="23" t="s">
        <v>197</v>
      </c>
      <c r="D165" s="34" t="n">
        <v>4190</v>
      </c>
      <c r="E165" s="23" t="s">
        <v>350</v>
      </c>
      <c r="F165" s="37" t="n">
        <v>1538</v>
      </c>
      <c r="G165" s="37" t="n">
        <v>-626996.729599999</v>
      </c>
      <c r="H165" s="37" t="n">
        <v>-604907.9525</v>
      </c>
      <c r="I165" s="38" t="n">
        <f aca="false">G165-H165</f>
        <v>-22088.7770999991</v>
      </c>
      <c r="J165" s="45"/>
      <c r="K165" s="45" t="n">
        <v>0.0031451886523641</v>
      </c>
      <c r="L165" s="46" t="str">
        <f aca="false">IF(I165&gt;0,"Actual above budget",IF(I165&lt;0,"Actual below budget","On budget"))</f>
        <v>Actual below budget</v>
      </c>
    </row>
    <row r="166" customFormat="false" ht="15" hidden="false" customHeight="false" outlineLevel="0" collapsed="false">
      <c r="A166" s="23" t="s">
        <v>216</v>
      </c>
      <c r="B166" s="23" t="s">
        <v>224</v>
      </c>
      <c r="C166" s="23" t="s">
        <v>199</v>
      </c>
      <c r="D166" s="34" t="n">
        <v>4100</v>
      </c>
      <c r="E166" s="23" t="s">
        <v>196</v>
      </c>
      <c r="F166" s="37" t="n">
        <v>1497</v>
      </c>
      <c r="G166" s="37" t="n">
        <v>22882184.6045</v>
      </c>
      <c r="H166" s="37" t="n">
        <v>23743615.0525</v>
      </c>
      <c r="I166" s="38" t="n">
        <f aca="false">G166-H166</f>
        <v>-861430.44800001</v>
      </c>
      <c r="J166" s="45" t="n">
        <v>-0.0362805093535788</v>
      </c>
      <c r="K166" s="45" t="n">
        <v>0.122657821100043</v>
      </c>
      <c r="L166" s="46" t="str">
        <f aca="false">IF(I166&gt;0,"Actual above budget",IF(I166&lt;0,"Actual below budget","On budget"))</f>
        <v>Actual below budget</v>
      </c>
    </row>
    <row r="167" customFormat="false" ht="15" hidden="false" customHeight="false" outlineLevel="0" collapsed="false">
      <c r="A167" s="23" t="s">
        <v>216</v>
      </c>
      <c r="B167" s="23" t="s">
        <v>224</v>
      </c>
      <c r="C167" s="23" t="s">
        <v>199</v>
      </c>
      <c r="D167" s="34" t="n">
        <v>4110</v>
      </c>
      <c r="E167" s="23" t="s">
        <v>204</v>
      </c>
      <c r="F167" s="37" t="n">
        <v>1448</v>
      </c>
      <c r="G167" s="37" t="n">
        <v>3473963.8268</v>
      </c>
      <c r="H167" s="37" t="n">
        <v>3598201.7476</v>
      </c>
      <c r="I167" s="38" t="n">
        <f aca="false">G167-H167</f>
        <v>-124237.920799998</v>
      </c>
      <c r="J167" s="45" t="n">
        <v>-0.0345277806845786</v>
      </c>
      <c r="K167" s="45" t="n">
        <v>0.0176900557656254</v>
      </c>
      <c r="L167" s="46" t="str">
        <f aca="false">IF(I167&gt;0,"Actual above budget",IF(I167&lt;0,"Actual below budget","On budget"))</f>
        <v>Actual below budget</v>
      </c>
    </row>
    <row r="168" customFormat="false" ht="15" hidden="false" customHeight="false" outlineLevel="0" collapsed="false">
      <c r="A168" s="23" t="s">
        <v>216</v>
      </c>
      <c r="B168" s="23" t="s">
        <v>224</v>
      </c>
      <c r="C168" s="23" t="s">
        <v>199</v>
      </c>
      <c r="D168" s="34" t="n">
        <v>4120</v>
      </c>
      <c r="E168" s="23" t="s">
        <v>349</v>
      </c>
      <c r="F168" s="37" t="n">
        <v>41</v>
      </c>
      <c r="G168" s="37" t="n">
        <v>623304.8532</v>
      </c>
      <c r="H168" s="37" t="n">
        <v>645448.8053</v>
      </c>
      <c r="I168" s="38" t="n">
        <f aca="false">G168-H168</f>
        <v>-22143.9521000001</v>
      </c>
      <c r="J168" s="45" t="n">
        <v>-0.0343078365288904</v>
      </c>
      <c r="K168" s="45" t="n">
        <v>0.00315304493988551</v>
      </c>
      <c r="L168" s="46" t="str">
        <f aca="false">IF(I168&gt;0,"Actual above budget",IF(I168&lt;0,"Actual below budget","On budget"))</f>
        <v>Actual below budget</v>
      </c>
    </row>
    <row r="169" customFormat="false" ht="15" hidden="false" customHeight="false" outlineLevel="0" collapsed="false">
      <c r="A169" s="23" t="s">
        <v>216</v>
      </c>
      <c r="B169" s="23" t="s">
        <v>224</v>
      </c>
      <c r="C169" s="23" t="s">
        <v>199</v>
      </c>
      <c r="D169" s="34" t="n">
        <v>4190</v>
      </c>
      <c r="E169" s="23" t="s">
        <v>350</v>
      </c>
      <c r="F169" s="37" t="n">
        <v>1638</v>
      </c>
      <c r="G169" s="37" t="n">
        <v>-412202.8952</v>
      </c>
      <c r="H169" s="37" t="n">
        <v>-401866.14</v>
      </c>
      <c r="I169" s="38" t="n">
        <f aca="false">G169-H169</f>
        <v>-10336.7552000005</v>
      </c>
      <c r="J169" s="45"/>
      <c r="K169" s="45" t="n">
        <v>0.00147183544884001</v>
      </c>
      <c r="L169" s="46" t="str">
        <f aca="false">IF(I169&gt;0,"Actual above budget",IF(I169&lt;0,"Actual below budget","On budget"))</f>
        <v>Actual below budget</v>
      </c>
    </row>
    <row r="170" customFormat="false" ht="15" hidden="false" customHeight="false" outlineLevel="0" collapsed="false">
      <c r="A170" s="23" t="s">
        <v>216</v>
      </c>
      <c r="B170" s="23" t="s">
        <v>224</v>
      </c>
      <c r="C170" s="23" t="s">
        <v>195</v>
      </c>
      <c r="D170" s="34" t="n">
        <v>4100</v>
      </c>
      <c r="E170" s="23" t="s">
        <v>196</v>
      </c>
      <c r="F170" s="37" t="n">
        <v>1549</v>
      </c>
      <c r="G170" s="37" t="n">
        <v>45163683.9592</v>
      </c>
      <c r="H170" s="37" t="n">
        <v>46799585.5188</v>
      </c>
      <c r="I170" s="38" t="n">
        <f aca="false">G170-H170</f>
        <v>-1635901.55960008</v>
      </c>
      <c r="J170" s="45" t="n">
        <v>-0.0349554711108037</v>
      </c>
      <c r="K170" s="45" t="n">
        <v>0.232933629523503</v>
      </c>
      <c r="L170" s="46" t="str">
        <f aca="false">IF(I170&gt;0,"Actual above budget",IF(I170&lt;0,"Actual below budget","On budget"))</f>
        <v>Actual below budget</v>
      </c>
    </row>
    <row r="171" customFormat="false" ht="15" hidden="false" customHeight="false" outlineLevel="0" collapsed="false">
      <c r="A171" s="23" t="s">
        <v>216</v>
      </c>
      <c r="B171" s="23" t="s">
        <v>224</v>
      </c>
      <c r="C171" s="23" t="s">
        <v>195</v>
      </c>
      <c r="D171" s="34" t="n">
        <v>4110</v>
      </c>
      <c r="E171" s="23" t="s">
        <v>204</v>
      </c>
      <c r="F171" s="37" t="n">
        <v>1457</v>
      </c>
      <c r="G171" s="37" t="n">
        <v>6581105.24449999</v>
      </c>
      <c r="H171" s="37" t="n">
        <v>6816998.04429999</v>
      </c>
      <c r="I171" s="38" t="n">
        <f aca="false">G171-H171</f>
        <v>-235892.7998</v>
      </c>
      <c r="J171" s="45" t="n">
        <v>-0.0346036185234409</v>
      </c>
      <c r="K171" s="45" t="n">
        <v>0.0335884306200616</v>
      </c>
      <c r="L171" s="46" t="str">
        <f aca="false">IF(I171&gt;0,"Actual above budget",IF(I171&lt;0,"Actual below budget","On budget"))</f>
        <v>Actual below budget</v>
      </c>
    </row>
    <row r="172" customFormat="false" ht="15" hidden="false" customHeight="false" outlineLevel="0" collapsed="false">
      <c r="A172" s="23" t="s">
        <v>216</v>
      </c>
      <c r="B172" s="23" t="s">
        <v>224</v>
      </c>
      <c r="C172" s="23" t="s">
        <v>195</v>
      </c>
      <c r="D172" s="34" t="n">
        <v>4120</v>
      </c>
      <c r="E172" s="23" t="s">
        <v>349</v>
      </c>
      <c r="F172" s="37" t="n">
        <v>49</v>
      </c>
      <c r="G172" s="37" t="n">
        <v>1179962.2012</v>
      </c>
      <c r="H172" s="37" t="n">
        <v>1222470.1697</v>
      </c>
      <c r="I172" s="38" t="n">
        <f aca="false">G172-H172</f>
        <v>-42507.9685</v>
      </c>
      <c r="J172" s="45" t="n">
        <v>-0.0347721928547603</v>
      </c>
      <c r="K172" s="45" t="n">
        <v>0.00605264743973764</v>
      </c>
      <c r="L172" s="46" t="str">
        <f aca="false">IF(I172&gt;0,"Actual above budget",IF(I172&lt;0,"Actual below budget","On budget"))</f>
        <v>Actual below budget</v>
      </c>
    </row>
    <row r="173" customFormat="false" ht="15" hidden="false" customHeight="false" outlineLevel="0" collapsed="false">
      <c r="A173" s="23" t="s">
        <v>216</v>
      </c>
      <c r="B173" s="23" t="s">
        <v>224</v>
      </c>
      <c r="C173" s="23" t="s">
        <v>195</v>
      </c>
      <c r="D173" s="34" t="n">
        <v>4190</v>
      </c>
      <c r="E173" s="23" t="s">
        <v>350</v>
      </c>
      <c r="F173" s="37" t="n">
        <v>1534</v>
      </c>
      <c r="G173" s="37" t="n">
        <v>-669539.1189</v>
      </c>
      <c r="H173" s="37" t="n">
        <v>-655575.627</v>
      </c>
      <c r="I173" s="38" t="n">
        <f aca="false">G173-H173</f>
        <v>-13963.4918999996</v>
      </c>
      <c r="J173" s="45"/>
      <c r="K173" s="45" t="n">
        <v>0.00198824118114071</v>
      </c>
      <c r="L173" s="46" t="str">
        <f aca="false">IF(I173&gt;0,"Actual above budget",IF(I173&lt;0,"Actual below budget","On budget"))</f>
        <v>Actual below budget</v>
      </c>
    </row>
    <row r="174" customFormat="false" ht="15" hidden="false" customHeight="false" outlineLevel="0" collapsed="false">
      <c r="A174" s="23" t="s">
        <v>216</v>
      </c>
      <c r="B174" s="23" t="s">
        <v>172</v>
      </c>
      <c r="C174" s="23" t="s">
        <v>201</v>
      </c>
      <c r="D174" s="34" t="n">
        <v>5100</v>
      </c>
      <c r="E174" s="23" t="s">
        <v>198</v>
      </c>
      <c r="F174" s="37" t="n">
        <v>1433</v>
      </c>
      <c r="G174" s="37" t="n">
        <v>6121235.629</v>
      </c>
      <c r="H174" s="37" t="n">
        <v>5751685.7464</v>
      </c>
      <c r="I174" s="38" t="n">
        <f aca="false">G174-H174</f>
        <v>369549.882599997</v>
      </c>
      <c r="J174" s="45" t="n">
        <v>0.0642507082086851</v>
      </c>
      <c r="K174" s="45" t="n">
        <v>0.0697673097790534</v>
      </c>
      <c r="L174" s="46" t="str">
        <f aca="false">IF(I174&gt;0,"Actual above budget",IF(I174&lt;0,"Actual below budget","On budget"))</f>
        <v>Actual above budget</v>
      </c>
    </row>
    <row r="175" customFormat="false" ht="15" hidden="false" customHeight="false" outlineLevel="0" collapsed="false">
      <c r="A175" s="23" t="s">
        <v>216</v>
      </c>
      <c r="B175" s="23" t="s">
        <v>172</v>
      </c>
      <c r="C175" s="23" t="s">
        <v>201</v>
      </c>
      <c r="D175" s="34" t="n">
        <v>5110</v>
      </c>
      <c r="E175" s="23" t="s">
        <v>351</v>
      </c>
      <c r="F175" s="37" t="n">
        <v>55</v>
      </c>
      <c r="G175" s="37" t="n">
        <v>612150.1268</v>
      </c>
      <c r="H175" s="37" t="n">
        <v>575713.4869</v>
      </c>
      <c r="I175" s="38" t="n">
        <f aca="false">G175-H175</f>
        <v>36436.6399</v>
      </c>
      <c r="J175" s="45" t="n">
        <v>0.0632895367732265</v>
      </c>
      <c r="K175" s="45" t="n">
        <v>0.006878872008634</v>
      </c>
      <c r="L175" s="46" t="str">
        <f aca="false">IF(I175&gt;0,"Actual above budget",IF(I175&lt;0,"Actual below budget","On budget"))</f>
        <v>Actual above budget</v>
      </c>
    </row>
    <row r="176" customFormat="false" ht="15" hidden="false" customHeight="false" outlineLevel="0" collapsed="false">
      <c r="A176" s="23" t="s">
        <v>216</v>
      </c>
      <c r="B176" s="23" t="s">
        <v>172</v>
      </c>
      <c r="C176" s="23" t="s">
        <v>201</v>
      </c>
      <c r="D176" s="34" t="n">
        <v>5120</v>
      </c>
      <c r="E176" s="23" t="s">
        <v>352</v>
      </c>
      <c r="F176" s="37" t="n">
        <v>50</v>
      </c>
      <c r="G176" s="37" t="n">
        <v>19661.481</v>
      </c>
      <c r="H176" s="37" t="n">
        <v>20236.4207</v>
      </c>
      <c r="I176" s="38" t="n">
        <f aca="false">G176-H176</f>
        <v>-574.939700000006</v>
      </c>
      <c r="J176" s="45"/>
      <c r="K176" s="45" t="n">
        <v>0.000108542846427023</v>
      </c>
      <c r="L176" s="46" t="str">
        <f aca="false">IF(I176&gt;0,"Actual above budget",IF(I176&lt;0,"Actual below budget","On budget"))</f>
        <v>Actual below budget</v>
      </c>
    </row>
    <row r="177" customFormat="false" ht="15" hidden="false" customHeight="false" outlineLevel="0" collapsed="false">
      <c r="A177" s="23" t="s">
        <v>216</v>
      </c>
      <c r="B177" s="23" t="s">
        <v>172</v>
      </c>
      <c r="C177" s="23" t="s">
        <v>201</v>
      </c>
      <c r="D177" s="34" t="n">
        <v>5200</v>
      </c>
      <c r="E177" s="23" t="s">
        <v>205</v>
      </c>
      <c r="F177" s="37" t="n">
        <v>43</v>
      </c>
      <c r="G177" s="37" t="n">
        <v>1118361.33</v>
      </c>
      <c r="H177" s="37" t="n">
        <v>1050049.9372</v>
      </c>
      <c r="I177" s="38" t="n">
        <f aca="false">G177-H177</f>
        <v>68311.3928</v>
      </c>
      <c r="J177" s="45" t="n">
        <v>0.0650553753492477</v>
      </c>
      <c r="K177" s="45" t="n">
        <v>0.0128965055255472</v>
      </c>
      <c r="L177" s="46" t="str">
        <f aca="false">IF(I177&gt;0,"Actual above budget",IF(I177&lt;0,"Actual below budget","On budget"))</f>
        <v>Actual above budget</v>
      </c>
    </row>
    <row r="178" customFormat="false" ht="15" hidden="false" customHeight="false" outlineLevel="0" collapsed="false">
      <c r="A178" s="23" t="s">
        <v>216</v>
      </c>
      <c r="B178" s="23" t="s">
        <v>172</v>
      </c>
      <c r="C178" s="23" t="s">
        <v>201</v>
      </c>
      <c r="D178" s="34" t="n">
        <v>5300</v>
      </c>
      <c r="E178" s="23" t="s">
        <v>353</v>
      </c>
      <c r="F178" s="37" t="n">
        <v>53</v>
      </c>
      <c r="G178" s="37" t="n">
        <v>497102.2558</v>
      </c>
      <c r="H178" s="37" t="n">
        <v>463885.1218</v>
      </c>
      <c r="I178" s="38" t="n">
        <f aca="false">G178-H178</f>
        <v>33217.1340000001</v>
      </c>
      <c r="J178" s="45"/>
      <c r="K178" s="45" t="n">
        <v>0.00627106159916916</v>
      </c>
      <c r="L178" s="46" t="str">
        <f aca="false">IF(I178&gt;0,"Actual above budget",IF(I178&lt;0,"Actual below budget","On budget"))</f>
        <v>Actual above budget</v>
      </c>
    </row>
    <row r="179" customFormat="false" ht="15" hidden="false" customHeight="false" outlineLevel="0" collapsed="false">
      <c r="A179" s="23" t="s">
        <v>216</v>
      </c>
      <c r="B179" s="23" t="s">
        <v>172</v>
      </c>
      <c r="C179" s="23" t="s">
        <v>200</v>
      </c>
      <c r="D179" s="34" t="n">
        <v>5100</v>
      </c>
      <c r="E179" s="23" t="s">
        <v>198</v>
      </c>
      <c r="F179" s="37" t="n">
        <v>1534</v>
      </c>
      <c r="G179" s="37" t="n">
        <v>9983482.9736</v>
      </c>
      <c r="H179" s="37" t="n">
        <v>9378766.2398</v>
      </c>
      <c r="I179" s="38" t="n">
        <f aca="false">G179-H179</f>
        <v>604716.733800009</v>
      </c>
      <c r="J179" s="45" t="n">
        <v>0.0644772156953657</v>
      </c>
      <c r="K179" s="45" t="n">
        <v>0.114164451626325</v>
      </c>
      <c r="L179" s="46" t="str">
        <f aca="false">IF(I179&gt;0,"Actual above budget",IF(I179&lt;0,"Actual below budget","On budget"))</f>
        <v>Actual above budget</v>
      </c>
    </row>
    <row r="180" customFormat="false" ht="15" hidden="false" customHeight="false" outlineLevel="0" collapsed="false">
      <c r="A180" s="23" t="s">
        <v>216</v>
      </c>
      <c r="B180" s="23" t="s">
        <v>172</v>
      </c>
      <c r="C180" s="23" t="s">
        <v>200</v>
      </c>
      <c r="D180" s="34" t="n">
        <v>5110</v>
      </c>
      <c r="E180" s="23" t="s">
        <v>351</v>
      </c>
      <c r="F180" s="37" t="n">
        <v>41</v>
      </c>
      <c r="G180" s="37" t="n">
        <v>830343.9897</v>
      </c>
      <c r="H180" s="37" t="n">
        <v>776625.5468</v>
      </c>
      <c r="I180" s="38" t="n">
        <f aca="false">G180-H180</f>
        <v>53718.4429000004</v>
      </c>
      <c r="J180" s="45" t="n">
        <v>0.0691690392124505</v>
      </c>
      <c r="K180" s="45" t="n">
        <v>0.0101415030097826</v>
      </c>
      <c r="L180" s="46" t="str">
        <f aca="false">IF(I180&gt;0,"Actual above budget",IF(I180&lt;0,"Actual below budget","On budget"))</f>
        <v>Actual above budget</v>
      </c>
    </row>
    <row r="181" customFormat="false" ht="15" hidden="false" customHeight="false" outlineLevel="0" collapsed="false">
      <c r="A181" s="23" t="s">
        <v>216</v>
      </c>
      <c r="B181" s="23" t="s">
        <v>172</v>
      </c>
      <c r="C181" s="23" t="s">
        <v>200</v>
      </c>
      <c r="D181" s="34" t="n">
        <v>5120</v>
      </c>
      <c r="E181" s="23" t="s">
        <v>352</v>
      </c>
      <c r="F181" s="37" t="n">
        <v>55</v>
      </c>
      <c r="G181" s="37" t="n">
        <v>100325.5536</v>
      </c>
      <c r="H181" s="37" t="n">
        <v>98379.3251</v>
      </c>
      <c r="I181" s="38" t="n">
        <f aca="false">G181-H181</f>
        <v>1946.22849999998</v>
      </c>
      <c r="J181" s="45"/>
      <c r="K181" s="45" t="n">
        <v>0.00036742841238376</v>
      </c>
      <c r="L181" s="46" t="str">
        <f aca="false">IF(I181&gt;0,"Actual above budget",IF(I181&lt;0,"Actual below budget","On budget"))</f>
        <v>Actual above budget</v>
      </c>
    </row>
    <row r="182" customFormat="false" ht="15" hidden="false" customHeight="false" outlineLevel="0" collapsed="false">
      <c r="A182" s="23" t="s">
        <v>216</v>
      </c>
      <c r="B182" s="23" t="s">
        <v>172</v>
      </c>
      <c r="C182" s="23" t="s">
        <v>200</v>
      </c>
      <c r="D182" s="34" t="n">
        <v>5200</v>
      </c>
      <c r="E182" s="23" t="s">
        <v>205</v>
      </c>
      <c r="F182" s="37" t="n">
        <v>43</v>
      </c>
      <c r="G182" s="37" t="n">
        <v>1543252.2487</v>
      </c>
      <c r="H182" s="37" t="n">
        <v>1453709.5432</v>
      </c>
      <c r="I182" s="38" t="n">
        <f aca="false">G182-H182</f>
        <v>89542.7055000004</v>
      </c>
      <c r="J182" s="45" t="n">
        <v>0.0615960085829063</v>
      </c>
      <c r="K182" s="45" t="n">
        <v>0.0169047643287577</v>
      </c>
      <c r="L182" s="46" t="str">
        <f aca="false">IF(I182&gt;0,"Actual above budget",IF(I182&lt;0,"Actual below budget","On budget"))</f>
        <v>Actual above budget</v>
      </c>
    </row>
    <row r="183" customFormat="false" ht="15" hidden="false" customHeight="false" outlineLevel="0" collapsed="false">
      <c r="A183" s="23" t="s">
        <v>216</v>
      </c>
      <c r="B183" s="23" t="s">
        <v>172</v>
      </c>
      <c r="C183" s="23" t="s">
        <v>200</v>
      </c>
      <c r="D183" s="34" t="n">
        <v>5300</v>
      </c>
      <c r="E183" s="23" t="s">
        <v>353</v>
      </c>
      <c r="F183" s="37" t="n">
        <v>63</v>
      </c>
      <c r="G183" s="37" t="n">
        <v>1657399.9902</v>
      </c>
      <c r="H183" s="37" t="n">
        <v>1557641.0369</v>
      </c>
      <c r="I183" s="38" t="n">
        <f aca="false">G183-H183</f>
        <v>99758.9532999997</v>
      </c>
      <c r="J183" s="45" t="n">
        <v>0.064044892845491</v>
      </c>
      <c r="K183" s="45" t="n">
        <v>0.01883348940378</v>
      </c>
      <c r="L183" s="46" t="str">
        <f aca="false">IF(I183&gt;0,"Actual above budget",IF(I183&lt;0,"Actual below budget","On budget"))</f>
        <v>Actual above budget</v>
      </c>
    </row>
    <row r="184" customFormat="false" ht="15" hidden="false" customHeight="false" outlineLevel="0" collapsed="false">
      <c r="A184" s="23" t="s">
        <v>216</v>
      </c>
      <c r="B184" s="23" t="s">
        <v>172</v>
      </c>
      <c r="C184" s="23" t="s">
        <v>202</v>
      </c>
      <c r="D184" s="34" t="n">
        <v>5100</v>
      </c>
      <c r="E184" s="23" t="s">
        <v>198</v>
      </c>
      <c r="F184" s="37" t="n">
        <v>1513</v>
      </c>
      <c r="G184" s="37" t="n">
        <v>6386101.3962</v>
      </c>
      <c r="H184" s="37" t="n">
        <v>5993368.0814</v>
      </c>
      <c r="I184" s="38" t="n">
        <f aca="false">G184-H184</f>
        <v>392733.314800006</v>
      </c>
      <c r="J184" s="45" t="n">
        <v>0.0655279818402646</v>
      </c>
      <c r="K184" s="45" t="n">
        <v>0.0741441091563377</v>
      </c>
      <c r="L184" s="46" t="str">
        <f aca="false">IF(I184&gt;0,"Actual above budget",IF(I184&lt;0,"Actual below budget","On budget"))</f>
        <v>Actual above budget</v>
      </c>
    </row>
    <row r="185" customFormat="false" ht="15" hidden="false" customHeight="false" outlineLevel="0" collapsed="false">
      <c r="A185" s="23" t="s">
        <v>216</v>
      </c>
      <c r="B185" s="23" t="s">
        <v>172</v>
      </c>
      <c r="C185" s="23" t="s">
        <v>202</v>
      </c>
      <c r="D185" s="34" t="n">
        <v>5110</v>
      </c>
      <c r="E185" s="23" t="s">
        <v>351</v>
      </c>
      <c r="F185" s="37" t="n">
        <v>41</v>
      </c>
      <c r="G185" s="37" t="n">
        <v>507405.99</v>
      </c>
      <c r="H185" s="37" t="n">
        <v>474976.4614</v>
      </c>
      <c r="I185" s="38" t="n">
        <f aca="false">G185-H185</f>
        <v>32429.5285999999</v>
      </c>
      <c r="J185" s="45" t="n">
        <v>0.0682760752067871</v>
      </c>
      <c r="K185" s="45" t="n">
        <v>0.00612236960246534</v>
      </c>
      <c r="L185" s="46" t="str">
        <f aca="false">IF(I185&gt;0,"Actual above budget",IF(I185&lt;0,"Actual below budget","On budget"))</f>
        <v>Actual above budget</v>
      </c>
    </row>
    <row r="186" customFormat="false" ht="15" hidden="false" customHeight="false" outlineLevel="0" collapsed="false">
      <c r="A186" s="23" t="s">
        <v>216</v>
      </c>
      <c r="B186" s="23" t="s">
        <v>172</v>
      </c>
      <c r="C186" s="23" t="s">
        <v>202</v>
      </c>
      <c r="D186" s="34" t="n">
        <v>5120</v>
      </c>
      <c r="E186" s="23" t="s">
        <v>352</v>
      </c>
      <c r="F186" s="37" t="n">
        <v>43</v>
      </c>
      <c r="G186" s="37" t="n">
        <v>45508.6178</v>
      </c>
      <c r="H186" s="37" t="n">
        <v>42690.3482</v>
      </c>
      <c r="I186" s="38" t="n">
        <f aca="false">G186-H186</f>
        <v>2818.26959999999</v>
      </c>
      <c r="J186" s="45"/>
      <c r="K186" s="45" t="n">
        <v>0.000532061022021522</v>
      </c>
      <c r="L186" s="46" t="str">
        <f aca="false">IF(I186&gt;0,"Actual above budget",IF(I186&lt;0,"Actual below budget","On budget"))</f>
        <v>Actual above budget</v>
      </c>
    </row>
    <row r="187" customFormat="false" ht="15" hidden="false" customHeight="false" outlineLevel="0" collapsed="false">
      <c r="A187" s="23" t="s">
        <v>216</v>
      </c>
      <c r="B187" s="23" t="s">
        <v>172</v>
      </c>
      <c r="C187" s="23" t="s">
        <v>202</v>
      </c>
      <c r="D187" s="34" t="n">
        <v>5200</v>
      </c>
      <c r="E187" s="23" t="s">
        <v>205</v>
      </c>
      <c r="F187" s="37" t="n">
        <v>50</v>
      </c>
      <c r="G187" s="37" t="n">
        <v>1312579.9666</v>
      </c>
      <c r="H187" s="37" t="n">
        <v>1240155.78</v>
      </c>
      <c r="I187" s="38" t="n">
        <f aca="false">G187-H187</f>
        <v>72424.1865999999</v>
      </c>
      <c r="J187" s="45" t="n">
        <v>0.0583992654535707</v>
      </c>
      <c r="K187" s="45" t="n">
        <v>0.0136729597272998</v>
      </c>
      <c r="L187" s="46" t="str">
        <f aca="false">IF(I187&gt;0,"Actual above budget",IF(I187&lt;0,"Actual below budget","On budget"))</f>
        <v>Actual above budget</v>
      </c>
    </row>
    <row r="188" customFormat="false" ht="15" hidden="false" customHeight="false" outlineLevel="0" collapsed="false">
      <c r="A188" s="23" t="s">
        <v>216</v>
      </c>
      <c r="B188" s="23" t="s">
        <v>172</v>
      </c>
      <c r="C188" s="23" t="s">
        <v>202</v>
      </c>
      <c r="D188" s="34" t="n">
        <v>5300</v>
      </c>
      <c r="E188" s="23" t="s">
        <v>353</v>
      </c>
      <c r="F188" s="37" t="n">
        <v>63</v>
      </c>
      <c r="G188" s="37" t="n">
        <v>929868.1645</v>
      </c>
      <c r="H188" s="37" t="n">
        <v>878834.7597</v>
      </c>
      <c r="I188" s="38" t="n">
        <f aca="false">G188-H188</f>
        <v>51033.4047999999</v>
      </c>
      <c r="J188" s="45" t="n">
        <v>0.058069397274888</v>
      </c>
      <c r="K188" s="45" t="n">
        <v>0.00963459475811896</v>
      </c>
      <c r="L188" s="46" t="str">
        <f aca="false">IF(I188&gt;0,"Actual above budget",IF(I188&lt;0,"Actual below budget","On budget"))</f>
        <v>Actual above budget</v>
      </c>
    </row>
    <row r="189" customFormat="false" ht="15" hidden="false" customHeight="false" outlineLevel="0" collapsed="false">
      <c r="A189" s="23" t="s">
        <v>216</v>
      </c>
      <c r="B189" s="23" t="s">
        <v>172</v>
      </c>
      <c r="C189" s="23" t="s">
        <v>197</v>
      </c>
      <c r="D189" s="34" t="n">
        <v>5100</v>
      </c>
      <c r="E189" s="23" t="s">
        <v>198</v>
      </c>
      <c r="F189" s="37" t="n">
        <v>1521</v>
      </c>
      <c r="G189" s="37" t="n">
        <v>14552122.9058</v>
      </c>
      <c r="H189" s="37" t="n">
        <v>13687719.5735</v>
      </c>
      <c r="I189" s="38" t="n">
        <f aca="false">G189-H189</f>
        <v>864403.332299998</v>
      </c>
      <c r="J189" s="45" t="n">
        <v>0.063151741797335</v>
      </c>
      <c r="K189" s="45" t="n">
        <v>0.163190675733204</v>
      </c>
      <c r="L189" s="46" t="str">
        <f aca="false">IF(I189&gt;0,"Actual above budget",IF(I189&lt;0,"Actual below budget","On budget"))</f>
        <v>Actual above budget</v>
      </c>
    </row>
    <row r="190" customFormat="false" ht="15" hidden="false" customHeight="false" outlineLevel="0" collapsed="false">
      <c r="A190" s="23" t="s">
        <v>216</v>
      </c>
      <c r="B190" s="23" t="s">
        <v>172</v>
      </c>
      <c r="C190" s="23" t="s">
        <v>197</v>
      </c>
      <c r="D190" s="34" t="n">
        <v>5110</v>
      </c>
      <c r="E190" s="23" t="s">
        <v>351</v>
      </c>
      <c r="F190" s="37" t="n">
        <v>54</v>
      </c>
      <c r="G190" s="37" t="n">
        <v>1829559.4952</v>
      </c>
      <c r="H190" s="37" t="n">
        <v>1725032.4022</v>
      </c>
      <c r="I190" s="38" t="n">
        <f aca="false">G190-H190</f>
        <v>104527.092999999</v>
      </c>
      <c r="J190" s="45" t="n">
        <v>0.0605942780359909</v>
      </c>
      <c r="K190" s="45" t="n">
        <v>0.0197336663357255</v>
      </c>
      <c r="L190" s="46" t="str">
        <f aca="false">IF(I190&gt;0,"Actual above budget",IF(I190&lt;0,"Actual below budget","On budget"))</f>
        <v>Actual above budget</v>
      </c>
    </row>
    <row r="191" customFormat="false" ht="15" hidden="false" customHeight="false" outlineLevel="0" collapsed="false">
      <c r="A191" s="23" t="s">
        <v>216</v>
      </c>
      <c r="B191" s="23" t="s">
        <v>172</v>
      </c>
      <c r="C191" s="23" t="s">
        <v>197</v>
      </c>
      <c r="D191" s="34" t="n">
        <v>5120</v>
      </c>
      <c r="E191" s="23" t="s">
        <v>352</v>
      </c>
      <c r="F191" s="37" t="n">
        <v>53</v>
      </c>
      <c r="G191" s="37" t="n">
        <v>296580.0218</v>
      </c>
      <c r="H191" s="37" t="n">
        <v>280376.6713</v>
      </c>
      <c r="I191" s="38" t="n">
        <f aca="false">G191-H191</f>
        <v>16203.3504999999</v>
      </c>
      <c r="J191" s="45"/>
      <c r="K191" s="45" t="n">
        <v>0.0030590299903185</v>
      </c>
      <c r="L191" s="46" t="str">
        <f aca="false">IF(I191&gt;0,"Actual above budget",IF(I191&lt;0,"Actual below budget","On budget"))</f>
        <v>Actual above budget</v>
      </c>
    </row>
    <row r="192" customFormat="false" ht="15" hidden="false" customHeight="false" outlineLevel="0" collapsed="false">
      <c r="A192" s="23" t="s">
        <v>216</v>
      </c>
      <c r="B192" s="23" t="s">
        <v>172</v>
      </c>
      <c r="C192" s="23" t="s">
        <v>197</v>
      </c>
      <c r="D192" s="34" t="n">
        <v>5200</v>
      </c>
      <c r="E192" s="23" t="s">
        <v>205</v>
      </c>
      <c r="F192" s="37" t="n">
        <v>46</v>
      </c>
      <c r="G192" s="37" t="n">
        <v>1980706.759</v>
      </c>
      <c r="H192" s="37" t="n">
        <v>1863808.94</v>
      </c>
      <c r="I192" s="38" t="n">
        <f aca="false">G192-H192</f>
        <v>116897.819</v>
      </c>
      <c r="J192" s="45" t="n">
        <v>0.0627198509950274</v>
      </c>
      <c r="K192" s="45" t="n">
        <v>0.0220691352769184</v>
      </c>
      <c r="L192" s="46" t="str">
        <f aca="false">IF(I192&gt;0,"Actual above budget",IF(I192&lt;0,"Actual below budget","On budget"))</f>
        <v>Actual above budget</v>
      </c>
    </row>
    <row r="193" customFormat="false" ht="15" hidden="false" customHeight="false" outlineLevel="0" collapsed="false">
      <c r="A193" s="23" t="s">
        <v>216</v>
      </c>
      <c r="B193" s="23" t="s">
        <v>172</v>
      </c>
      <c r="C193" s="23" t="s">
        <v>197</v>
      </c>
      <c r="D193" s="34" t="n">
        <v>5300</v>
      </c>
      <c r="E193" s="23" t="s">
        <v>353</v>
      </c>
      <c r="F193" s="37" t="n">
        <v>40</v>
      </c>
      <c r="G193" s="37" t="n">
        <v>1645460.5564</v>
      </c>
      <c r="H193" s="37" t="n">
        <v>1551716.3491</v>
      </c>
      <c r="I193" s="38" t="n">
        <f aca="false">G193-H193</f>
        <v>93744.2073000004</v>
      </c>
      <c r="J193" s="45" t="n">
        <v>0.0604132368356961</v>
      </c>
      <c r="K193" s="45" t="n">
        <v>0.0176979657108161</v>
      </c>
      <c r="L193" s="46" t="str">
        <f aca="false">IF(I193&gt;0,"Actual above budget",IF(I193&lt;0,"Actual below budget","On budget"))</f>
        <v>Actual above budget</v>
      </c>
    </row>
    <row r="194" customFormat="false" ht="15" hidden="false" customHeight="false" outlineLevel="0" collapsed="false">
      <c r="A194" s="23" t="s">
        <v>216</v>
      </c>
      <c r="B194" s="23" t="s">
        <v>172</v>
      </c>
      <c r="C194" s="23" t="s">
        <v>199</v>
      </c>
      <c r="D194" s="34" t="n">
        <v>5100</v>
      </c>
      <c r="E194" s="23" t="s">
        <v>198</v>
      </c>
      <c r="F194" s="37" t="n">
        <v>1486</v>
      </c>
      <c r="G194" s="37" t="n">
        <v>9110414.13120001</v>
      </c>
      <c r="H194" s="37" t="n">
        <v>8550728.71319999</v>
      </c>
      <c r="I194" s="38" t="n">
        <f aca="false">G194-H194</f>
        <v>559685.418000022</v>
      </c>
      <c r="J194" s="45" t="n">
        <v>0.065454704127848</v>
      </c>
      <c r="K194" s="45" t="n">
        <v>0.105662991046571</v>
      </c>
      <c r="L194" s="46" t="str">
        <f aca="false">IF(I194&gt;0,"Actual above budget",IF(I194&lt;0,"Actual below budget","On budget"))</f>
        <v>Actual above budget</v>
      </c>
    </row>
    <row r="195" customFormat="false" ht="15" hidden="false" customHeight="false" outlineLevel="0" collapsed="false">
      <c r="A195" s="23" t="s">
        <v>216</v>
      </c>
      <c r="B195" s="23" t="s">
        <v>172</v>
      </c>
      <c r="C195" s="23" t="s">
        <v>199</v>
      </c>
      <c r="D195" s="34" t="n">
        <v>5110</v>
      </c>
      <c r="E195" s="23" t="s">
        <v>351</v>
      </c>
      <c r="F195" s="37" t="n">
        <v>43</v>
      </c>
      <c r="G195" s="37" t="n">
        <v>710799.96</v>
      </c>
      <c r="H195" s="37" t="n">
        <v>675206.9615</v>
      </c>
      <c r="I195" s="38" t="n">
        <f aca="false">G195-H195</f>
        <v>35592.9984999999</v>
      </c>
      <c r="J195" s="45" t="n">
        <v>0.0527142054651343</v>
      </c>
      <c r="K195" s="45" t="n">
        <v>0.00671960097739424</v>
      </c>
      <c r="L195" s="46" t="str">
        <f aca="false">IF(I195&gt;0,"Actual above budget",IF(I195&lt;0,"Actual below budget","On budget"))</f>
        <v>Actual above budget</v>
      </c>
    </row>
    <row r="196" customFormat="false" ht="15" hidden="false" customHeight="false" outlineLevel="0" collapsed="false">
      <c r="A196" s="23" t="s">
        <v>216</v>
      </c>
      <c r="B196" s="23" t="s">
        <v>172</v>
      </c>
      <c r="C196" s="23" t="s">
        <v>199</v>
      </c>
      <c r="D196" s="34" t="n">
        <v>5120</v>
      </c>
      <c r="E196" s="23" t="s">
        <v>352</v>
      </c>
      <c r="F196" s="37" t="n">
        <v>44</v>
      </c>
      <c r="G196" s="37" t="n">
        <v>115968.8471</v>
      </c>
      <c r="H196" s="37" t="n">
        <v>110146.0345</v>
      </c>
      <c r="I196" s="38" t="n">
        <f aca="false">G196-H196</f>
        <v>5822.81260000003</v>
      </c>
      <c r="J196" s="45"/>
      <c r="K196" s="45" t="n">
        <v>0.00109928859289963</v>
      </c>
      <c r="L196" s="46" t="str">
        <f aca="false">IF(I196&gt;0,"Actual above budget",IF(I196&lt;0,"Actual below budget","On budget"))</f>
        <v>Actual above budget</v>
      </c>
    </row>
    <row r="197" customFormat="false" ht="15" hidden="false" customHeight="false" outlineLevel="0" collapsed="false">
      <c r="A197" s="23" t="s">
        <v>216</v>
      </c>
      <c r="B197" s="23" t="s">
        <v>172</v>
      </c>
      <c r="C197" s="23" t="s">
        <v>199</v>
      </c>
      <c r="D197" s="34" t="n">
        <v>5200</v>
      </c>
      <c r="E197" s="23" t="s">
        <v>205</v>
      </c>
      <c r="F197" s="37" t="n">
        <v>56</v>
      </c>
      <c r="G197" s="37" t="n">
        <v>1799272.8192</v>
      </c>
      <c r="H197" s="37" t="n">
        <v>1693692.1253</v>
      </c>
      <c r="I197" s="38" t="n">
        <f aca="false">G197-H197</f>
        <v>105580.693900001</v>
      </c>
      <c r="J197" s="45" t="n">
        <v>0.062337595081691</v>
      </c>
      <c r="K197" s="45" t="n">
        <v>0.019932575613836</v>
      </c>
      <c r="L197" s="46" t="str">
        <f aca="false">IF(I197&gt;0,"Actual above budget",IF(I197&lt;0,"Actual below budget","On budget"))</f>
        <v>Actual above budget</v>
      </c>
    </row>
    <row r="198" customFormat="false" ht="15" hidden="false" customHeight="false" outlineLevel="0" collapsed="false">
      <c r="A198" s="23" t="s">
        <v>216</v>
      </c>
      <c r="B198" s="23" t="s">
        <v>172</v>
      </c>
      <c r="C198" s="23" t="s">
        <v>199</v>
      </c>
      <c r="D198" s="34" t="n">
        <v>5300</v>
      </c>
      <c r="E198" s="23" t="s">
        <v>353</v>
      </c>
      <c r="F198" s="37" t="n">
        <v>35</v>
      </c>
      <c r="G198" s="37" t="n">
        <v>966695.8716</v>
      </c>
      <c r="H198" s="37" t="n">
        <v>906054.6438</v>
      </c>
      <c r="I198" s="38" t="n">
        <f aca="false">G198-H198</f>
        <v>60641.2277999999</v>
      </c>
      <c r="J198" s="45" t="n">
        <v>0.0669288858182661</v>
      </c>
      <c r="K198" s="45" t="n">
        <v>0.0114484553358231</v>
      </c>
      <c r="L198" s="46" t="str">
        <f aca="false">IF(I198&gt;0,"Actual above budget",IF(I198&lt;0,"Actual below budget","On budget"))</f>
        <v>Actual above budget</v>
      </c>
    </row>
    <row r="199" customFormat="false" ht="15" hidden="false" customHeight="false" outlineLevel="0" collapsed="false">
      <c r="A199" s="23" t="s">
        <v>216</v>
      </c>
      <c r="B199" s="23" t="s">
        <v>172</v>
      </c>
      <c r="C199" s="23" t="s">
        <v>195</v>
      </c>
      <c r="D199" s="34" t="n">
        <v>5100</v>
      </c>
      <c r="E199" s="23" t="s">
        <v>198</v>
      </c>
      <c r="F199" s="37" t="n">
        <v>1500</v>
      </c>
      <c r="G199" s="37" t="n">
        <v>16784899.4949</v>
      </c>
      <c r="H199" s="37" t="n">
        <v>15775212.9353</v>
      </c>
      <c r="I199" s="38" t="n">
        <f aca="false">G199-H199</f>
        <v>1009686.55959998</v>
      </c>
      <c r="J199" s="45" t="n">
        <v>0.0640046231858231</v>
      </c>
      <c r="K199" s="45" t="n">
        <v>0.190618691278567</v>
      </c>
      <c r="L199" s="46" t="str">
        <f aca="false">IF(I199&gt;0,"Actual above budget",IF(I199&lt;0,"Actual below budget","On budget"))</f>
        <v>Actual above budget</v>
      </c>
    </row>
    <row r="200" customFormat="false" ht="15" hidden="false" customHeight="false" outlineLevel="0" collapsed="false">
      <c r="A200" s="23" t="s">
        <v>216</v>
      </c>
      <c r="B200" s="23" t="s">
        <v>172</v>
      </c>
      <c r="C200" s="23" t="s">
        <v>195</v>
      </c>
      <c r="D200" s="34" t="n">
        <v>5110</v>
      </c>
      <c r="E200" s="23" t="s">
        <v>351</v>
      </c>
      <c r="F200" s="37" t="n">
        <v>42</v>
      </c>
      <c r="G200" s="37" t="n">
        <v>1072504.4556</v>
      </c>
      <c r="H200" s="37" t="n">
        <v>1004110.385</v>
      </c>
      <c r="I200" s="38" t="n">
        <f aca="false">G200-H200</f>
        <v>68394.0706000004</v>
      </c>
      <c r="J200" s="45" t="n">
        <v>0.0681140954437992</v>
      </c>
      <c r="K200" s="45" t="n">
        <v>0.0129121142645998</v>
      </c>
      <c r="L200" s="46" t="str">
        <f aca="false">IF(I200&gt;0,"Actual above budget",IF(I200&lt;0,"Actual below budget","On budget"))</f>
        <v>Actual above budget</v>
      </c>
    </row>
    <row r="201" customFormat="false" ht="15" hidden="false" customHeight="false" outlineLevel="0" collapsed="false">
      <c r="A201" s="23" t="s">
        <v>216</v>
      </c>
      <c r="B201" s="23" t="s">
        <v>172</v>
      </c>
      <c r="C201" s="23" t="s">
        <v>195</v>
      </c>
      <c r="D201" s="34" t="n">
        <v>5120</v>
      </c>
      <c r="E201" s="23" t="s">
        <v>352</v>
      </c>
      <c r="F201" s="37" t="n">
        <v>54</v>
      </c>
      <c r="G201" s="37" t="n">
        <v>269312.6097</v>
      </c>
      <c r="H201" s="37" t="n">
        <v>249191.3137</v>
      </c>
      <c r="I201" s="38" t="n">
        <f aca="false">G201-H201</f>
        <v>20121.2959999999</v>
      </c>
      <c r="J201" s="45"/>
      <c r="K201" s="45" t="n">
        <v>0.00379869878813494</v>
      </c>
      <c r="L201" s="46" t="str">
        <f aca="false">IF(I201&gt;0,"Actual above budget",IF(I201&lt;0,"Actual below budget","On budget"))</f>
        <v>Actual above budget</v>
      </c>
    </row>
    <row r="202" customFormat="false" ht="15" hidden="false" customHeight="false" outlineLevel="0" collapsed="false">
      <c r="A202" s="23" t="s">
        <v>216</v>
      </c>
      <c r="B202" s="23" t="s">
        <v>172</v>
      </c>
      <c r="C202" s="23" t="s">
        <v>195</v>
      </c>
      <c r="D202" s="34" t="n">
        <v>5200</v>
      </c>
      <c r="E202" s="23" t="s">
        <v>205</v>
      </c>
      <c r="F202" s="37" t="n">
        <v>48</v>
      </c>
      <c r="G202" s="37" t="n">
        <v>3309972.6925</v>
      </c>
      <c r="H202" s="37" t="n">
        <v>3084330.81</v>
      </c>
      <c r="I202" s="38" t="n">
        <f aca="false">G202-H202</f>
        <v>225641.882499998</v>
      </c>
      <c r="J202" s="45" t="n">
        <v>0.0731574841999519</v>
      </c>
      <c r="K202" s="45" t="n">
        <v>0.0425989233300498</v>
      </c>
      <c r="L202" s="46" t="str">
        <f aca="false">IF(I202&gt;0,"Actual above budget",IF(I202&lt;0,"Actual below budget","On budget"))</f>
        <v>Actual above budget</v>
      </c>
    </row>
    <row r="203" customFormat="false" ht="15" hidden="false" customHeight="false" outlineLevel="0" collapsed="false">
      <c r="A203" s="23" t="s">
        <v>216</v>
      </c>
      <c r="B203" s="23" t="s">
        <v>172</v>
      </c>
      <c r="C203" s="23" t="s">
        <v>195</v>
      </c>
      <c r="D203" s="34" t="n">
        <v>5300</v>
      </c>
      <c r="E203" s="23" t="s">
        <v>353</v>
      </c>
      <c r="F203" s="37" t="n">
        <v>40</v>
      </c>
      <c r="G203" s="37" t="n">
        <v>1692275.3662</v>
      </c>
      <c r="H203" s="37" t="n">
        <v>1591538.2067</v>
      </c>
      <c r="I203" s="38" t="n">
        <f aca="false">G203-H203</f>
        <v>100737.159499999</v>
      </c>
      <c r="J203" s="45" t="n">
        <v>0.0632954704297517</v>
      </c>
      <c r="K203" s="45" t="n">
        <v>0.0190181649190393</v>
      </c>
      <c r="L203" s="46" t="str">
        <f aca="false">IF(I203&gt;0,"Actual above budget",IF(I203&lt;0,"Actual below budget","On budget"))</f>
        <v>Actual above budget</v>
      </c>
    </row>
    <row r="204" customFormat="false" ht="15" hidden="false" customHeight="false" outlineLevel="0" collapsed="false">
      <c r="A204" s="23" t="s">
        <v>216</v>
      </c>
      <c r="B204" s="23" t="s">
        <v>225</v>
      </c>
      <c r="C204" s="23" t="s">
        <v>201</v>
      </c>
      <c r="D204" s="34" t="n">
        <v>6100</v>
      </c>
      <c r="E204" s="23" t="s">
        <v>203</v>
      </c>
      <c r="F204" s="37" t="n">
        <v>131</v>
      </c>
      <c r="G204" s="37" t="n">
        <v>2692083.5808</v>
      </c>
      <c r="H204" s="37" t="n">
        <v>2535574.529</v>
      </c>
      <c r="I204" s="38" t="n">
        <f aca="false">G204-H204</f>
        <v>156509.051799999</v>
      </c>
      <c r="J204" s="45" t="n">
        <v>0.0617252815919891</v>
      </c>
      <c r="K204" s="45" t="n">
        <v>0.0682596048889247</v>
      </c>
      <c r="L204" s="46" t="str">
        <f aca="false">IF(I204&gt;0,"Actual above budget",IF(I204&lt;0,"Actual below budget","On budget"))</f>
        <v>Actual above budget</v>
      </c>
    </row>
    <row r="205" customFormat="false" ht="15" hidden="false" customHeight="false" outlineLevel="0" collapsed="false">
      <c r="A205" s="23" t="s">
        <v>216</v>
      </c>
      <c r="B205" s="23" t="s">
        <v>225</v>
      </c>
      <c r="C205" s="23" t="s">
        <v>201</v>
      </c>
      <c r="D205" s="34" t="n">
        <v>6110</v>
      </c>
      <c r="E205" s="23" t="s">
        <v>354</v>
      </c>
      <c r="F205" s="37" t="n">
        <v>161</v>
      </c>
      <c r="G205" s="37" t="n">
        <v>523821.6628</v>
      </c>
      <c r="H205" s="37" t="n">
        <v>493067.675</v>
      </c>
      <c r="I205" s="38" t="n">
        <f aca="false">G205-H205</f>
        <v>30753.9878000001</v>
      </c>
      <c r="J205" s="45" t="n">
        <v>0.0623727519756796</v>
      </c>
      <c r="K205" s="45" t="n">
        <v>0.0134129945319035</v>
      </c>
      <c r="L205" s="46" t="str">
        <f aca="false">IF(I205&gt;0,"Actual above budget",IF(I205&lt;0,"Actual below budget","On budget"))</f>
        <v>Actual above budget</v>
      </c>
    </row>
    <row r="206" customFormat="false" ht="15" hidden="false" customHeight="false" outlineLevel="0" collapsed="false">
      <c r="A206" s="23" t="s">
        <v>216</v>
      </c>
      <c r="B206" s="23" t="s">
        <v>225</v>
      </c>
      <c r="C206" s="23" t="s">
        <v>201</v>
      </c>
      <c r="D206" s="34" t="n">
        <v>6120</v>
      </c>
      <c r="E206" s="23" t="s">
        <v>355</v>
      </c>
      <c r="F206" s="37" t="n">
        <v>140</v>
      </c>
      <c r="G206" s="37" t="n">
        <v>648963.564</v>
      </c>
      <c r="H206" s="37" t="n">
        <v>610401.0453</v>
      </c>
      <c r="I206" s="38" t="n">
        <f aca="false">G206-H206</f>
        <v>38562.5186999997</v>
      </c>
      <c r="J206" s="45" t="n">
        <v>0.0631757088178761</v>
      </c>
      <c r="K206" s="45" t="n">
        <v>0.0168185945778234</v>
      </c>
      <c r="L206" s="46" t="str">
        <f aca="false">IF(I206&gt;0,"Actual above budget",IF(I206&lt;0,"Actual below budget","On budget"))</f>
        <v>Actual above budget</v>
      </c>
    </row>
    <row r="207" customFormat="false" ht="15" hidden="false" customHeight="false" outlineLevel="0" collapsed="false">
      <c r="A207" s="23" t="s">
        <v>216</v>
      </c>
      <c r="B207" s="23" t="s">
        <v>225</v>
      </c>
      <c r="C207" s="23" t="s">
        <v>200</v>
      </c>
      <c r="D207" s="34" t="n">
        <v>6100</v>
      </c>
      <c r="E207" s="23" t="s">
        <v>203</v>
      </c>
      <c r="F207" s="37" t="n">
        <v>155</v>
      </c>
      <c r="G207" s="37" t="n">
        <v>4755118.851</v>
      </c>
      <c r="H207" s="37" t="n">
        <v>4458441.7807</v>
      </c>
      <c r="I207" s="38" t="n">
        <f aca="false">G207-H207</f>
        <v>296677.0703</v>
      </c>
      <c r="J207" s="45" t="n">
        <v>0.0665427709708525</v>
      </c>
      <c r="K207" s="45" t="n">
        <v>0.129392257926143</v>
      </c>
      <c r="L207" s="46" t="str">
        <f aca="false">IF(I207&gt;0,"Actual above budget",IF(I207&lt;0,"Actual below budget","On budget"))</f>
        <v>Actual above budget</v>
      </c>
    </row>
    <row r="208" customFormat="false" ht="15" hidden="false" customHeight="false" outlineLevel="0" collapsed="false">
      <c r="A208" s="23" t="s">
        <v>216</v>
      </c>
      <c r="B208" s="23" t="s">
        <v>225</v>
      </c>
      <c r="C208" s="23" t="s">
        <v>200</v>
      </c>
      <c r="D208" s="34" t="n">
        <v>6110</v>
      </c>
      <c r="E208" s="23" t="s">
        <v>354</v>
      </c>
      <c r="F208" s="37" t="n">
        <v>148</v>
      </c>
      <c r="G208" s="37" t="n">
        <v>737746.3171</v>
      </c>
      <c r="H208" s="37" t="n">
        <v>694158.6362</v>
      </c>
      <c r="I208" s="38" t="n">
        <f aca="false">G208-H208</f>
        <v>43587.6809000002</v>
      </c>
      <c r="J208" s="45" t="n">
        <v>0.0627921034572299</v>
      </c>
      <c r="K208" s="45" t="n">
        <v>0.0190102606976405</v>
      </c>
      <c r="L208" s="46" t="str">
        <f aca="false">IF(I208&gt;0,"Actual above budget",IF(I208&lt;0,"Actual below budget","On budget"))</f>
        <v>Actual above budget</v>
      </c>
    </row>
    <row r="209" customFormat="false" ht="15" hidden="false" customHeight="false" outlineLevel="0" collapsed="false">
      <c r="A209" s="23" t="s">
        <v>216</v>
      </c>
      <c r="B209" s="23" t="s">
        <v>225</v>
      </c>
      <c r="C209" s="23" t="s">
        <v>200</v>
      </c>
      <c r="D209" s="34" t="n">
        <v>6120</v>
      </c>
      <c r="E209" s="23" t="s">
        <v>355</v>
      </c>
      <c r="F209" s="37" t="n">
        <v>153</v>
      </c>
      <c r="G209" s="37" t="n">
        <v>984705.8367</v>
      </c>
      <c r="H209" s="37" t="n">
        <v>923816.7175</v>
      </c>
      <c r="I209" s="38" t="n">
        <f aca="false">G209-H209</f>
        <v>60889.1192</v>
      </c>
      <c r="J209" s="45" t="n">
        <v>0.0659103889836243</v>
      </c>
      <c r="K209" s="45" t="n">
        <v>0.026556082033759</v>
      </c>
      <c r="L209" s="46" t="str">
        <f aca="false">IF(I209&gt;0,"Actual above budget",IF(I209&lt;0,"Actual below budget","On budget"))</f>
        <v>Actual above budget</v>
      </c>
    </row>
    <row r="210" customFormat="false" ht="15" hidden="false" customHeight="false" outlineLevel="0" collapsed="false">
      <c r="A210" s="23" t="s">
        <v>216</v>
      </c>
      <c r="B210" s="23" t="s">
        <v>225</v>
      </c>
      <c r="C210" s="23" t="s">
        <v>202</v>
      </c>
      <c r="D210" s="34" t="n">
        <v>6100</v>
      </c>
      <c r="E210" s="23" t="s">
        <v>203</v>
      </c>
      <c r="F210" s="37" t="n">
        <v>162</v>
      </c>
      <c r="G210" s="37" t="n">
        <v>2999600.0052</v>
      </c>
      <c r="H210" s="37" t="n">
        <v>2831926.4837</v>
      </c>
      <c r="I210" s="38" t="n">
        <f aca="false">G210-H210</f>
        <v>167673.521499996</v>
      </c>
      <c r="J210" s="45" t="n">
        <v>0.0592082889386766</v>
      </c>
      <c r="K210" s="45" t="n">
        <v>0.0731288586589253</v>
      </c>
      <c r="L210" s="46" t="str">
        <f aca="false">IF(I210&gt;0,"Actual above budget",IF(I210&lt;0,"Actual below budget","On budget"))</f>
        <v>Actual above budget</v>
      </c>
    </row>
    <row r="211" customFormat="false" ht="15" hidden="false" customHeight="false" outlineLevel="0" collapsed="false">
      <c r="A211" s="23" t="s">
        <v>216</v>
      </c>
      <c r="B211" s="23" t="s">
        <v>225</v>
      </c>
      <c r="C211" s="23" t="s">
        <v>202</v>
      </c>
      <c r="D211" s="34" t="n">
        <v>6110</v>
      </c>
      <c r="E211" s="23" t="s">
        <v>354</v>
      </c>
      <c r="F211" s="37" t="n">
        <v>169</v>
      </c>
      <c r="G211" s="37" t="n">
        <v>555883.4097</v>
      </c>
      <c r="H211" s="37" t="n">
        <v>522385.2577</v>
      </c>
      <c r="I211" s="38" t="n">
        <f aca="false">G211-H211</f>
        <v>33498.1519999999</v>
      </c>
      <c r="J211" s="45" t="n">
        <v>0.0641253777862881</v>
      </c>
      <c r="K211" s="45" t="n">
        <v>0.014609829870742</v>
      </c>
      <c r="L211" s="46" t="str">
        <f aca="false">IF(I211&gt;0,"Actual above budget",IF(I211&lt;0,"Actual below budget","On budget"))</f>
        <v>Actual above budget</v>
      </c>
    </row>
    <row r="212" customFormat="false" ht="15" hidden="false" customHeight="false" outlineLevel="0" collapsed="false">
      <c r="A212" s="23" t="s">
        <v>216</v>
      </c>
      <c r="B212" s="23" t="s">
        <v>225</v>
      </c>
      <c r="C212" s="23" t="s">
        <v>202</v>
      </c>
      <c r="D212" s="34" t="n">
        <v>6120</v>
      </c>
      <c r="E212" s="23" t="s">
        <v>355</v>
      </c>
      <c r="F212" s="37" t="n">
        <v>157</v>
      </c>
      <c r="G212" s="37" t="n">
        <v>698464.2753</v>
      </c>
      <c r="H212" s="37" t="n">
        <v>656246.8518</v>
      </c>
      <c r="I212" s="38" t="n">
        <f aca="false">G212-H212</f>
        <v>42217.4234999997</v>
      </c>
      <c r="J212" s="45" t="n">
        <v>0.0643316206153265</v>
      </c>
      <c r="K212" s="45" t="n">
        <v>0.0184126388499301</v>
      </c>
      <c r="L212" s="46" t="str">
        <f aca="false">IF(I212&gt;0,"Actual above budget",IF(I212&lt;0,"Actual below budget","On budget"))</f>
        <v>Actual above budget</v>
      </c>
    </row>
    <row r="213" customFormat="false" ht="15" hidden="false" customHeight="false" outlineLevel="0" collapsed="false">
      <c r="A213" s="23" t="s">
        <v>216</v>
      </c>
      <c r="B213" s="23" t="s">
        <v>225</v>
      </c>
      <c r="C213" s="23" t="s">
        <v>197</v>
      </c>
      <c r="D213" s="34" t="n">
        <v>6100</v>
      </c>
      <c r="E213" s="23" t="s">
        <v>203</v>
      </c>
      <c r="F213" s="37" t="n">
        <v>148</v>
      </c>
      <c r="G213" s="37" t="n">
        <v>6021845.7643</v>
      </c>
      <c r="H213" s="37" t="n">
        <v>5647605.339</v>
      </c>
      <c r="I213" s="38" t="n">
        <f aca="false">G213-H213</f>
        <v>374240.425299999</v>
      </c>
      <c r="J213" s="45" t="n">
        <v>0.066265328902438</v>
      </c>
      <c r="K213" s="45" t="n">
        <v>0.163220614211408</v>
      </c>
      <c r="L213" s="46" t="str">
        <f aca="false">IF(I213&gt;0,"Actual above budget",IF(I213&lt;0,"Actual below budget","On budget"))</f>
        <v>Actual above budget</v>
      </c>
    </row>
    <row r="214" customFormat="false" ht="15" hidden="false" customHeight="false" outlineLevel="0" collapsed="false">
      <c r="A214" s="23" t="s">
        <v>216</v>
      </c>
      <c r="B214" s="23" t="s">
        <v>225</v>
      </c>
      <c r="C214" s="23" t="s">
        <v>197</v>
      </c>
      <c r="D214" s="34" t="n">
        <v>6110</v>
      </c>
      <c r="E214" s="23" t="s">
        <v>354</v>
      </c>
      <c r="F214" s="37" t="n">
        <v>147</v>
      </c>
      <c r="G214" s="37" t="n">
        <v>977775.836</v>
      </c>
      <c r="H214" s="37" t="n">
        <v>918798.5346</v>
      </c>
      <c r="I214" s="38" t="n">
        <f aca="false">G214-H214</f>
        <v>58977.3013999995</v>
      </c>
      <c r="J214" s="45" t="n">
        <v>0.0641895901865754</v>
      </c>
      <c r="K214" s="45" t="n">
        <v>0.0257222649085081</v>
      </c>
      <c r="L214" s="46" t="str">
        <f aca="false">IF(I214&gt;0,"Actual above budget",IF(I214&lt;0,"Actual below budget","On budget"))</f>
        <v>Actual above budget</v>
      </c>
    </row>
    <row r="215" customFormat="false" ht="15" hidden="false" customHeight="false" outlineLevel="0" collapsed="false">
      <c r="A215" s="23" t="s">
        <v>216</v>
      </c>
      <c r="B215" s="23" t="s">
        <v>225</v>
      </c>
      <c r="C215" s="23" t="s">
        <v>197</v>
      </c>
      <c r="D215" s="34" t="n">
        <v>6120</v>
      </c>
      <c r="E215" s="23" t="s">
        <v>355</v>
      </c>
      <c r="F215" s="37" t="n">
        <v>156</v>
      </c>
      <c r="G215" s="37" t="n">
        <v>1570803.0161</v>
      </c>
      <c r="H215" s="37" t="n">
        <v>1475452.2298</v>
      </c>
      <c r="I215" s="38" t="n">
        <f aca="false">G215-H215</f>
        <v>95350.7863</v>
      </c>
      <c r="J215" s="45" t="n">
        <v>0.0646247871494456</v>
      </c>
      <c r="K215" s="45" t="n">
        <v>0.0415861378229006</v>
      </c>
      <c r="L215" s="46" t="str">
        <f aca="false">IF(I215&gt;0,"Actual above budget",IF(I215&lt;0,"Actual below budget","On budget"))</f>
        <v>Actual above budget</v>
      </c>
    </row>
    <row r="216" customFormat="false" ht="15" hidden="false" customHeight="false" outlineLevel="0" collapsed="false">
      <c r="A216" s="23" t="s">
        <v>216</v>
      </c>
      <c r="B216" s="23" t="s">
        <v>225</v>
      </c>
      <c r="C216" s="23" t="s">
        <v>199</v>
      </c>
      <c r="D216" s="34" t="n">
        <v>6100</v>
      </c>
      <c r="E216" s="23" t="s">
        <v>203</v>
      </c>
      <c r="F216" s="37" t="n">
        <v>148</v>
      </c>
      <c r="G216" s="37" t="n">
        <v>4321151.5628</v>
      </c>
      <c r="H216" s="37" t="n">
        <v>4073656.6233</v>
      </c>
      <c r="I216" s="38" t="n">
        <f aca="false">G216-H216</f>
        <v>247494.9395</v>
      </c>
      <c r="J216" s="45" t="n">
        <v>0.0607549831481644</v>
      </c>
      <c r="K216" s="45" t="n">
        <v>0.107942042891338</v>
      </c>
      <c r="L216" s="46" t="str">
        <f aca="false">IF(I216&gt;0,"Actual above budget",IF(I216&lt;0,"Actual below budget","On budget"))</f>
        <v>Actual above budget</v>
      </c>
    </row>
    <row r="217" customFormat="false" ht="15" hidden="false" customHeight="false" outlineLevel="0" collapsed="false">
      <c r="A217" s="23" t="s">
        <v>216</v>
      </c>
      <c r="B217" s="23" t="s">
        <v>225</v>
      </c>
      <c r="C217" s="23" t="s">
        <v>199</v>
      </c>
      <c r="D217" s="34" t="n">
        <v>6110</v>
      </c>
      <c r="E217" s="23" t="s">
        <v>354</v>
      </c>
      <c r="F217" s="37" t="n">
        <v>157</v>
      </c>
      <c r="G217" s="37" t="n">
        <v>705936.592</v>
      </c>
      <c r="H217" s="37" t="n">
        <v>665016.1143</v>
      </c>
      <c r="I217" s="38" t="n">
        <f aca="false">G217-H217</f>
        <v>40920.4776999996</v>
      </c>
      <c r="J217" s="45" t="n">
        <v>0.0615330618613252</v>
      </c>
      <c r="K217" s="45" t="n">
        <v>0.0178469910049513</v>
      </c>
      <c r="L217" s="46" t="str">
        <f aca="false">IF(I217&gt;0,"Actual above budget",IF(I217&lt;0,"Actual below budget","On budget"))</f>
        <v>Actual above budget</v>
      </c>
    </row>
    <row r="218" customFormat="false" ht="15" hidden="false" customHeight="false" outlineLevel="0" collapsed="false">
      <c r="A218" s="23" t="s">
        <v>216</v>
      </c>
      <c r="B218" s="23" t="s">
        <v>225</v>
      </c>
      <c r="C218" s="23" t="s">
        <v>199</v>
      </c>
      <c r="D218" s="34" t="n">
        <v>6120</v>
      </c>
      <c r="E218" s="23" t="s">
        <v>355</v>
      </c>
      <c r="F218" s="37" t="n">
        <v>151</v>
      </c>
      <c r="G218" s="37" t="n">
        <v>912576.3145</v>
      </c>
      <c r="H218" s="37" t="n">
        <v>857724.3541</v>
      </c>
      <c r="I218" s="38" t="n">
        <f aca="false">G218-H218</f>
        <v>54851.9604000002</v>
      </c>
      <c r="J218" s="45" t="n">
        <v>0.0639505688952432</v>
      </c>
      <c r="K218" s="45" t="n">
        <v>0.0239230453524921</v>
      </c>
      <c r="L218" s="46" t="str">
        <f aca="false">IF(I218&gt;0,"Actual above budget",IF(I218&lt;0,"Actual below budget","On budget"))</f>
        <v>Actual above budget</v>
      </c>
    </row>
    <row r="219" customFormat="false" ht="15" hidden="false" customHeight="false" outlineLevel="0" collapsed="false">
      <c r="A219" s="23" t="s">
        <v>216</v>
      </c>
      <c r="B219" s="23" t="s">
        <v>225</v>
      </c>
      <c r="C219" s="23" t="s">
        <v>195</v>
      </c>
      <c r="D219" s="34" t="n">
        <v>6100</v>
      </c>
      <c r="E219" s="23" t="s">
        <v>203</v>
      </c>
      <c r="F219" s="37" t="n">
        <v>139</v>
      </c>
      <c r="G219" s="37" t="n">
        <v>6326715.9236</v>
      </c>
      <c r="H219" s="37" t="n">
        <v>5944851.7999</v>
      </c>
      <c r="I219" s="38" t="n">
        <f aca="false">G219-H219</f>
        <v>381864.123700002</v>
      </c>
      <c r="J219" s="45" t="n">
        <v>0.0642344227498529</v>
      </c>
      <c r="K219" s="45" t="n">
        <v>0.16654560170952</v>
      </c>
      <c r="L219" s="46" t="str">
        <f aca="false">IF(I219&gt;0,"Actual above budget",IF(I219&lt;0,"Actual below budget","On budget"))</f>
        <v>Actual above budget</v>
      </c>
    </row>
    <row r="220" customFormat="false" ht="15" hidden="false" customHeight="false" outlineLevel="0" collapsed="false">
      <c r="A220" s="23" t="s">
        <v>216</v>
      </c>
      <c r="B220" s="23" t="s">
        <v>225</v>
      </c>
      <c r="C220" s="23" t="s">
        <v>195</v>
      </c>
      <c r="D220" s="34" t="n">
        <v>6110</v>
      </c>
      <c r="E220" s="23" t="s">
        <v>354</v>
      </c>
      <c r="F220" s="37" t="n">
        <v>155</v>
      </c>
      <c r="G220" s="37" t="n">
        <v>1085776.4227</v>
      </c>
      <c r="H220" s="37" t="n">
        <v>1017670.8919</v>
      </c>
      <c r="I220" s="38" t="n">
        <f aca="false">G220-H220</f>
        <v>68105.5307999998</v>
      </c>
      <c r="J220" s="45" t="n">
        <v>0.0669229427136767</v>
      </c>
      <c r="K220" s="45" t="n">
        <v>0.02970343612521</v>
      </c>
      <c r="L220" s="46" t="str">
        <f aca="false">IF(I220&gt;0,"Actual above budget",IF(I220&lt;0,"Actual below budget","On budget"))</f>
        <v>Actual above budget</v>
      </c>
    </row>
    <row r="221" customFormat="false" ht="15" hidden="false" customHeight="false" outlineLevel="0" collapsed="false">
      <c r="A221" s="23" t="s">
        <v>216</v>
      </c>
      <c r="B221" s="23" t="s">
        <v>225</v>
      </c>
      <c r="C221" s="23" t="s">
        <v>195</v>
      </c>
      <c r="D221" s="34" t="n">
        <v>6120</v>
      </c>
      <c r="E221" s="23" t="s">
        <v>355</v>
      </c>
      <c r="F221" s="37" t="n">
        <v>144</v>
      </c>
      <c r="G221" s="37" t="n">
        <v>1745671.2246</v>
      </c>
      <c r="H221" s="37" t="n">
        <v>1644995.0503</v>
      </c>
      <c r="I221" s="38" t="n">
        <f aca="false">G221-H221</f>
        <v>100676.174300001</v>
      </c>
      <c r="J221" s="45" t="n">
        <v>0.0612015059143427</v>
      </c>
      <c r="K221" s="45" t="n">
        <v>0.0439087439378794</v>
      </c>
      <c r="L221" s="46" t="str">
        <f aca="false">IF(I221&gt;0,"Actual above budget",IF(I221&lt;0,"Actual below budget","On budget"))</f>
        <v>Actual above budget</v>
      </c>
    </row>
    <row r="222" customFormat="false" ht="15" hidden="false" customHeight="false" outlineLevel="0" collapsed="false">
      <c r="A222" s="23" t="s">
        <v>216</v>
      </c>
      <c r="B222" s="23" t="s">
        <v>226</v>
      </c>
      <c r="C222" s="23" t="s">
        <v>201</v>
      </c>
      <c r="D222" s="34" t="n">
        <v>6200</v>
      </c>
      <c r="E222" s="23" t="s">
        <v>356</v>
      </c>
      <c r="F222" s="37" t="n">
        <v>141</v>
      </c>
      <c r="G222" s="37" t="n">
        <v>265732.2562</v>
      </c>
      <c r="H222" s="37" t="n">
        <v>248331.9584</v>
      </c>
      <c r="I222" s="38" t="n">
        <f aca="false">G222-H222</f>
        <v>17400.2978000001</v>
      </c>
      <c r="J222" s="45" t="n">
        <v>0.0700687012340656</v>
      </c>
      <c r="K222" s="45" t="n">
        <v>0.00696449633101623</v>
      </c>
      <c r="L222" s="46" t="str">
        <f aca="false">IF(I222&gt;0,"Actual above budget",IF(I222&lt;0,"Actual below budget","On budget"))</f>
        <v>Actual above budget</v>
      </c>
    </row>
    <row r="223" customFormat="false" ht="15" hidden="false" customHeight="false" outlineLevel="0" collapsed="false">
      <c r="A223" s="23" t="s">
        <v>216</v>
      </c>
      <c r="B223" s="23" t="s">
        <v>226</v>
      </c>
      <c r="C223" s="23" t="s">
        <v>201</v>
      </c>
      <c r="D223" s="34" t="n">
        <v>6210</v>
      </c>
      <c r="E223" s="23" t="s">
        <v>357</v>
      </c>
      <c r="F223" s="37" t="n">
        <v>150</v>
      </c>
      <c r="G223" s="37" t="n">
        <v>997225.3432</v>
      </c>
      <c r="H223" s="37" t="n">
        <v>937115.8623</v>
      </c>
      <c r="I223" s="38" t="n">
        <f aca="false">G223-H223</f>
        <v>60109.4809000003</v>
      </c>
      <c r="J223" s="45" t="n">
        <v>0.0641430620462138</v>
      </c>
      <c r="K223" s="45" t="n">
        <v>0.0240589134737303</v>
      </c>
      <c r="L223" s="46" t="str">
        <f aca="false">IF(I223&gt;0,"Actual above budget",IF(I223&lt;0,"Actual below budget","On budget"))</f>
        <v>Actual above budget</v>
      </c>
    </row>
    <row r="224" customFormat="false" ht="15" hidden="false" customHeight="false" outlineLevel="0" collapsed="false">
      <c r="A224" s="23" t="s">
        <v>216</v>
      </c>
      <c r="B224" s="23" t="s">
        <v>226</v>
      </c>
      <c r="C224" s="23" t="s">
        <v>201</v>
      </c>
      <c r="D224" s="34" t="n">
        <v>6220</v>
      </c>
      <c r="E224" s="23" t="s">
        <v>358</v>
      </c>
      <c r="F224" s="37" t="n">
        <v>157</v>
      </c>
      <c r="G224" s="37" t="n">
        <v>1076684.7319</v>
      </c>
      <c r="H224" s="37" t="n">
        <v>1008320.2573</v>
      </c>
      <c r="I224" s="38" t="n">
        <f aca="false">G224-H224</f>
        <v>68364.4745999997</v>
      </c>
      <c r="J224" s="45" t="n">
        <v>0.0678003581749523</v>
      </c>
      <c r="K224" s="45" t="n">
        <v>0.0273629875761984</v>
      </c>
      <c r="L224" s="46" t="str">
        <f aca="false">IF(I224&gt;0,"Actual above budget",IF(I224&lt;0,"Actual below budget","On budget"))</f>
        <v>Actual above budget</v>
      </c>
    </row>
    <row r="225" customFormat="false" ht="15" hidden="false" customHeight="false" outlineLevel="0" collapsed="false">
      <c r="A225" s="23" t="s">
        <v>216</v>
      </c>
      <c r="B225" s="23" t="s">
        <v>226</v>
      </c>
      <c r="C225" s="23" t="s">
        <v>201</v>
      </c>
      <c r="D225" s="34" t="n">
        <v>6230</v>
      </c>
      <c r="E225" s="23" t="s">
        <v>359</v>
      </c>
      <c r="F225" s="37" t="n">
        <v>135</v>
      </c>
      <c r="G225" s="37" t="n">
        <v>627279.0508</v>
      </c>
      <c r="H225" s="37" t="n">
        <v>589492.0957</v>
      </c>
      <c r="I225" s="38" t="n">
        <f aca="false">G225-H225</f>
        <v>37786.9551000001</v>
      </c>
      <c r="J225" s="45" t="n">
        <v>0.0641008681467211</v>
      </c>
      <c r="K225" s="45" t="n">
        <v>0.0151242877092727</v>
      </c>
      <c r="L225" s="46" t="str">
        <f aca="false">IF(I225&gt;0,"Actual above budget",IF(I225&lt;0,"Actual below budget","On budget"))</f>
        <v>Actual above budget</v>
      </c>
    </row>
    <row r="226" customFormat="false" ht="15" hidden="false" customHeight="false" outlineLevel="0" collapsed="false">
      <c r="A226" s="23" t="s">
        <v>216</v>
      </c>
      <c r="B226" s="23" t="s">
        <v>226</v>
      </c>
      <c r="C226" s="23" t="s">
        <v>201</v>
      </c>
      <c r="D226" s="34" t="n">
        <v>6240</v>
      </c>
      <c r="E226" s="23" t="s">
        <v>360</v>
      </c>
      <c r="F226" s="37" t="n">
        <v>157</v>
      </c>
      <c r="G226" s="37" t="n">
        <v>360038.6382</v>
      </c>
      <c r="H226" s="37" t="n">
        <v>336981.7485</v>
      </c>
      <c r="I226" s="38" t="n">
        <f aca="false">G226-H226</f>
        <v>23056.8896999999</v>
      </c>
      <c r="J226" s="45" t="n">
        <v>0.0684217759645223</v>
      </c>
      <c r="K226" s="45" t="n">
        <v>0.00922855606070696</v>
      </c>
      <c r="L226" s="46" t="str">
        <f aca="false">IF(I226&gt;0,"Actual above budget",IF(I226&lt;0,"Actual below budget","On budget"))</f>
        <v>Actual above budget</v>
      </c>
    </row>
    <row r="227" customFormat="false" ht="15" hidden="false" customHeight="false" outlineLevel="0" collapsed="false">
      <c r="A227" s="23" t="s">
        <v>216</v>
      </c>
      <c r="B227" s="23" t="s">
        <v>226</v>
      </c>
      <c r="C227" s="23" t="s">
        <v>201</v>
      </c>
      <c r="D227" s="34" t="n">
        <v>6250</v>
      </c>
      <c r="E227" s="23" t="s">
        <v>361</v>
      </c>
      <c r="F227" s="37" t="n">
        <v>125</v>
      </c>
      <c r="G227" s="37" t="n">
        <v>356556.5398</v>
      </c>
      <c r="H227" s="37" t="n">
        <v>335161.25</v>
      </c>
      <c r="I227" s="38" t="n">
        <f aca="false">G227-H227</f>
        <v>21395.2898000001</v>
      </c>
      <c r="J227" s="45" t="n">
        <v>0.0638358097781292</v>
      </c>
      <c r="K227" s="45" t="n">
        <v>0.00856349810939035</v>
      </c>
      <c r="L227" s="46" t="str">
        <f aca="false">IF(I227&gt;0,"Actual above budget",IF(I227&lt;0,"Actual below budget","On budget"))</f>
        <v>Actual above budget</v>
      </c>
    </row>
    <row r="228" customFormat="false" ht="15" hidden="false" customHeight="false" outlineLevel="0" collapsed="false">
      <c r="A228" s="23" t="s">
        <v>216</v>
      </c>
      <c r="B228" s="23" t="s">
        <v>226</v>
      </c>
      <c r="C228" s="23" t="s">
        <v>201</v>
      </c>
      <c r="D228" s="34" t="n">
        <v>6260</v>
      </c>
      <c r="E228" s="23" t="s">
        <v>362</v>
      </c>
      <c r="F228" s="37" t="n">
        <v>144</v>
      </c>
      <c r="G228" s="37" t="n">
        <v>416067.8677</v>
      </c>
      <c r="H228" s="37" t="n">
        <v>390429.1429</v>
      </c>
      <c r="I228" s="38" t="n">
        <f aca="false">G228-H228</f>
        <v>25638.7248000004</v>
      </c>
      <c r="J228" s="45" t="n">
        <v>0.0656680610713704</v>
      </c>
      <c r="K228" s="45" t="n">
        <v>0.0102619395859728</v>
      </c>
      <c r="L228" s="46" t="str">
        <f aca="false">IF(I228&gt;0,"Actual above budget",IF(I228&lt;0,"Actual below budget","On budget"))</f>
        <v>Actual above budget</v>
      </c>
    </row>
    <row r="229" customFormat="false" ht="15" hidden="false" customHeight="false" outlineLevel="0" collapsed="false">
      <c r="A229" s="23" t="s">
        <v>216</v>
      </c>
      <c r="B229" s="23" t="s">
        <v>226</v>
      </c>
      <c r="C229" s="23" t="s">
        <v>201</v>
      </c>
      <c r="D229" s="34" t="n">
        <v>6270</v>
      </c>
      <c r="E229" s="23" t="s">
        <v>363</v>
      </c>
      <c r="F229" s="37" t="n">
        <v>155</v>
      </c>
      <c r="G229" s="37" t="n">
        <v>188418.0113</v>
      </c>
      <c r="H229" s="37" t="n">
        <v>177017.7304</v>
      </c>
      <c r="I229" s="38" t="n">
        <f aca="false">G229-H229</f>
        <v>11400.2809000001</v>
      </c>
      <c r="J229" s="45" t="n">
        <v>0.0644019154140053</v>
      </c>
      <c r="K229" s="45" t="n">
        <v>0.0045629802094884</v>
      </c>
      <c r="L229" s="46" t="str">
        <f aca="false">IF(I229&gt;0,"Actual above budget",IF(I229&lt;0,"Actual below budget","On budget"))</f>
        <v>Actual above budget</v>
      </c>
    </row>
    <row r="230" customFormat="false" ht="15" hidden="false" customHeight="false" outlineLevel="0" collapsed="false">
      <c r="A230" s="23" t="s">
        <v>216</v>
      </c>
      <c r="B230" s="23" t="s">
        <v>226</v>
      </c>
      <c r="C230" s="23" t="s">
        <v>200</v>
      </c>
      <c r="D230" s="34" t="n">
        <v>6200</v>
      </c>
      <c r="E230" s="23" t="s">
        <v>356</v>
      </c>
      <c r="F230" s="37" t="n">
        <v>157</v>
      </c>
      <c r="G230" s="37" t="n">
        <v>419933.4012</v>
      </c>
      <c r="H230" s="37" t="n">
        <v>394084.6152</v>
      </c>
      <c r="I230" s="38" t="n">
        <f aca="false">G230-H230</f>
        <v>25848.786</v>
      </c>
      <c r="J230" s="45" t="n">
        <v>0.0655919693461812</v>
      </c>
      <c r="K230" s="45" t="n">
        <v>0.0103460169088729</v>
      </c>
      <c r="L230" s="46" t="str">
        <f aca="false">IF(I230&gt;0,"Actual above budget",IF(I230&lt;0,"Actual below budget","On budget"))</f>
        <v>Actual above budget</v>
      </c>
    </row>
    <row r="231" customFormat="false" ht="15" hidden="false" customHeight="false" outlineLevel="0" collapsed="false">
      <c r="A231" s="23" t="s">
        <v>216</v>
      </c>
      <c r="B231" s="23" t="s">
        <v>226</v>
      </c>
      <c r="C231" s="23" t="s">
        <v>200</v>
      </c>
      <c r="D231" s="34" t="n">
        <v>6210</v>
      </c>
      <c r="E231" s="23" t="s">
        <v>357</v>
      </c>
      <c r="F231" s="37" t="n">
        <v>149</v>
      </c>
      <c r="G231" s="37" t="n">
        <v>1394640.8633</v>
      </c>
      <c r="H231" s="37" t="n">
        <v>1315871.8731</v>
      </c>
      <c r="I231" s="38" t="n">
        <f aca="false">G231-H231</f>
        <v>78768.9902000008</v>
      </c>
      <c r="J231" s="45" t="n">
        <v>0.0598606838631119</v>
      </c>
      <c r="K231" s="45" t="n">
        <v>0.0315274111714199</v>
      </c>
      <c r="L231" s="46" t="str">
        <f aca="false">IF(I231&gt;0,"Actual above budget",IF(I231&lt;0,"Actual below budget","On budget"))</f>
        <v>Actual above budget</v>
      </c>
    </row>
    <row r="232" customFormat="false" ht="15" hidden="false" customHeight="false" outlineLevel="0" collapsed="false">
      <c r="A232" s="23" t="s">
        <v>216</v>
      </c>
      <c r="B232" s="23" t="s">
        <v>226</v>
      </c>
      <c r="C232" s="23" t="s">
        <v>200</v>
      </c>
      <c r="D232" s="34" t="n">
        <v>6220</v>
      </c>
      <c r="E232" s="23" t="s">
        <v>358</v>
      </c>
      <c r="F232" s="37" t="n">
        <v>146</v>
      </c>
      <c r="G232" s="37" t="n">
        <v>1440585.5861</v>
      </c>
      <c r="H232" s="37" t="n">
        <v>1355098.9231</v>
      </c>
      <c r="I232" s="38" t="n">
        <f aca="false">G232-H232</f>
        <v>85486.6630000002</v>
      </c>
      <c r="J232" s="45" t="n">
        <v>0.063085182596438</v>
      </c>
      <c r="K232" s="45" t="n">
        <v>0.0342161701861402</v>
      </c>
      <c r="L232" s="46" t="str">
        <f aca="false">IF(I232&gt;0,"Actual above budget",IF(I232&lt;0,"Actual below budget","On budget"))</f>
        <v>Actual above budget</v>
      </c>
    </row>
    <row r="233" customFormat="false" ht="15" hidden="false" customHeight="false" outlineLevel="0" collapsed="false">
      <c r="A233" s="23" t="s">
        <v>216</v>
      </c>
      <c r="B233" s="23" t="s">
        <v>226</v>
      </c>
      <c r="C233" s="23" t="s">
        <v>200</v>
      </c>
      <c r="D233" s="34" t="n">
        <v>6230</v>
      </c>
      <c r="E233" s="23" t="s">
        <v>359</v>
      </c>
      <c r="F233" s="37" t="n">
        <v>161</v>
      </c>
      <c r="G233" s="37" t="n">
        <v>1178759.5342</v>
      </c>
      <c r="H233" s="37" t="n">
        <v>1104094.4956</v>
      </c>
      <c r="I233" s="38" t="n">
        <f aca="false">G233-H233</f>
        <v>74665.0386000013</v>
      </c>
      <c r="J233" s="45" t="n">
        <v>0.0676255872097476</v>
      </c>
      <c r="K233" s="45" t="n">
        <v>0.0298847981432183</v>
      </c>
      <c r="L233" s="46" t="str">
        <f aca="false">IF(I233&gt;0,"Actual above budget",IF(I233&lt;0,"Actual below budget","On budget"))</f>
        <v>Actual above budget</v>
      </c>
    </row>
    <row r="234" customFormat="false" ht="15" hidden="false" customHeight="false" outlineLevel="0" collapsed="false">
      <c r="A234" s="23" t="s">
        <v>216</v>
      </c>
      <c r="B234" s="23" t="s">
        <v>226</v>
      </c>
      <c r="C234" s="23" t="s">
        <v>200</v>
      </c>
      <c r="D234" s="34" t="n">
        <v>6240</v>
      </c>
      <c r="E234" s="23" t="s">
        <v>360</v>
      </c>
      <c r="F234" s="37" t="n">
        <v>149</v>
      </c>
      <c r="G234" s="37" t="n">
        <v>523502.7327</v>
      </c>
      <c r="H234" s="37" t="n">
        <v>490793.002</v>
      </c>
      <c r="I234" s="38" t="n">
        <f aca="false">G234-H234</f>
        <v>32709.7306999998</v>
      </c>
      <c r="J234" s="45" t="n">
        <v>0.0666466933446618</v>
      </c>
      <c r="K234" s="45" t="n">
        <v>0.0130921207250073</v>
      </c>
      <c r="L234" s="46" t="str">
        <f aca="false">IF(I234&gt;0,"Actual above budget",IF(I234&lt;0,"Actual below budget","On budget"))</f>
        <v>Actual above budget</v>
      </c>
    </row>
    <row r="235" customFormat="false" ht="15" hidden="false" customHeight="false" outlineLevel="0" collapsed="false">
      <c r="A235" s="23" t="s">
        <v>216</v>
      </c>
      <c r="B235" s="23" t="s">
        <v>226</v>
      </c>
      <c r="C235" s="23" t="s">
        <v>200</v>
      </c>
      <c r="D235" s="34" t="n">
        <v>6250</v>
      </c>
      <c r="E235" s="23" t="s">
        <v>361</v>
      </c>
      <c r="F235" s="37" t="n">
        <v>146</v>
      </c>
      <c r="G235" s="37" t="n">
        <v>648086.1867</v>
      </c>
      <c r="H235" s="37" t="n">
        <v>610665.9411</v>
      </c>
      <c r="I235" s="38" t="n">
        <f aca="false">G235-H235</f>
        <v>37420.2455999996</v>
      </c>
      <c r="J235" s="45" t="n">
        <v>0.0612777675673126</v>
      </c>
      <c r="K235" s="45" t="n">
        <v>0.0149775116599974</v>
      </c>
      <c r="L235" s="46" t="str">
        <f aca="false">IF(I235&gt;0,"Actual above budget",IF(I235&lt;0,"Actual below budget","On budget"))</f>
        <v>Actual above budget</v>
      </c>
    </row>
    <row r="236" customFormat="false" ht="15" hidden="false" customHeight="false" outlineLevel="0" collapsed="false">
      <c r="A236" s="23" t="s">
        <v>216</v>
      </c>
      <c r="B236" s="23" t="s">
        <v>226</v>
      </c>
      <c r="C236" s="23" t="s">
        <v>200</v>
      </c>
      <c r="D236" s="34" t="n">
        <v>6260</v>
      </c>
      <c r="E236" s="23" t="s">
        <v>362</v>
      </c>
      <c r="F236" s="37" t="n">
        <v>149</v>
      </c>
      <c r="G236" s="37" t="n">
        <v>578120.7905</v>
      </c>
      <c r="H236" s="37" t="n">
        <v>542983.2173</v>
      </c>
      <c r="I236" s="38" t="n">
        <f aca="false">G236-H236</f>
        <v>35137.5731999999</v>
      </c>
      <c r="J236" s="45" t="n">
        <v>0.0647120796379723</v>
      </c>
      <c r="K236" s="45" t="n">
        <v>0.0140638684719646</v>
      </c>
      <c r="L236" s="46" t="str">
        <f aca="false">IF(I236&gt;0,"Actual above budget",IF(I236&lt;0,"Actual below budget","On budget"))</f>
        <v>Actual above budget</v>
      </c>
    </row>
    <row r="237" customFormat="false" ht="15" hidden="false" customHeight="false" outlineLevel="0" collapsed="false">
      <c r="A237" s="23" t="s">
        <v>216</v>
      </c>
      <c r="B237" s="23" t="s">
        <v>226</v>
      </c>
      <c r="C237" s="23" t="s">
        <v>200</v>
      </c>
      <c r="D237" s="34" t="n">
        <v>6270</v>
      </c>
      <c r="E237" s="23" t="s">
        <v>363</v>
      </c>
      <c r="F237" s="37" t="n">
        <v>151</v>
      </c>
      <c r="G237" s="37" t="n">
        <v>291900.5393</v>
      </c>
      <c r="H237" s="37" t="n">
        <v>272594.3511</v>
      </c>
      <c r="I237" s="38" t="n">
        <f aca="false">G237-H237</f>
        <v>19306.1882</v>
      </c>
      <c r="J237" s="45" t="n">
        <v>0.0708238748238683</v>
      </c>
      <c r="K237" s="45" t="n">
        <v>0.00772733193594013</v>
      </c>
      <c r="L237" s="46" t="str">
        <f aca="false">IF(I237&gt;0,"Actual above budget",IF(I237&lt;0,"Actual below budget","On budget"))</f>
        <v>Actual above budget</v>
      </c>
    </row>
    <row r="238" customFormat="false" ht="15" hidden="false" customHeight="false" outlineLevel="0" collapsed="false">
      <c r="A238" s="23" t="s">
        <v>216</v>
      </c>
      <c r="B238" s="23" t="s">
        <v>226</v>
      </c>
      <c r="C238" s="23" t="s">
        <v>202</v>
      </c>
      <c r="D238" s="34" t="n">
        <v>6200</v>
      </c>
      <c r="E238" s="23" t="s">
        <v>356</v>
      </c>
      <c r="F238" s="37" t="n">
        <v>146</v>
      </c>
      <c r="G238" s="37" t="n">
        <v>234634.184</v>
      </c>
      <c r="H238" s="37" t="n">
        <v>219974.4013</v>
      </c>
      <c r="I238" s="38" t="n">
        <f aca="false">G238-H238</f>
        <v>14659.7827000001</v>
      </c>
      <c r="J238" s="45" t="n">
        <v>0.066643130352277</v>
      </c>
      <c r="K238" s="45" t="n">
        <v>0.00586760088828165</v>
      </c>
      <c r="L238" s="46" t="str">
        <f aca="false">IF(I238&gt;0,"Actual above budget",IF(I238&lt;0,"Actual below budget","On budget"))</f>
        <v>Actual above budget</v>
      </c>
    </row>
    <row r="239" customFormat="false" ht="15" hidden="false" customHeight="false" outlineLevel="0" collapsed="false">
      <c r="A239" s="23" t="s">
        <v>216</v>
      </c>
      <c r="B239" s="23" t="s">
        <v>226</v>
      </c>
      <c r="C239" s="23" t="s">
        <v>202</v>
      </c>
      <c r="D239" s="34" t="n">
        <v>6210</v>
      </c>
      <c r="E239" s="23" t="s">
        <v>357</v>
      </c>
      <c r="F239" s="37" t="n">
        <v>145</v>
      </c>
      <c r="G239" s="37" t="n">
        <v>732142.8209</v>
      </c>
      <c r="H239" s="37" t="n">
        <v>687772.0918</v>
      </c>
      <c r="I239" s="38" t="n">
        <f aca="false">G239-H239</f>
        <v>44370.7290999995</v>
      </c>
      <c r="J239" s="45" t="n">
        <v>0.0645137097434054</v>
      </c>
      <c r="K239" s="45" t="n">
        <v>0.0177594535204716</v>
      </c>
      <c r="L239" s="46" t="str">
        <f aca="false">IF(I239&gt;0,"Actual above budget",IF(I239&lt;0,"Actual below budget","On budget"))</f>
        <v>Actual above budget</v>
      </c>
    </row>
    <row r="240" customFormat="false" ht="15" hidden="false" customHeight="false" outlineLevel="0" collapsed="false">
      <c r="A240" s="23" t="s">
        <v>216</v>
      </c>
      <c r="B240" s="23" t="s">
        <v>226</v>
      </c>
      <c r="C240" s="23" t="s">
        <v>202</v>
      </c>
      <c r="D240" s="34" t="n">
        <v>6220</v>
      </c>
      <c r="E240" s="23" t="s">
        <v>358</v>
      </c>
      <c r="F240" s="37" t="n">
        <v>138</v>
      </c>
      <c r="G240" s="37" t="n">
        <v>980480.8921</v>
      </c>
      <c r="H240" s="37" t="n">
        <v>917952.5831</v>
      </c>
      <c r="I240" s="38" t="n">
        <f aca="false">G240-H240</f>
        <v>62528.3090000004</v>
      </c>
      <c r="J240" s="45" t="n">
        <v>0.0681171447754271</v>
      </c>
      <c r="K240" s="45" t="n">
        <v>0.0250270531930292</v>
      </c>
      <c r="L240" s="46" t="str">
        <f aca="false">IF(I240&gt;0,"Actual above budget",IF(I240&lt;0,"Actual below budget","On budget"))</f>
        <v>Actual above budget</v>
      </c>
    </row>
    <row r="241" customFormat="false" ht="15" hidden="false" customHeight="false" outlineLevel="0" collapsed="false">
      <c r="A241" s="23" t="s">
        <v>216</v>
      </c>
      <c r="B241" s="23" t="s">
        <v>226</v>
      </c>
      <c r="C241" s="23" t="s">
        <v>202</v>
      </c>
      <c r="D241" s="34" t="n">
        <v>6230</v>
      </c>
      <c r="E241" s="23" t="s">
        <v>359</v>
      </c>
      <c r="F241" s="37" t="n">
        <v>149</v>
      </c>
      <c r="G241" s="37" t="n">
        <v>667798.9195</v>
      </c>
      <c r="H241" s="37" t="n">
        <v>626908.3677</v>
      </c>
      <c r="I241" s="38" t="n">
        <f aca="false">G241-H241</f>
        <v>40890.5518000001</v>
      </c>
      <c r="J241" s="45" t="n">
        <v>0.0652257234179521</v>
      </c>
      <c r="K241" s="45" t="n">
        <v>0.0163665071286498</v>
      </c>
      <c r="L241" s="46" t="str">
        <f aca="false">IF(I241&gt;0,"Actual above budget",IF(I241&lt;0,"Actual below budget","On budget"))</f>
        <v>Actual above budget</v>
      </c>
    </row>
    <row r="242" customFormat="false" ht="15" hidden="false" customHeight="false" outlineLevel="0" collapsed="false">
      <c r="A242" s="23" t="s">
        <v>216</v>
      </c>
      <c r="B242" s="23" t="s">
        <v>226</v>
      </c>
      <c r="C242" s="23" t="s">
        <v>202</v>
      </c>
      <c r="D242" s="34" t="n">
        <v>6240</v>
      </c>
      <c r="E242" s="23" t="s">
        <v>360</v>
      </c>
      <c r="F242" s="37" t="n">
        <v>187</v>
      </c>
      <c r="G242" s="37" t="n">
        <v>393236.8235</v>
      </c>
      <c r="H242" s="37" t="n">
        <v>370348.6507</v>
      </c>
      <c r="I242" s="38" t="n">
        <f aca="false">G242-H242</f>
        <v>22888.1727999999</v>
      </c>
      <c r="J242" s="45" t="n">
        <v>0.0618016908033519</v>
      </c>
      <c r="K242" s="45" t="n">
        <v>0.00916102685836017</v>
      </c>
      <c r="L242" s="46" t="str">
        <f aca="false">IF(I242&gt;0,"Actual above budget",IF(I242&lt;0,"Actual below budget","On budget"))</f>
        <v>Actual above budget</v>
      </c>
    </row>
    <row r="243" customFormat="false" ht="15" hidden="false" customHeight="false" outlineLevel="0" collapsed="false">
      <c r="A243" s="23" t="s">
        <v>216</v>
      </c>
      <c r="B243" s="23" t="s">
        <v>226</v>
      </c>
      <c r="C243" s="23" t="s">
        <v>202</v>
      </c>
      <c r="D243" s="34" t="n">
        <v>6250</v>
      </c>
      <c r="E243" s="23" t="s">
        <v>361</v>
      </c>
      <c r="F243" s="37" t="n">
        <v>143</v>
      </c>
      <c r="G243" s="37" t="n">
        <v>433769.0954</v>
      </c>
      <c r="H243" s="37" t="n">
        <v>406570.3348</v>
      </c>
      <c r="I243" s="38" t="n">
        <f aca="false">G243-H243</f>
        <v>27198.7606000001</v>
      </c>
      <c r="J243" s="45" t="n">
        <v>0.0668980451153172</v>
      </c>
      <c r="K243" s="45" t="n">
        <v>0.0108863463478705</v>
      </c>
      <c r="L243" s="46" t="str">
        <f aca="false">IF(I243&gt;0,"Actual above budget",IF(I243&lt;0,"Actual below budget","On budget"))</f>
        <v>Actual above budget</v>
      </c>
    </row>
    <row r="244" customFormat="false" ht="15" hidden="false" customHeight="false" outlineLevel="0" collapsed="false">
      <c r="A244" s="23" t="s">
        <v>216</v>
      </c>
      <c r="B244" s="23" t="s">
        <v>226</v>
      </c>
      <c r="C244" s="23" t="s">
        <v>202</v>
      </c>
      <c r="D244" s="34" t="n">
        <v>6260</v>
      </c>
      <c r="E244" s="23" t="s">
        <v>362</v>
      </c>
      <c r="F244" s="37" t="n">
        <v>150</v>
      </c>
      <c r="G244" s="37" t="n">
        <v>403382.2206</v>
      </c>
      <c r="H244" s="37" t="n">
        <v>379929.524</v>
      </c>
      <c r="I244" s="38" t="n">
        <f aca="false">G244-H244</f>
        <v>23452.6966000001</v>
      </c>
      <c r="J244" s="45" t="n">
        <v>0.0617290711000391</v>
      </c>
      <c r="K244" s="45" t="n">
        <v>0.00938697838971106</v>
      </c>
      <c r="L244" s="46" t="str">
        <f aca="false">IF(I244&gt;0,"Actual above budget",IF(I244&lt;0,"Actual below budget","On budget"))</f>
        <v>Actual above budget</v>
      </c>
    </row>
    <row r="245" customFormat="false" ht="15" hidden="false" customHeight="false" outlineLevel="0" collapsed="false">
      <c r="A245" s="23" t="s">
        <v>216</v>
      </c>
      <c r="B245" s="23" t="s">
        <v>226</v>
      </c>
      <c r="C245" s="23" t="s">
        <v>202</v>
      </c>
      <c r="D245" s="34" t="n">
        <v>6270</v>
      </c>
      <c r="E245" s="23" t="s">
        <v>363</v>
      </c>
      <c r="F245" s="37" t="n">
        <v>155</v>
      </c>
      <c r="G245" s="37" t="n">
        <v>206201.3732</v>
      </c>
      <c r="H245" s="37" t="n">
        <v>194023.582</v>
      </c>
      <c r="I245" s="38" t="n">
        <f aca="false">G245-H245</f>
        <v>12177.7911999999</v>
      </c>
      <c r="J245" s="45" t="n">
        <v>0.0627644901432652</v>
      </c>
      <c r="K245" s="45" t="n">
        <v>0.00487417991962653</v>
      </c>
      <c r="L245" s="46" t="str">
        <f aca="false">IF(I245&gt;0,"Actual above budget",IF(I245&lt;0,"Actual below budget","On budget"))</f>
        <v>Actual above budget</v>
      </c>
    </row>
    <row r="246" customFormat="false" ht="15" hidden="false" customHeight="false" outlineLevel="0" collapsed="false">
      <c r="A246" s="23" t="s">
        <v>216</v>
      </c>
      <c r="B246" s="23" t="s">
        <v>226</v>
      </c>
      <c r="C246" s="23" t="s">
        <v>197</v>
      </c>
      <c r="D246" s="34" t="n">
        <v>6200</v>
      </c>
      <c r="E246" s="23" t="s">
        <v>356</v>
      </c>
      <c r="F246" s="37" t="n">
        <v>126</v>
      </c>
      <c r="G246" s="37" t="n">
        <v>570394.15</v>
      </c>
      <c r="H246" s="37" t="n">
        <v>536664.4191</v>
      </c>
      <c r="I246" s="38" t="n">
        <f aca="false">G246-H246</f>
        <v>33729.7308999996</v>
      </c>
      <c r="J246" s="45" t="n">
        <v>0.0628506934679322</v>
      </c>
      <c r="K246" s="45" t="n">
        <v>0.0135003773957946</v>
      </c>
      <c r="L246" s="46" t="str">
        <f aca="false">IF(I246&gt;0,"Actual above budget",IF(I246&lt;0,"Actual below budget","On budget"))</f>
        <v>Actual above budget</v>
      </c>
    </row>
    <row r="247" customFormat="false" ht="15" hidden="false" customHeight="false" outlineLevel="0" collapsed="false">
      <c r="A247" s="23" t="s">
        <v>216</v>
      </c>
      <c r="B247" s="23" t="s">
        <v>226</v>
      </c>
      <c r="C247" s="23" t="s">
        <v>197</v>
      </c>
      <c r="D247" s="34" t="n">
        <v>6210</v>
      </c>
      <c r="E247" s="23" t="s">
        <v>357</v>
      </c>
      <c r="F247" s="37" t="n">
        <v>141</v>
      </c>
      <c r="G247" s="37" t="n">
        <v>1827393.5788</v>
      </c>
      <c r="H247" s="37" t="n">
        <v>1713868.6082</v>
      </c>
      <c r="I247" s="38" t="n">
        <f aca="false">G247-H247</f>
        <v>113524.9706</v>
      </c>
      <c r="J247" s="45" t="n">
        <v>0.0662390162564622</v>
      </c>
      <c r="K247" s="45" t="n">
        <v>0.0454385465300729</v>
      </c>
      <c r="L247" s="46" t="str">
        <f aca="false">IF(I247&gt;0,"Actual above budget",IF(I247&lt;0,"Actual below budget","On budget"))</f>
        <v>Actual above budget</v>
      </c>
    </row>
    <row r="248" customFormat="false" ht="15" hidden="false" customHeight="false" outlineLevel="0" collapsed="false">
      <c r="A248" s="23" t="s">
        <v>216</v>
      </c>
      <c r="B248" s="23" t="s">
        <v>226</v>
      </c>
      <c r="C248" s="23" t="s">
        <v>197</v>
      </c>
      <c r="D248" s="34" t="n">
        <v>6220</v>
      </c>
      <c r="E248" s="23" t="s">
        <v>358</v>
      </c>
      <c r="F248" s="37" t="n">
        <v>145</v>
      </c>
      <c r="G248" s="37" t="n">
        <v>2365421.2832</v>
      </c>
      <c r="H248" s="37" t="n">
        <v>2223054.7347</v>
      </c>
      <c r="I248" s="38" t="n">
        <f aca="false">G248-H248</f>
        <v>142366.5485</v>
      </c>
      <c r="J248" s="45" t="n">
        <v>0.0640409551225972</v>
      </c>
      <c r="K248" s="45" t="n">
        <v>0.0569824330643177</v>
      </c>
      <c r="L248" s="46" t="str">
        <f aca="false">IF(I248&gt;0,"Actual above budget",IF(I248&lt;0,"Actual below budget","On budget"))</f>
        <v>Actual above budget</v>
      </c>
    </row>
    <row r="249" customFormat="false" ht="15" hidden="false" customHeight="false" outlineLevel="0" collapsed="false">
      <c r="A249" s="23" t="s">
        <v>216</v>
      </c>
      <c r="B249" s="23" t="s">
        <v>226</v>
      </c>
      <c r="C249" s="23" t="s">
        <v>197</v>
      </c>
      <c r="D249" s="34" t="n">
        <v>6230</v>
      </c>
      <c r="E249" s="23" t="s">
        <v>359</v>
      </c>
      <c r="F249" s="37" t="n">
        <v>147</v>
      </c>
      <c r="G249" s="37" t="n">
        <v>1393955.9912</v>
      </c>
      <c r="H249" s="37" t="n">
        <v>1315170.0548</v>
      </c>
      <c r="I249" s="38" t="n">
        <f aca="false">G249-H249</f>
        <v>78785.9363999998</v>
      </c>
      <c r="J249" s="45" t="n">
        <v>0.059905512684427</v>
      </c>
      <c r="K249" s="45" t="n">
        <v>0.0315341939143983</v>
      </c>
      <c r="L249" s="46" t="str">
        <f aca="false">IF(I249&gt;0,"Actual above budget",IF(I249&lt;0,"Actual below budget","On budget"))</f>
        <v>Actual above budget</v>
      </c>
    </row>
    <row r="250" customFormat="false" ht="15" hidden="false" customHeight="false" outlineLevel="0" collapsed="false">
      <c r="A250" s="23" t="s">
        <v>216</v>
      </c>
      <c r="B250" s="23" t="s">
        <v>226</v>
      </c>
      <c r="C250" s="23" t="s">
        <v>197</v>
      </c>
      <c r="D250" s="34" t="n">
        <v>6240</v>
      </c>
      <c r="E250" s="23" t="s">
        <v>360</v>
      </c>
      <c r="F250" s="37" t="n">
        <v>161</v>
      </c>
      <c r="G250" s="37" t="n">
        <v>979146.7023</v>
      </c>
      <c r="H250" s="37" t="n">
        <v>917296.5674</v>
      </c>
      <c r="I250" s="38" t="n">
        <f aca="false">G250-H250</f>
        <v>61850.1348999997</v>
      </c>
      <c r="J250" s="45" t="n">
        <v>0.0674265413151049</v>
      </c>
      <c r="K250" s="45" t="n">
        <v>0.0247556129518604</v>
      </c>
      <c r="L250" s="46" t="str">
        <f aca="false">IF(I250&gt;0,"Actual above budget",IF(I250&lt;0,"Actual below budget","On budget"))</f>
        <v>Actual above budget</v>
      </c>
    </row>
    <row r="251" customFormat="false" ht="15" hidden="false" customHeight="false" outlineLevel="0" collapsed="false">
      <c r="A251" s="23" t="s">
        <v>216</v>
      </c>
      <c r="B251" s="23" t="s">
        <v>226</v>
      </c>
      <c r="C251" s="23" t="s">
        <v>197</v>
      </c>
      <c r="D251" s="34" t="n">
        <v>6250</v>
      </c>
      <c r="E251" s="23" t="s">
        <v>361</v>
      </c>
      <c r="F251" s="37" t="n">
        <v>152</v>
      </c>
      <c r="G251" s="37" t="n">
        <v>1138751.5569</v>
      </c>
      <c r="H251" s="37" t="n">
        <v>1070236.1612</v>
      </c>
      <c r="I251" s="38" t="n">
        <f aca="false">G251-H251</f>
        <v>68515.3957</v>
      </c>
      <c r="J251" s="45" t="n">
        <v>0.0640189503811731</v>
      </c>
      <c r="K251" s="45" t="n">
        <v>0.0274233939818418</v>
      </c>
      <c r="L251" s="46" t="str">
        <f aca="false">IF(I251&gt;0,"Actual above budget",IF(I251&lt;0,"Actual below budget","On budget"))</f>
        <v>Actual above budget</v>
      </c>
    </row>
    <row r="252" customFormat="false" ht="15" hidden="false" customHeight="false" outlineLevel="0" collapsed="false">
      <c r="A252" s="23" t="s">
        <v>216</v>
      </c>
      <c r="B252" s="23" t="s">
        <v>226</v>
      </c>
      <c r="C252" s="23" t="s">
        <v>197</v>
      </c>
      <c r="D252" s="34" t="n">
        <v>6260</v>
      </c>
      <c r="E252" s="23" t="s">
        <v>362</v>
      </c>
      <c r="F252" s="37" t="n">
        <v>151</v>
      </c>
      <c r="G252" s="37" t="n">
        <v>768761.0352</v>
      </c>
      <c r="H252" s="37" t="n">
        <v>722541.1294</v>
      </c>
      <c r="I252" s="38" t="n">
        <f aca="false">G252-H252</f>
        <v>46219.9058000002</v>
      </c>
      <c r="J252" s="45" t="n">
        <v>0.0639685464526859</v>
      </c>
      <c r="K252" s="45" t="n">
        <v>0.0184995893785229</v>
      </c>
      <c r="L252" s="46" t="str">
        <f aca="false">IF(I252&gt;0,"Actual above budget",IF(I252&lt;0,"Actual below budget","On budget"))</f>
        <v>Actual above budget</v>
      </c>
    </row>
    <row r="253" customFormat="false" ht="15" hidden="false" customHeight="false" outlineLevel="0" collapsed="false">
      <c r="A253" s="23" t="s">
        <v>216</v>
      </c>
      <c r="B253" s="23" t="s">
        <v>226</v>
      </c>
      <c r="C253" s="23" t="s">
        <v>197</v>
      </c>
      <c r="D253" s="34" t="n">
        <v>6270</v>
      </c>
      <c r="E253" s="23" t="s">
        <v>363</v>
      </c>
      <c r="F253" s="37" t="n">
        <v>144</v>
      </c>
      <c r="G253" s="37" t="n">
        <v>360357.9862</v>
      </c>
      <c r="H253" s="37" t="n">
        <v>338715.1462</v>
      </c>
      <c r="I253" s="38" t="n">
        <f aca="false">G253-H253</f>
        <v>21642.84</v>
      </c>
      <c r="J253" s="45" t="n">
        <v>0.0638968768973225</v>
      </c>
      <c r="K253" s="45" t="n">
        <v>0.00866258046300629</v>
      </c>
      <c r="L253" s="46" t="str">
        <f aca="false">IF(I253&gt;0,"Actual above budget",IF(I253&lt;0,"Actual below budget","On budget"))</f>
        <v>Actual above budget</v>
      </c>
    </row>
    <row r="254" customFormat="false" ht="15" hidden="false" customHeight="false" outlineLevel="0" collapsed="false">
      <c r="A254" s="23" t="s">
        <v>216</v>
      </c>
      <c r="B254" s="23" t="s">
        <v>226</v>
      </c>
      <c r="C254" s="23" t="s">
        <v>199</v>
      </c>
      <c r="D254" s="34" t="n">
        <v>6200</v>
      </c>
      <c r="E254" s="23" t="s">
        <v>356</v>
      </c>
      <c r="F254" s="37" t="n">
        <v>155</v>
      </c>
      <c r="G254" s="37" t="n">
        <v>444799.5166</v>
      </c>
      <c r="H254" s="37" t="n">
        <v>417391.085</v>
      </c>
      <c r="I254" s="38" t="n">
        <f aca="false">G254-H254</f>
        <v>27408.4315999997</v>
      </c>
      <c r="J254" s="45" t="n">
        <v>0.0656660685505537</v>
      </c>
      <c r="K254" s="45" t="n">
        <v>0.0109702674926121</v>
      </c>
      <c r="L254" s="46" t="str">
        <f aca="false">IF(I254&gt;0,"Actual above budget",IF(I254&lt;0,"Actual below budget","On budget"))</f>
        <v>Actual above budget</v>
      </c>
    </row>
    <row r="255" customFormat="false" ht="15" hidden="false" customHeight="false" outlineLevel="0" collapsed="false">
      <c r="A255" s="23" t="s">
        <v>216</v>
      </c>
      <c r="B255" s="23" t="s">
        <v>226</v>
      </c>
      <c r="C255" s="23" t="s">
        <v>199</v>
      </c>
      <c r="D255" s="34" t="n">
        <v>6210</v>
      </c>
      <c r="E255" s="23" t="s">
        <v>357</v>
      </c>
      <c r="F255" s="37" t="n">
        <v>151</v>
      </c>
      <c r="G255" s="37" t="n">
        <v>1315272.704</v>
      </c>
      <c r="H255" s="37" t="n">
        <v>1238159.0284</v>
      </c>
      <c r="I255" s="38" t="n">
        <f aca="false">G255-H255</f>
        <v>77113.6756000004</v>
      </c>
      <c r="J255" s="45" t="n">
        <v>0.0622809137043159</v>
      </c>
      <c r="K255" s="45" t="n">
        <v>0.0308648689212305</v>
      </c>
      <c r="L255" s="46" t="str">
        <f aca="false">IF(I255&gt;0,"Actual above budget",IF(I255&lt;0,"Actual below budget","On budget"))</f>
        <v>Actual above budget</v>
      </c>
    </row>
    <row r="256" customFormat="false" ht="15" hidden="false" customHeight="false" outlineLevel="0" collapsed="false">
      <c r="A256" s="23" t="s">
        <v>216</v>
      </c>
      <c r="B256" s="23" t="s">
        <v>226</v>
      </c>
      <c r="C256" s="23" t="s">
        <v>199</v>
      </c>
      <c r="D256" s="34" t="n">
        <v>6220</v>
      </c>
      <c r="E256" s="23" t="s">
        <v>358</v>
      </c>
      <c r="F256" s="37" t="n">
        <v>147</v>
      </c>
      <c r="G256" s="37" t="n">
        <v>1339152.9426</v>
      </c>
      <c r="H256" s="37" t="n">
        <v>1255006.5068</v>
      </c>
      <c r="I256" s="38" t="n">
        <f aca="false">G256-H256</f>
        <v>84146.4358000003</v>
      </c>
      <c r="J256" s="45" t="n">
        <v>0.0670486052017018</v>
      </c>
      <c r="K256" s="45" t="n">
        <v>0.0336797421591941</v>
      </c>
      <c r="L256" s="46" t="str">
        <f aca="false">IF(I256&gt;0,"Actual above budget",IF(I256&lt;0,"Actual below budget","On budget"))</f>
        <v>Actual above budget</v>
      </c>
    </row>
    <row r="257" customFormat="false" ht="15" hidden="false" customHeight="false" outlineLevel="0" collapsed="false">
      <c r="A257" s="23" t="s">
        <v>216</v>
      </c>
      <c r="B257" s="23" t="s">
        <v>226</v>
      </c>
      <c r="C257" s="23" t="s">
        <v>199</v>
      </c>
      <c r="D257" s="34" t="n">
        <v>6230</v>
      </c>
      <c r="E257" s="23" t="s">
        <v>359</v>
      </c>
      <c r="F257" s="37" t="n">
        <v>162</v>
      </c>
      <c r="G257" s="37" t="n">
        <v>1093629.7642</v>
      </c>
      <c r="H257" s="37" t="n">
        <v>1033055.2523</v>
      </c>
      <c r="I257" s="38" t="n">
        <f aca="false">G257-H257</f>
        <v>60574.5118999999</v>
      </c>
      <c r="J257" s="45" t="n">
        <v>0.0586362750347927</v>
      </c>
      <c r="K257" s="45" t="n">
        <v>0.0242450428567176</v>
      </c>
      <c r="L257" s="46" t="str">
        <f aca="false">IF(I257&gt;0,"Actual above budget",IF(I257&lt;0,"Actual below budget","On budget"))</f>
        <v>Actual above budget</v>
      </c>
    </row>
    <row r="258" customFormat="false" ht="15" hidden="false" customHeight="false" outlineLevel="0" collapsed="false">
      <c r="A258" s="23" t="s">
        <v>216</v>
      </c>
      <c r="B258" s="23" t="s">
        <v>226</v>
      </c>
      <c r="C258" s="23" t="s">
        <v>199</v>
      </c>
      <c r="D258" s="34" t="n">
        <v>6240</v>
      </c>
      <c r="E258" s="23" t="s">
        <v>360</v>
      </c>
      <c r="F258" s="37" t="n">
        <v>153</v>
      </c>
      <c r="G258" s="37" t="n">
        <v>468438.5393</v>
      </c>
      <c r="H258" s="37" t="n">
        <v>441842.9455</v>
      </c>
      <c r="I258" s="38" t="n">
        <f aca="false">G258-H258</f>
        <v>26595.5938</v>
      </c>
      <c r="J258" s="45" t="n">
        <v>0.0601924146823343</v>
      </c>
      <c r="K258" s="45" t="n">
        <v>0.0106449278955041</v>
      </c>
      <c r="L258" s="46" t="str">
        <f aca="false">IF(I258&gt;0,"Actual above budget",IF(I258&lt;0,"Actual below budget","On budget"))</f>
        <v>Actual above budget</v>
      </c>
    </row>
    <row r="259" customFormat="false" ht="15" hidden="false" customHeight="false" outlineLevel="0" collapsed="false">
      <c r="A259" s="23" t="s">
        <v>216</v>
      </c>
      <c r="B259" s="23" t="s">
        <v>226</v>
      </c>
      <c r="C259" s="23" t="s">
        <v>199</v>
      </c>
      <c r="D259" s="34" t="n">
        <v>6250</v>
      </c>
      <c r="E259" s="23" t="s">
        <v>361</v>
      </c>
      <c r="F259" s="37" t="n">
        <v>154</v>
      </c>
      <c r="G259" s="37" t="n">
        <v>672848.5282</v>
      </c>
      <c r="H259" s="37" t="n">
        <v>632624.2712</v>
      </c>
      <c r="I259" s="38" t="n">
        <f aca="false">G259-H259</f>
        <v>40224.257</v>
      </c>
      <c r="J259" s="45" t="n">
        <v>0.0635831706609995</v>
      </c>
      <c r="K259" s="45" t="n">
        <v>0.0160998215958323</v>
      </c>
      <c r="L259" s="46" t="str">
        <f aca="false">IF(I259&gt;0,"Actual above budget",IF(I259&lt;0,"Actual below budget","On budget"))</f>
        <v>Actual above budget</v>
      </c>
    </row>
    <row r="260" customFormat="false" ht="15" hidden="false" customHeight="false" outlineLevel="0" collapsed="false">
      <c r="A260" s="23" t="s">
        <v>216</v>
      </c>
      <c r="B260" s="23" t="s">
        <v>226</v>
      </c>
      <c r="C260" s="23" t="s">
        <v>199</v>
      </c>
      <c r="D260" s="34" t="n">
        <v>6260</v>
      </c>
      <c r="E260" s="23" t="s">
        <v>362</v>
      </c>
      <c r="F260" s="37" t="n">
        <v>152</v>
      </c>
      <c r="G260" s="37" t="n">
        <v>665086.1111</v>
      </c>
      <c r="H260" s="37" t="n">
        <v>623230.7774</v>
      </c>
      <c r="I260" s="38" t="n">
        <f aca="false">G260-H260</f>
        <v>41855.3337</v>
      </c>
      <c r="J260" s="45" t="n">
        <v>0.0671586436642498</v>
      </c>
      <c r="K260" s="45" t="n">
        <v>0.0167526625887466</v>
      </c>
      <c r="L260" s="46" t="str">
        <f aca="false">IF(I260&gt;0,"Actual above budget",IF(I260&lt;0,"Actual below budget","On budget"))</f>
        <v>Actual above budget</v>
      </c>
    </row>
    <row r="261" customFormat="false" ht="15" hidden="false" customHeight="false" outlineLevel="0" collapsed="false">
      <c r="A261" s="23" t="s">
        <v>216</v>
      </c>
      <c r="B261" s="23" t="s">
        <v>226</v>
      </c>
      <c r="C261" s="23" t="s">
        <v>199</v>
      </c>
      <c r="D261" s="34" t="n">
        <v>6270</v>
      </c>
      <c r="E261" s="23" t="s">
        <v>363</v>
      </c>
      <c r="F261" s="37" t="n">
        <v>153</v>
      </c>
      <c r="G261" s="37" t="n">
        <v>268237.4168</v>
      </c>
      <c r="H261" s="37" t="n">
        <v>252518.533</v>
      </c>
      <c r="I261" s="38" t="n">
        <f aca="false">G261-H261</f>
        <v>15718.8838000002</v>
      </c>
      <c r="J261" s="45" t="n">
        <v>0.0622484362365593</v>
      </c>
      <c r="K261" s="45" t="n">
        <v>0.00629150775527362</v>
      </c>
      <c r="L261" s="46" t="str">
        <f aca="false">IF(I261&gt;0,"Actual above budget",IF(I261&lt;0,"Actual below budget","On budget"))</f>
        <v>Actual above budget</v>
      </c>
    </row>
    <row r="262" customFormat="false" ht="15" hidden="false" customHeight="false" outlineLevel="0" collapsed="false">
      <c r="A262" s="23" t="s">
        <v>216</v>
      </c>
      <c r="B262" s="23" t="s">
        <v>226</v>
      </c>
      <c r="C262" s="23" t="s">
        <v>195</v>
      </c>
      <c r="D262" s="34" t="n">
        <v>6200</v>
      </c>
      <c r="E262" s="23" t="s">
        <v>356</v>
      </c>
      <c r="F262" s="37" t="n">
        <v>151</v>
      </c>
      <c r="G262" s="37" t="n">
        <v>767388.2514</v>
      </c>
      <c r="H262" s="37" t="n">
        <v>718142.5647</v>
      </c>
      <c r="I262" s="38" t="n">
        <f aca="false">G262-H262</f>
        <v>49245.6867</v>
      </c>
      <c r="J262" s="45" t="n">
        <v>0.0685736915212261</v>
      </c>
      <c r="K262" s="45" t="n">
        <v>0.0197106629025927</v>
      </c>
      <c r="L262" s="46" t="str">
        <f aca="false">IF(I262&gt;0,"Actual above budget",IF(I262&lt;0,"Actual below budget","On budget"))</f>
        <v>Actual above budget</v>
      </c>
    </row>
    <row r="263" customFormat="false" ht="15" hidden="false" customHeight="false" outlineLevel="0" collapsed="false">
      <c r="A263" s="23" t="s">
        <v>216</v>
      </c>
      <c r="B263" s="23" t="s">
        <v>226</v>
      </c>
      <c r="C263" s="23" t="s">
        <v>195</v>
      </c>
      <c r="D263" s="34" t="n">
        <v>6210</v>
      </c>
      <c r="E263" s="23" t="s">
        <v>357</v>
      </c>
      <c r="F263" s="37" t="n">
        <v>155</v>
      </c>
      <c r="G263" s="37" t="n">
        <v>2293495.3136</v>
      </c>
      <c r="H263" s="37" t="n">
        <v>2164997.9025</v>
      </c>
      <c r="I263" s="38" t="n">
        <f aca="false">G263-H263</f>
        <v>128497.411100002</v>
      </c>
      <c r="J263" s="45" t="n">
        <v>0.0593522104347628</v>
      </c>
      <c r="K263" s="45" t="n">
        <v>0.0514312891904088</v>
      </c>
      <c r="L263" s="46" t="str">
        <f aca="false">IF(I263&gt;0,"Actual above budget",IF(I263&lt;0,"Actual below budget","On budget"))</f>
        <v>Actual above budget</v>
      </c>
    </row>
    <row r="264" customFormat="false" ht="15" hidden="false" customHeight="false" outlineLevel="0" collapsed="false">
      <c r="A264" s="23" t="s">
        <v>216</v>
      </c>
      <c r="B264" s="23" t="s">
        <v>226</v>
      </c>
      <c r="C264" s="23" t="s">
        <v>195</v>
      </c>
      <c r="D264" s="34" t="n">
        <v>6220</v>
      </c>
      <c r="E264" s="23" t="s">
        <v>358</v>
      </c>
      <c r="F264" s="37" t="n">
        <v>134</v>
      </c>
      <c r="G264" s="37" t="n">
        <v>2517233.9577</v>
      </c>
      <c r="H264" s="37" t="n">
        <v>2367008.2639</v>
      </c>
      <c r="I264" s="38" t="n">
        <f aca="false">G264-H264</f>
        <v>150225.693799998</v>
      </c>
      <c r="J264" s="45" t="n">
        <v>0.0634664847145403</v>
      </c>
      <c r="K264" s="45" t="n">
        <v>0.0601280682273419</v>
      </c>
      <c r="L264" s="46" t="str">
        <f aca="false">IF(I264&gt;0,"Actual above budget",IF(I264&lt;0,"Actual below budget","On budget"))</f>
        <v>Actual above budget</v>
      </c>
    </row>
    <row r="265" customFormat="false" ht="15" hidden="false" customHeight="false" outlineLevel="0" collapsed="false">
      <c r="A265" s="23" t="s">
        <v>216</v>
      </c>
      <c r="B265" s="23" t="s">
        <v>226</v>
      </c>
      <c r="C265" s="23" t="s">
        <v>195</v>
      </c>
      <c r="D265" s="34" t="n">
        <v>6230</v>
      </c>
      <c r="E265" s="23" t="s">
        <v>359</v>
      </c>
      <c r="F265" s="37" t="n">
        <v>143</v>
      </c>
      <c r="G265" s="37" t="n">
        <v>1835272.0826</v>
      </c>
      <c r="H265" s="37" t="n">
        <v>1723993.8543</v>
      </c>
      <c r="I265" s="38" t="n">
        <f aca="false">G265-H265</f>
        <v>111278.2283</v>
      </c>
      <c r="J265" s="45" t="n">
        <v>0.0645467662326342</v>
      </c>
      <c r="K265" s="45" t="n">
        <v>0.0445392844205998</v>
      </c>
      <c r="L265" s="46" t="str">
        <f aca="false">IF(I265&gt;0,"Actual above budget",IF(I265&lt;0,"Actual below budget","On budget"))</f>
        <v>Actual above budget</v>
      </c>
    </row>
    <row r="266" customFormat="false" ht="15" hidden="false" customHeight="false" outlineLevel="0" collapsed="false">
      <c r="A266" s="23" t="s">
        <v>216</v>
      </c>
      <c r="B266" s="23" t="s">
        <v>226</v>
      </c>
      <c r="C266" s="23" t="s">
        <v>195</v>
      </c>
      <c r="D266" s="34" t="n">
        <v>6240</v>
      </c>
      <c r="E266" s="23" t="s">
        <v>360</v>
      </c>
      <c r="F266" s="37" t="n">
        <v>148</v>
      </c>
      <c r="G266" s="37" t="n">
        <v>1013521.2918</v>
      </c>
      <c r="H266" s="37" t="n">
        <v>951546.8148</v>
      </c>
      <c r="I266" s="38" t="n">
        <f aca="false">G266-H266</f>
        <v>61974.4769999998</v>
      </c>
      <c r="J266" s="45" t="n">
        <v>0.0651302448140989</v>
      </c>
      <c r="K266" s="45" t="n">
        <v>0.0248053810713027</v>
      </c>
      <c r="L266" s="46" t="str">
        <f aca="false">IF(I266&gt;0,"Actual above budget",IF(I266&lt;0,"Actual below budget","On budget"))</f>
        <v>Actual above budget</v>
      </c>
    </row>
    <row r="267" customFormat="false" ht="15" hidden="false" customHeight="false" outlineLevel="0" collapsed="false">
      <c r="A267" s="23" t="s">
        <v>216</v>
      </c>
      <c r="B267" s="23" t="s">
        <v>226</v>
      </c>
      <c r="C267" s="23" t="s">
        <v>195</v>
      </c>
      <c r="D267" s="34" t="n">
        <v>6250</v>
      </c>
      <c r="E267" s="23" t="s">
        <v>361</v>
      </c>
      <c r="F267" s="37" t="n">
        <v>155</v>
      </c>
      <c r="G267" s="37" t="n">
        <v>1204793.5277</v>
      </c>
      <c r="H267" s="37" t="n">
        <v>1131281.299</v>
      </c>
      <c r="I267" s="38" t="n">
        <f aca="false">G267-H267</f>
        <v>73512.2286999999</v>
      </c>
      <c r="J267" s="45" t="n">
        <v>0.0649813877105379</v>
      </c>
      <c r="K267" s="45" t="n">
        <v>0.0294233841828831</v>
      </c>
      <c r="L267" s="46" t="str">
        <f aca="false">IF(I267&gt;0,"Actual above budget",IF(I267&lt;0,"Actual below budget","On budget"))</f>
        <v>Actual above budget</v>
      </c>
    </row>
    <row r="268" customFormat="false" ht="15" hidden="false" customHeight="false" outlineLevel="0" collapsed="false">
      <c r="A268" s="23" t="s">
        <v>216</v>
      </c>
      <c r="B268" s="23" t="s">
        <v>226</v>
      </c>
      <c r="C268" s="23" t="s">
        <v>195</v>
      </c>
      <c r="D268" s="34" t="n">
        <v>6260</v>
      </c>
      <c r="E268" s="23" t="s">
        <v>362</v>
      </c>
      <c r="F268" s="37" t="n">
        <v>121</v>
      </c>
      <c r="G268" s="37" t="n">
        <v>865016.8794</v>
      </c>
      <c r="H268" s="37" t="n">
        <v>812744.4288</v>
      </c>
      <c r="I268" s="38" t="n">
        <f aca="false">G268-H268</f>
        <v>52272.4505999994</v>
      </c>
      <c r="J268" s="45" t="n">
        <v>0.0643159752902633</v>
      </c>
      <c r="K268" s="45" t="n">
        <v>0.0209221298739454</v>
      </c>
      <c r="L268" s="46" t="str">
        <f aca="false">IF(I268&gt;0,"Actual above budget",IF(I268&lt;0,"Actual below budget","On budget"))</f>
        <v>Actual above budget</v>
      </c>
    </row>
    <row r="269" customFormat="false" ht="15" hidden="false" customHeight="false" outlineLevel="0" collapsed="false">
      <c r="A269" s="23" t="s">
        <v>216</v>
      </c>
      <c r="B269" s="23" t="s">
        <v>226</v>
      </c>
      <c r="C269" s="23" t="s">
        <v>195</v>
      </c>
      <c r="D269" s="34" t="n">
        <v>6270</v>
      </c>
      <c r="E269" s="23" t="s">
        <v>363</v>
      </c>
      <c r="F269" s="37" t="n">
        <v>139</v>
      </c>
      <c r="G269" s="37" t="n">
        <v>473800.5793</v>
      </c>
      <c r="H269" s="37" t="n">
        <v>445313.0034</v>
      </c>
      <c r="I269" s="38" t="n">
        <f aca="false">G269-H269</f>
        <v>28487.5758999999</v>
      </c>
      <c r="J269" s="45" t="n">
        <v>0.0639720279499927</v>
      </c>
      <c r="K269" s="45" t="n">
        <v>0.0114021966816623</v>
      </c>
      <c r="L269" s="46" t="str">
        <f aca="false">IF(I269&gt;0,"Actual above budget",IF(I269&lt;0,"Actual below budget","On budget"))</f>
        <v>Actual above budget</v>
      </c>
    </row>
    <row r="270" customFormat="false" ht="15" hidden="false" customHeight="false" outlineLevel="0" collapsed="false">
      <c r="A270" s="23" t="s">
        <v>216</v>
      </c>
      <c r="B270" s="23" t="s">
        <v>227</v>
      </c>
      <c r="C270" s="23" t="s">
        <v>201</v>
      </c>
      <c r="D270" s="34" t="n">
        <v>6300</v>
      </c>
      <c r="E270" s="23" t="s">
        <v>364</v>
      </c>
      <c r="F270" s="37" t="n">
        <v>56</v>
      </c>
      <c r="G270" s="37" t="n">
        <v>200794.5765</v>
      </c>
      <c r="H270" s="37" t="n">
        <v>190546.6706</v>
      </c>
      <c r="I270" s="38" t="n">
        <f aca="false">G270-H270</f>
        <v>10247.9059</v>
      </c>
      <c r="J270" s="45" t="n">
        <v>0.0537816056703118</v>
      </c>
      <c r="K270" s="45" t="n">
        <v>0.0986587077265746</v>
      </c>
      <c r="L270" s="46" t="str">
        <f aca="false">IF(I270&gt;0,"Actual above budget",IF(I270&lt;0,"Actual below budget","On budget"))</f>
        <v>Actual above budget</v>
      </c>
    </row>
    <row r="271" customFormat="false" ht="15" hidden="false" customHeight="false" outlineLevel="0" collapsed="false">
      <c r="A271" s="23" t="s">
        <v>216</v>
      </c>
      <c r="B271" s="23" t="s">
        <v>227</v>
      </c>
      <c r="C271" s="23" t="s">
        <v>200</v>
      </c>
      <c r="D271" s="34" t="n">
        <v>6300</v>
      </c>
      <c r="E271" s="23" t="s">
        <v>364</v>
      </c>
      <c r="F271" s="37" t="n">
        <v>53</v>
      </c>
      <c r="G271" s="37" t="n">
        <v>337088.1576</v>
      </c>
      <c r="H271" s="37" t="n">
        <v>316341.1994</v>
      </c>
      <c r="I271" s="38" t="n">
        <f aca="false">G271-H271</f>
        <v>20746.9581999999</v>
      </c>
      <c r="J271" s="45" t="n">
        <v>0.0655841168945129</v>
      </c>
      <c r="K271" s="45" t="n">
        <v>0.199735253742841</v>
      </c>
      <c r="L271" s="46" t="str">
        <f aca="false">IF(I271&gt;0,"Actual above budget",IF(I271&lt;0,"Actual below budget","On budget"))</f>
        <v>Actual above budget</v>
      </c>
    </row>
    <row r="272" customFormat="false" ht="15" hidden="false" customHeight="false" outlineLevel="0" collapsed="false">
      <c r="A272" s="23" t="s">
        <v>216</v>
      </c>
      <c r="B272" s="23" t="s">
        <v>227</v>
      </c>
      <c r="C272" s="23" t="s">
        <v>202</v>
      </c>
      <c r="D272" s="34" t="n">
        <v>6300</v>
      </c>
      <c r="E272" s="23" t="s">
        <v>364</v>
      </c>
      <c r="F272" s="37" t="n">
        <v>51</v>
      </c>
      <c r="G272" s="37" t="n">
        <v>130903.7579</v>
      </c>
      <c r="H272" s="37" t="n">
        <v>122277.6633</v>
      </c>
      <c r="I272" s="38" t="n">
        <f aca="false">G272-H272</f>
        <v>8626.09460000001</v>
      </c>
      <c r="J272" s="45" t="n">
        <v>0.070545137739805</v>
      </c>
      <c r="K272" s="45" t="n">
        <v>0.0830451952103877</v>
      </c>
      <c r="L272" s="46" t="str">
        <f aca="false">IF(I272&gt;0,"Actual above budget",IF(I272&lt;0,"Actual below budget","On budget"))</f>
        <v>Actual above budget</v>
      </c>
    </row>
    <row r="273" customFormat="false" ht="15" hidden="false" customHeight="false" outlineLevel="0" collapsed="false">
      <c r="A273" s="23" t="s">
        <v>216</v>
      </c>
      <c r="B273" s="23" t="s">
        <v>227</v>
      </c>
      <c r="C273" s="23" t="s">
        <v>197</v>
      </c>
      <c r="D273" s="34" t="n">
        <v>6300</v>
      </c>
      <c r="E273" s="23" t="s">
        <v>364</v>
      </c>
      <c r="F273" s="37" t="n">
        <v>51</v>
      </c>
      <c r="G273" s="37" t="n">
        <v>427093.1314</v>
      </c>
      <c r="H273" s="37" t="n">
        <v>401409.7618</v>
      </c>
      <c r="I273" s="38" t="n">
        <f aca="false">G273-H273</f>
        <v>25683.3696</v>
      </c>
      <c r="J273" s="45" t="n">
        <v>0.0639829223007202</v>
      </c>
      <c r="K273" s="45" t="n">
        <v>0.247259106350693</v>
      </c>
      <c r="L273" s="46" t="str">
        <f aca="false">IF(I273&gt;0,"Actual above budget",IF(I273&lt;0,"Actual below budget","On budget"))</f>
        <v>Actual above budget</v>
      </c>
    </row>
    <row r="274" customFormat="false" ht="15" hidden="false" customHeight="false" outlineLevel="0" collapsed="false">
      <c r="A274" s="23" t="s">
        <v>216</v>
      </c>
      <c r="B274" s="23" t="s">
        <v>227</v>
      </c>
      <c r="C274" s="23" t="s">
        <v>199</v>
      </c>
      <c r="D274" s="34" t="n">
        <v>6300</v>
      </c>
      <c r="E274" s="23" t="s">
        <v>364</v>
      </c>
      <c r="F274" s="37" t="n">
        <v>35</v>
      </c>
      <c r="G274" s="37" t="n">
        <v>152138.9943</v>
      </c>
      <c r="H274" s="37" t="n">
        <v>143117.9792</v>
      </c>
      <c r="I274" s="38" t="n">
        <f aca="false">G274-H274</f>
        <v>9021.01510000002</v>
      </c>
      <c r="J274" s="45" t="n">
        <v>0.0630320184118418</v>
      </c>
      <c r="K274" s="45" t="n">
        <v>0.0868471764702597</v>
      </c>
      <c r="L274" s="46" t="str">
        <f aca="false">IF(I274&gt;0,"Actual above budget",IF(I274&lt;0,"Actual below budget","On budget"))</f>
        <v>Actual above budget</v>
      </c>
    </row>
    <row r="275" customFormat="false" ht="15" hidden="false" customHeight="false" outlineLevel="0" collapsed="false">
      <c r="A275" s="23" t="s">
        <v>216</v>
      </c>
      <c r="B275" s="23" t="s">
        <v>227</v>
      </c>
      <c r="C275" s="23" t="s">
        <v>195</v>
      </c>
      <c r="D275" s="34" t="n">
        <v>6300</v>
      </c>
      <c r="E275" s="23" t="s">
        <v>364</v>
      </c>
      <c r="F275" s="37" t="n">
        <v>46</v>
      </c>
      <c r="G275" s="37" t="n">
        <v>494091.4761</v>
      </c>
      <c r="H275" s="37" t="n">
        <v>464544.5295</v>
      </c>
      <c r="I275" s="38" t="n">
        <f aca="false">G275-H275</f>
        <v>29546.9466</v>
      </c>
      <c r="J275" s="45" t="n">
        <v>0.0636041212923163</v>
      </c>
      <c r="K275" s="45" t="n">
        <v>0.284454560499244</v>
      </c>
      <c r="L275" s="46" t="str">
        <f aca="false">IF(I275&gt;0,"Actual above budget",IF(I275&lt;0,"Actual below budget","On budget"))</f>
        <v>Actual above budget</v>
      </c>
    </row>
    <row r="276" customFormat="false" ht="15" hidden="false" customHeight="false" outlineLevel="0" collapsed="false">
      <c r="A276" s="23" t="s">
        <v>216</v>
      </c>
      <c r="B276" s="23" t="s">
        <v>228</v>
      </c>
      <c r="C276" s="23" t="s">
        <v>201</v>
      </c>
      <c r="D276" s="34" t="n">
        <v>7100</v>
      </c>
      <c r="E276" s="23" t="s">
        <v>365</v>
      </c>
      <c r="F276" s="37" t="n">
        <v>61</v>
      </c>
      <c r="G276" s="37" t="n">
        <v>77260.1878</v>
      </c>
      <c r="H276" s="37" t="n">
        <v>72342.3782</v>
      </c>
      <c r="I276" s="38" t="n">
        <f aca="false">G276-H276</f>
        <v>4917.80960000001</v>
      </c>
      <c r="J276" s="45" t="n">
        <v>0.067979650688343</v>
      </c>
      <c r="K276" s="45" t="n">
        <v>0.14054787224432</v>
      </c>
      <c r="L276" s="46" t="str">
        <f aca="false">IF(I276&gt;0,"Actual above budget",IF(I276&lt;0,"Actual below budget","On budget"))</f>
        <v>Actual above budget</v>
      </c>
    </row>
    <row r="277" customFormat="false" ht="15" hidden="false" customHeight="false" outlineLevel="0" collapsed="false">
      <c r="A277" s="23" t="s">
        <v>216</v>
      </c>
      <c r="B277" s="23" t="s">
        <v>228</v>
      </c>
      <c r="C277" s="23" t="s">
        <v>201</v>
      </c>
      <c r="D277" s="34" t="n">
        <v>7200</v>
      </c>
      <c r="E277" s="23" t="s">
        <v>366</v>
      </c>
      <c r="F277" s="37" t="n">
        <v>55</v>
      </c>
      <c r="G277" s="37" t="n">
        <v>2782.9391</v>
      </c>
      <c r="H277" s="37" t="n">
        <v>2678.2474</v>
      </c>
      <c r="I277" s="38" t="n">
        <f aca="false">G277-H277</f>
        <v>104.6917</v>
      </c>
      <c r="J277" s="45"/>
      <c r="K277" s="45" t="n">
        <v>0.00299202223620871</v>
      </c>
      <c r="L277" s="46" t="str">
        <f aca="false">IF(I277&gt;0,"Actual above budget",IF(I277&lt;0,"Actual below budget","On budget"))</f>
        <v>Actual above budget</v>
      </c>
    </row>
    <row r="278" customFormat="false" ht="15" hidden="false" customHeight="false" outlineLevel="0" collapsed="false">
      <c r="A278" s="23" t="s">
        <v>216</v>
      </c>
      <c r="B278" s="23" t="s">
        <v>228</v>
      </c>
      <c r="C278" s="23" t="s">
        <v>200</v>
      </c>
      <c r="D278" s="34" t="n">
        <v>7100</v>
      </c>
      <c r="E278" s="23" t="s">
        <v>365</v>
      </c>
      <c r="F278" s="37" t="n">
        <v>40</v>
      </c>
      <c r="G278" s="37" t="n">
        <v>79782.06</v>
      </c>
      <c r="H278" s="37" t="n">
        <v>75571.2446</v>
      </c>
      <c r="I278" s="38" t="n">
        <f aca="false">G278-H278</f>
        <v>4210.81539999999</v>
      </c>
      <c r="J278" s="45" t="n">
        <v>0.0557198101247098</v>
      </c>
      <c r="K278" s="45" t="n">
        <v>0.120342427426148</v>
      </c>
      <c r="L278" s="46" t="str">
        <f aca="false">IF(I278&gt;0,"Actual above budget",IF(I278&lt;0,"Actual below budget","On budget"))</f>
        <v>Actual above budget</v>
      </c>
    </row>
    <row r="279" customFormat="false" ht="15" hidden="false" customHeight="false" outlineLevel="0" collapsed="false">
      <c r="A279" s="23" t="s">
        <v>216</v>
      </c>
      <c r="B279" s="23" t="s">
        <v>228</v>
      </c>
      <c r="C279" s="23" t="s">
        <v>200</v>
      </c>
      <c r="D279" s="34" t="n">
        <v>7200</v>
      </c>
      <c r="E279" s="23" t="s">
        <v>366</v>
      </c>
      <c r="F279" s="37" t="n">
        <v>47</v>
      </c>
      <c r="G279" s="37" t="n">
        <v>-2068.9232</v>
      </c>
      <c r="H279" s="37" t="n">
        <v>-2303.5983</v>
      </c>
      <c r="I279" s="38" t="n">
        <f aca="false">G279-H279</f>
        <v>234.675100000002</v>
      </c>
      <c r="J279" s="45"/>
      <c r="K279" s="45" t="n">
        <v>0.00670686518114141</v>
      </c>
      <c r="L279" s="46" t="str">
        <f aca="false">IF(I279&gt;0,"Actual above budget",IF(I279&lt;0,"Actual below budget","On budget"))</f>
        <v>Actual above budget</v>
      </c>
    </row>
    <row r="280" customFormat="false" ht="15" hidden="false" customHeight="false" outlineLevel="0" collapsed="false">
      <c r="A280" s="23" t="s">
        <v>216</v>
      </c>
      <c r="B280" s="23" t="s">
        <v>228</v>
      </c>
      <c r="C280" s="23" t="s">
        <v>202</v>
      </c>
      <c r="D280" s="34" t="n">
        <v>7100</v>
      </c>
      <c r="E280" s="23" t="s">
        <v>365</v>
      </c>
      <c r="F280" s="37" t="n">
        <v>49</v>
      </c>
      <c r="G280" s="37" t="n">
        <v>64071.0074</v>
      </c>
      <c r="H280" s="37" t="n">
        <v>59956.2086</v>
      </c>
      <c r="I280" s="38" t="n">
        <f aca="false">G280-H280</f>
        <v>4114.79879999998</v>
      </c>
      <c r="J280" s="45" t="n">
        <v>0.0686300701142066</v>
      </c>
      <c r="K280" s="45" t="n">
        <v>0.117598334033404</v>
      </c>
      <c r="L280" s="46" t="str">
        <f aca="false">IF(I280&gt;0,"Actual above budget",IF(I280&lt;0,"Actual below budget","On budget"))</f>
        <v>Actual above budget</v>
      </c>
    </row>
    <row r="281" customFormat="false" ht="15" hidden="false" customHeight="false" outlineLevel="0" collapsed="false">
      <c r="A281" s="23" t="s">
        <v>216</v>
      </c>
      <c r="B281" s="23" t="s">
        <v>228</v>
      </c>
      <c r="C281" s="23" t="s">
        <v>202</v>
      </c>
      <c r="D281" s="34" t="n">
        <v>7200</v>
      </c>
      <c r="E281" s="23" t="s">
        <v>366</v>
      </c>
      <c r="F281" s="37" t="n">
        <v>40</v>
      </c>
      <c r="G281" s="37" t="n">
        <v>4806.3287</v>
      </c>
      <c r="H281" s="37" t="n">
        <v>4530.9745</v>
      </c>
      <c r="I281" s="38" t="n">
        <f aca="false">G281-H281</f>
        <v>275.354200000002</v>
      </c>
      <c r="J281" s="45"/>
      <c r="K281" s="45" t="n">
        <v>0.00786944800049536</v>
      </c>
      <c r="L281" s="46" t="str">
        <f aca="false">IF(I281&gt;0,"Actual above budget",IF(I281&lt;0,"Actual below budget","On budget"))</f>
        <v>Actual above budget</v>
      </c>
    </row>
    <row r="282" customFormat="false" ht="15" hidden="false" customHeight="false" outlineLevel="0" collapsed="false">
      <c r="A282" s="23" t="s">
        <v>216</v>
      </c>
      <c r="B282" s="23" t="s">
        <v>228</v>
      </c>
      <c r="C282" s="23" t="s">
        <v>197</v>
      </c>
      <c r="D282" s="34" t="n">
        <v>7100</v>
      </c>
      <c r="E282" s="23" t="s">
        <v>365</v>
      </c>
      <c r="F282" s="37" t="n">
        <v>37</v>
      </c>
      <c r="G282" s="37" t="n">
        <v>107154.6432</v>
      </c>
      <c r="H282" s="37" t="n">
        <v>101085.8359</v>
      </c>
      <c r="I282" s="38" t="n">
        <f aca="false">G282-H282</f>
        <v>6068.80729999997</v>
      </c>
      <c r="J282" s="45" t="n">
        <v>0.0600361786195607</v>
      </c>
      <c r="K282" s="45" t="n">
        <v>0.173442654851013</v>
      </c>
      <c r="L282" s="46" t="str">
        <f aca="false">IF(I282&gt;0,"Actual above budget",IF(I282&lt;0,"Actual below budget","On budget"))</f>
        <v>Actual above budget</v>
      </c>
    </row>
    <row r="283" customFormat="false" ht="15" hidden="false" customHeight="false" outlineLevel="0" collapsed="false">
      <c r="A283" s="23" t="s">
        <v>216</v>
      </c>
      <c r="B283" s="23" t="s">
        <v>228</v>
      </c>
      <c r="C283" s="23" t="s">
        <v>197</v>
      </c>
      <c r="D283" s="34" t="n">
        <v>7200</v>
      </c>
      <c r="E283" s="23" t="s">
        <v>366</v>
      </c>
      <c r="F283" s="37" t="n">
        <v>52</v>
      </c>
      <c r="G283" s="37" t="n">
        <v>844.684799999999</v>
      </c>
      <c r="H283" s="37" t="n">
        <v>1317.4747</v>
      </c>
      <c r="I283" s="38" t="n">
        <f aca="false">G283-H283</f>
        <v>-472.789900000002</v>
      </c>
      <c r="J283" s="45"/>
      <c r="K283" s="45" t="n">
        <v>0.013512034801755</v>
      </c>
      <c r="L283" s="46" t="str">
        <f aca="false">IF(I283&gt;0,"Actual above budget",IF(I283&lt;0,"Actual below budget","On budget"))</f>
        <v>Actual below budget</v>
      </c>
    </row>
    <row r="284" customFormat="false" ht="15" hidden="false" customHeight="false" outlineLevel="0" collapsed="false">
      <c r="A284" s="23" t="s">
        <v>216</v>
      </c>
      <c r="B284" s="23" t="s">
        <v>228</v>
      </c>
      <c r="C284" s="23" t="s">
        <v>199</v>
      </c>
      <c r="D284" s="34" t="n">
        <v>7100</v>
      </c>
      <c r="E284" s="23" t="s">
        <v>365</v>
      </c>
      <c r="F284" s="37" t="n">
        <v>49</v>
      </c>
      <c r="G284" s="37" t="n">
        <v>82591.9516</v>
      </c>
      <c r="H284" s="37" t="n">
        <v>77391.6163</v>
      </c>
      <c r="I284" s="38" t="n">
        <f aca="false">G284-H284</f>
        <v>5200.33530000001</v>
      </c>
      <c r="J284" s="45" t="n">
        <v>0.0671950729112761</v>
      </c>
      <c r="K284" s="45" t="n">
        <v>0.148622277156079</v>
      </c>
      <c r="L284" s="46" t="str">
        <f aca="false">IF(I284&gt;0,"Actual above budget",IF(I284&lt;0,"Actual below budget","On budget"))</f>
        <v>Actual above budget</v>
      </c>
    </row>
    <row r="285" customFormat="false" ht="15" hidden="false" customHeight="false" outlineLevel="0" collapsed="false">
      <c r="A285" s="23" t="s">
        <v>216</v>
      </c>
      <c r="B285" s="23" t="s">
        <v>228</v>
      </c>
      <c r="C285" s="23" t="s">
        <v>199</v>
      </c>
      <c r="D285" s="34" t="n">
        <v>7200</v>
      </c>
      <c r="E285" s="23" t="s">
        <v>366</v>
      </c>
      <c r="F285" s="37" t="n">
        <v>57</v>
      </c>
      <c r="G285" s="37" t="n">
        <v>-10554.2469</v>
      </c>
      <c r="H285" s="37" t="n">
        <v>-9868.4142</v>
      </c>
      <c r="I285" s="38" t="n">
        <f aca="false">G285-H285</f>
        <v>-685.832699999995</v>
      </c>
      <c r="J285" s="45"/>
      <c r="K285" s="45" t="n">
        <v>0.019600662599987</v>
      </c>
      <c r="L285" s="46" t="str">
        <f aca="false">IF(I285&gt;0,"Actual above budget",IF(I285&lt;0,"Actual below budget","On budget"))</f>
        <v>Actual below budget</v>
      </c>
    </row>
    <row r="286" customFormat="false" ht="15" hidden="false" customHeight="false" outlineLevel="0" collapsed="false">
      <c r="A286" s="23" t="s">
        <v>216</v>
      </c>
      <c r="B286" s="23" t="s">
        <v>228</v>
      </c>
      <c r="C286" s="23" t="s">
        <v>195</v>
      </c>
      <c r="D286" s="34" t="n">
        <v>7100</v>
      </c>
      <c r="E286" s="23" t="s">
        <v>365</v>
      </c>
      <c r="F286" s="37" t="n">
        <v>45</v>
      </c>
      <c r="G286" s="37" t="n">
        <v>131841.1496</v>
      </c>
      <c r="H286" s="37" t="n">
        <v>123890.5752</v>
      </c>
      <c r="I286" s="38" t="n">
        <f aca="false">G286-H286</f>
        <v>7950.5744</v>
      </c>
      <c r="J286" s="45" t="n">
        <v>0.0641741664946278</v>
      </c>
      <c r="K286" s="45" t="n">
        <v>0.227222362378601</v>
      </c>
      <c r="L286" s="46" t="str">
        <f aca="false">IF(I286&gt;0,"Actual above budget",IF(I286&lt;0,"Actual below budget","On budget"))</f>
        <v>Actual above budget</v>
      </c>
    </row>
    <row r="287" customFormat="false" ht="15" hidden="false" customHeight="false" outlineLevel="0" collapsed="false">
      <c r="A287" s="23" t="s">
        <v>216</v>
      </c>
      <c r="B287" s="23" t="s">
        <v>228</v>
      </c>
      <c r="C287" s="23" t="s">
        <v>195</v>
      </c>
      <c r="D287" s="34" t="n">
        <v>7200</v>
      </c>
      <c r="E287" s="23" t="s">
        <v>366</v>
      </c>
      <c r="F287" s="37" t="n">
        <v>57</v>
      </c>
      <c r="G287" s="37" t="n">
        <v>-13437.3247</v>
      </c>
      <c r="H287" s="37" t="n">
        <v>-12683.5277</v>
      </c>
      <c r="I287" s="38" t="n">
        <f aca="false">G287-H287</f>
        <v>-753.796999999997</v>
      </c>
      <c r="J287" s="45"/>
      <c r="K287" s="45" t="n">
        <v>0.0215430390908488</v>
      </c>
      <c r="L287" s="46" t="str">
        <f aca="false">IF(I287&gt;0,"Actual above budget",IF(I287&lt;0,"Actual below budget","On budget"))</f>
        <v>Actual below budget</v>
      </c>
    </row>
    <row r="288" customFormat="false" ht="15" hidden="false" customHeight="false" outlineLevel="0" collapsed="false">
      <c r="A288" s="23" t="s">
        <v>216</v>
      </c>
      <c r="B288" s="23" t="s">
        <v>229</v>
      </c>
      <c r="C288" s="23" t="s">
        <v>201</v>
      </c>
      <c r="D288" s="34" t="n">
        <v>8100</v>
      </c>
      <c r="E288" s="23" t="s">
        <v>367</v>
      </c>
      <c r="F288" s="37" t="n">
        <v>51</v>
      </c>
      <c r="G288" s="37" t="n">
        <v>310798.0311</v>
      </c>
      <c r="H288" s="37" t="n">
        <v>291924.9268</v>
      </c>
      <c r="I288" s="38" t="n">
        <f aca="false">G288-H288</f>
        <v>18873.1042999999</v>
      </c>
      <c r="J288" s="45" t="n">
        <v>0.0646505404895763</v>
      </c>
      <c r="K288" s="45" t="n">
        <v>0.113272933475654</v>
      </c>
      <c r="L288" s="46" t="str">
        <f aca="false">IF(I288&gt;0,"Actual above budget",IF(I288&lt;0,"Actual below budget","On budget"))</f>
        <v>Actual above budget</v>
      </c>
    </row>
    <row r="289" customFormat="false" ht="15" hidden="false" customHeight="false" outlineLevel="0" collapsed="false">
      <c r="A289" s="23" t="s">
        <v>216</v>
      </c>
      <c r="B289" s="23" t="s">
        <v>229</v>
      </c>
      <c r="C289" s="23" t="s">
        <v>200</v>
      </c>
      <c r="D289" s="34" t="n">
        <v>8100</v>
      </c>
      <c r="E289" s="23" t="s">
        <v>367</v>
      </c>
      <c r="F289" s="37" t="n">
        <v>41</v>
      </c>
      <c r="G289" s="37" t="n">
        <v>397731.9788</v>
      </c>
      <c r="H289" s="37" t="n">
        <v>375611.9768</v>
      </c>
      <c r="I289" s="38" t="n">
        <f aca="false">G289-H289</f>
        <v>22120.0020000001</v>
      </c>
      <c r="J289" s="45" t="n">
        <v>0.0588905662392606</v>
      </c>
      <c r="K289" s="45" t="n">
        <v>0.132760221911524</v>
      </c>
      <c r="L289" s="46" t="str">
        <f aca="false">IF(I289&gt;0,"Actual above budget",IF(I289&lt;0,"Actual below budget","On budget"))</f>
        <v>Actual above budget</v>
      </c>
    </row>
    <row r="290" customFormat="false" ht="15" hidden="false" customHeight="false" outlineLevel="0" collapsed="false">
      <c r="A290" s="23" t="s">
        <v>216</v>
      </c>
      <c r="B290" s="23" t="s">
        <v>229</v>
      </c>
      <c r="C290" s="23" t="s">
        <v>202</v>
      </c>
      <c r="D290" s="34" t="n">
        <v>8100</v>
      </c>
      <c r="E290" s="23" t="s">
        <v>367</v>
      </c>
      <c r="F290" s="37" t="n">
        <v>48</v>
      </c>
      <c r="G290" s="37" t="n">
        <v>253915.7405</v>
      </c>
      <c r="H290" s="37" t="n">
        <v>237399.3306</v>
      </c>
      <c r="I290" s="38" t="n">
        <f aca="false">G290-H290</f>
        <v>16516.4099000001</v>
      </c>
      <c r="J290" s="45" t="n">
        <v>0.0695722682041969</v>
      </c>
      <c r="K290" s="45" t="n">
        <v>0.0991284830582604</v>
      </c>
      <c r="L290" s="46" t="str">
        <f aca="false">IF(I290&gt;0,"Actual above budget",IF(I290&lt;0,"Actual below budget","On budget"))</f>
        <v>Actual above budget</v>
      </c>
    </row>
    <row r="291" customFormat="false" ht="15" hidden="false" customHeight="false" outlineLevel="0" collapsed="false">
      <c r="A291" s="23" t="s">
        <v>216</v>
      </c>
      <c r="B291" s="23" t="s">
        <v>229</v>
      </c>
      <c r="C291" s="23" t="s">
        <v>197</v>
      </c>
      <c r="D291" s="34" t="n">
        <v>8100</v>
      </c>
      <c r="E291" s="23" t="s">
        <v>367</v>
      </c>
      <c r="F291" s="37" t="n">
        <v>53</v>
      </c>
      <c r="G291" s="37" t="n">
        <v>649859.6062</v>
      </c>
      <c r="H291" s="37" t="n">
        <v>612925.9036</v>
      </c>
      <c r="I291" s="38" t="n">
        <f aca="false">G291-H291</f>
        <v>36933.7025999998</v>
      </c>
      <c r="J291" s="45" t="n">
        <v>0.0602580220269222</v>
      </c>
      <c r="K291" s="45" t="n">
        <v>0.221669353971587</v>
      </c>
      <c r="L291" s="46" t="str">
        <f aca="false">IF(I291&gt;0,"Actual above budget",IF(I291&lt;0,"Actual below budget","On budget"))</f>
        <v>Actual above budget</v>
      </c>
    </row>
    <row r="292" customFormat="false" ht="15" hidden="false" customHeight="false" outlineLevel="0" collapsed="false">
      <c r="A292" s="23" t="s">
        <v>216</v>
      </c>
      <c r="B292" s="23" t="s">
        <v>229</v>
      </c>
      <c r="C292" s="23" t="s">
        <v>199</v>
      </c>
      <c r="D292" s="34" t="n">
        <v>8100</v>
      </c>
      <c r="E292" s="23" t="s">
        <v>367</v>
      </c>
      <c r="F292" s="37" t="n">
        <v>47</v>
      </c>
      <c r="G292" s="37" t="n">
        <v>348208.6439</v>
      </c>
      <c r="H292" s="37" t="n">
        <v>327352.61</v>
      </c>
      <c r="I292" s="38" t="n">
        <f aca="false">G292-H292</f>
        <v>20856.0339000002</v>
      </c>
      <c r="J292" s="45" t="n">
        <v>0.063711219226265</v>
      </c>
      <c r="K292" s="45" t="n">
        <v>0.12517411566049</v>
      </c>
      <c r="L292" s="46" t="str">
        <f aca="false">IF(I292&gt;0,"Actual above budget",IF(I292&lt;0,"Actual below budget","On budget"))</f>
        <v>Actual above budget</v>
      </c>
    </row>
    <row r="293" customFormat="false" ht="15" hidden="false" customHeight="false" outlineLevel="0" collapsed="false">
      <c r="A293" s="23" t="s">
        <v>216</v>
      </c>
      <c r="B293" s="23" t="s">
        <v>229</v>
      </c>
      <c r="C293" s="23" t="s">
        <v>195</v>
      </c>
      <c r="D293" s="34" t="n">
        <v>8100</v>
      </c>
      <c r="E293" s="23" t="s">
        <v>367</v>
      </c>
      <c r="F293" s="37" t="n">
        <v>54</v>
      </c>
      <c r="G293" s="37" t="n">
        <v>851789.9032</v>
      </c>
      <c r="H293" s="37" t="n">
        <v>800472.9686</v>
      </c>
      <c r="I293" s="38" t="n">
        <f aca="false">G293-H293</f>
        <v>51316.9345999996</v>
      </c>
      <c r="J293" s="45" t="n">
        <v>0.0641082667535314</v>
      </c>
      <c r="K293" s="45" t="n">
        <v>0.307994891922485</v>
      </c>
      <c r="L293" s="46" t="str">
        <f aca="false">IF(I293&gt;0,"Actual above budget",IF(I293&lt;0,"Actual below budget","On budget"))</f>
        <v>Actual above budget</v>
      </c>
    </row>
    <row r="294" customFormat="false" ht="15" hidden="false" customHeight="false" outlineLevel="0" collapsed="false">
      <c r="A294" s="23" t="s">
        <v>217</v>
      </c>
      <c r="B294" s="23" t="s">
        <v>224</v>
      </c>
      <c r="C294" s="23" t="s">
        <v>201</v>
      </c>
      <c r="D294" s="34" t="n">
        <v>4100</v>
      </c>
      <c r="E294" s="23" t="s">
        <v>196</v>
      </c>
      <c r="F294" s="37" t="n">
        <v>1689</v>
      </c>
      <c r="G294" s="37" t="n">
        <v>16580559.5064</v>
      </c>
      <c r="H294" s="37" t="n">
        <v>17052356.1924</v>
      </c>
      <c r="I294" s="38" t="n">
        <f aca="false">G294-H294</f>
        <v>-471796.686000008</v>
      </c>
      <c r="J294" s="45" t="n">
        <v>-0.0276675364199976</v>
      </c>
      <c r="K294" s="45" t="n">
        <v>0.0853068872287245</v>
      </c>
      <c r="L294" s="46" t="str">
        <f aca="false">IF(I294&gt;0,"Actual above budget",IF(I294&lt;0,"Actual below budget","On budget"))</f>
        <v>Actual below budget</v>
      </c>
    </row>
    <row r="295" customFormat="false" ht="15" hidden="false" customHeight="false" outlineLevel="0" collapsed="false">
      <c r="A295" s="23" t="s">
        <v>217</v>
      </c>
      <c r="B295" s="23" t="s">
        <v>224</v>
      </c>
      <c r="C295" s="23" t="s">
        <v>201</v>
      </c>
      <c r="D295" s="34" t="n">
        <v>4110</v>
      </c>
      <c r="E295" s="23" t="s">
        <v>204</v>
      </c>
      <c r="F295" s="37" t="n">
        <v>1668</v>
      </c>
      <c r="G295" s="37" t="n">
        <v>2616813.8482</v>
      </c>
      <c r="H295" s="37" t="n">
        <v>2619835.9553</v>
      </c>
      <c r="I295" s="38" t="n">
        <f aca="false">G295-H295</f>
        <v>-3022.10710000014</v>
      </c>
      <c r="J295" s="45" t="n">
        <v>-0.00115354821888229</v>
      </c>
      <c r="K295" s="45" t="n">
        <v>0.000546435694066821</v>
      </c>
      <c r="L295" s="46" t="str">
        <f aca="false">IF(I295&gt;0,"Actual above budget",IF(I295&lt;0,"Actual below budget","On budget"))</f>
        <v>Actual below budget</v>
      </c>
    </row>
    <row r="296" customFormat="false" ht="15" hidden="false" customHeight="false" outlineLevel="0" collapsed="false">
      <c r="A296" s="23" t="s">
        <v>217</v>
      </c>
      <c r="B296" s="23" t="s">
        <v>224</v>
      </c>
      <c r="C296" s="23" t="s">
        <v>201</v>
      </c>
      <c r="D296" s="34" t="n">
        <v>4120</v>
      </c>
      <c r="E296" s="23" t="s">
        <v>349</v>
      </c>
      <c r="F296" s="37" t="n">
        <v>61</v>
      </c>
      <c r="G296" s="37" t="n">
        <v>629095.6066</v>
      </c>
      <c r="H296" s="37" t="n">
        <v>542725.6273</v>
      </c>
      <c r="I296" s="38" t="n">
        <f aca="false">G296-H296</f>
        <v>86369.9793000002</v>
      </c>
      <c r="J296" s="45" t="n">
        <v>0.159141147857125</v>
      </c>
      <c r="K296" s="45" t="n">
        <v>0.0156167991482933</v>
      </c>
      <c r="L296" s="46" t="str">
        <f aca="false">IF(I296&gt;0,"Actual above budget",IF(I296&lt;0,"Actual below budget","On budget"))</f>
        <v>Actual above budget</v>
      </c>
    </row>
    <row r="297" customFormat="false" ht="15" hidden="false" customHeight="false" outlineLevel="0" collapsed="false">
      <c r="A297" s="23" t="s">
        <v>217</v>
      </c>
      <c r="B297" s="23" t="s">
        <v>224</v>
      </c>
      <c r="C297" s="23" t="s">
        <v>201</v>
      </c>
      <c r="D297" s="34" t="n">
        <v>4190</v>
      </c>
      <c r="E297" s="23" t="s">
        <v>350</v>
      </c>
      <c r="F297" s="37" t="n">
        <v>1743</v>
      </c>
      <c r="G297" s="37" t="n">
        <v>-194926.3664</v>
      </c>
      <c r="H297" s="37" t="n">
        <v>-236590.5468</v>
      </c>
      <c r="I297" s="38" t="n">
        <f aca="false">G297-H297</f>
        <v>41664.1804</v>
      </c>
      <c r="J297" s="45"/>
      <c r="K297" s="45" t="n">
        <v>0.0075334177715272</v>
      </c>
      <c r="L297" s="46" t="str">
        <f aca="false">IF(I297&gt;0,"Actual above budget",IF(I297&lt;0,"Actual below budget","On budget"))</f>
        <v>Actual above budget</v>
      </c>
    </row>
    <row r="298" customFormat="false" ht="15" hidden="false" customHeight="false" outlineLevel="0" collapsed="false">
      <c r="A298" s="23" t="s">
        <v>217</v>
      </c>
      <c r="B298" s="23" t="s">
        <v>224</v>
      </c>
      <c r="C298" s="23" t="s">
        <v>200</v>
      </c>
      <c r="D298" s="34" t="n">
        <v>4100</v>
      </c>
      <c r="E298" s="23" t="s">
        <v>196</v>
      </c>
      <c r="F298" s="37" t="n">
        <v>1709</v>
      </c>
      <c r="G298" s="37" t="n">
        <v>23556263.4321</v>
      </c>
      <c r="H298" s="37" t="n">
        <v>24359394.1428</v>
      </c>
      <c r="I298" s="38" t="n">
        <f aca="false">G298-H298</f>
        <v>-803130.710700031</v>
      </c>
      <c r="J298" s="45" t="n">
        <v>-0.0329700609954367</v>
      </c>
      <c r="K298" s="45" t="n">
        <v>0.145216325168529</v>
      </c>
      <c r="L298" s="46" t="str">
        <f aca="false">IF(I298&gt;0,"Actual above budget",IF(I298&lt;0,"Actual below budget","On budget"))</f>
        <v>Actual below budget</v>
      </c>
    </row>
    <row r="299" customFormat="false" ht="15" hidden="false" customHeight="false" outlineLevel="0" collapsed="false">
      <c r="A299" s="23" t="s">
        <v>217</v>
      </c>
      <c r="B299" s="23" t="s">
        <v>224</v>
      </c>
      <c r="C299" s="23" t="s">
        <v>200</v>
      </c>
      <c r="D299" s="34" t="n">
        <v>4110</v>
      </c>
      <c r="E299" s="23" t="s">
        <v>204</v>
      </c>
      <c r="F299" s="37" t="n">
        <v>1664</v>
      </c>
      <c r="G299" s="37" t="n">
        <v>3645341.2549</v>
      </c>
      <c r="H299" s="37" t="n">
        <v>3770355.817</v>
      </c>
      <c r="I299" s="38" t="n">
        <f aca="false">G299-H299</f>
        <v>-125014.562100001</v>
      </c>
      <c r="J299" s="45" t="n">
        <v>-0.0331572318814916</v>
      </c>
      <c r="K299" s="45" t="n">
        <v>0.0226042349755146</v>
      </c>
      <c r="L299" s="46" t="str">
        <f aca="false">IF(I299&gt;0,"Actual above budget",IF(I299&lt;0,"Actual below budget","On budget"))</f>
        <v>Actual below budget</v>
      </c>
    </row>
    <row r="300" customFormat="false" ht="15" hidden="false" customHeight="false" outlineLevel="0" collapsed="false">
      <c r="A300" s="23" t="s">
        <v>217</v>
      </c>
      <c r="B300" s="23" t="s">
        <v>224</v>
      </c>
      <c r="C300" s="23" t="s">
        <v>200</v>
      </c>
      <c r="D300" s="34" t="n">
        <v>4120</v>
      </c>
      <c r="E300" s="23" t="s">
        <v>349</v>
      </c>
      <c r="F300" s="37" t="n">
        <v>71</v>
      </c>
      <c r="G300" s="37" t="n">
        <v>931991.8731</v>
      </c>
      <c r="H300" s="37" t="n">
        <v>836093.2893</v>
      </c>
      <c r="I300" s="38" t="n">
        <f aca="false">G300-H300</f>
        <v>95898.5837999996</v>
      </c>
      <c r="J300" s="45" t="n">
        <v>0.114698425435622</v>
      </c>
      <c r="K300" s="45" t="n">
        <v>0.0173396929575317</v>
      </c>
      <c r="L300" s="46" t="str">
        <f aca="false">IF(I300&gt;0,"Actual above budget",IF(I300&lt;0,"Actual below budget","On budget"))</f>
        <v>Actual above budget</v>
      </c>
    </row>
    <row r="301" customFormat="false" ht="15" hidden="false" customHeight="false" outlineLevel="0" collapsed="false">
      <c r="A301" s="23" t="s">
        <v>217</v>
      </c>
      <c r="B301" s="23" t="s">
        <v>224</v>
      </c>
      <c r="C301" s="23" t="s">
        <v>200</v>
      </c>
      <c r="D301" s="34" t="n">
        <v>4190</v>
      </c>
      <c r="E301" s="23" t="s">
        <v>350</v>
      </c>
      <c r="F301" s="37" t="n">
        <v>1696</v>
      </c>
      <c r="G301" s="37" t="n">
        <v>-319235.6798</v>
      </c>
      <c r="H301" s="37" t="n">
        <v>-279818.6463</v>
      </c>
      <c r="I301" s="38" t="n">
        <f aca="false">G301-H301</f>
        <v>-39417.0335000001</v>
      </c>
      <c r="J301" s="45"/>
      <c r="K301" s="45" t="n">
        <v>0.00712710481326984</v>
      </c>
      <c r="L301" s="46" t="str">
        <f aca="false">IF(I301&gt;0,"Actual above budget",IF(I301&lt;0,"Actual below budget","On budget"))</f>
        <v>Actual below budget</v>
      </c>
    </row>
    <row r="302" customFormat="false" ht="15" hidden="false" customHeight="false" outlineLevel="0" collapsed="false">
      <c r="A302" s="23" t="s">
        <v>217</v>
      </c>
      <c r="B302" s="23" t="s">
        <v>224</v>
      </c>
      <c r="C302" s="23" t="s">
        <v>202</v>
      </c>
      <c r="D302" s="34" t="n">
        <v>4100</v>
      </c>
      <c r="E302" s="23" t="s">
        <v>196</v>
      </c>
      <c r="F302" s="37" t="n">
        <v>1727</v>
      </c>
      <c r="G302" s="37" t="n">
        <v>16619054.9504</v>
      </c>
      <c r="H302" s="37" t="n">
        <v>16717857.0083</v>
      </c>
      <c r="I302" s="38" t="n">
        <f aca="false">G302-H302</f>
        <v>-98802.057900006</v>
      </c>
      <c r="J302" s="45" t="n">
        <v>-0.00590997146649522</v>
      </c>
      <c r="K302" s="45" t="n">
        <v>0.0178646782848348</v>
      </c>
      <c r="L302" s="46" t="str">
        <f aca="false">IF(I302&gt;0,"Actual above budget",IF(I302&lt;0,"Actual below budget","On budget"))</f>
        <v>Actual below budget</v>
      </c>
    </row>
    <row r="303" customFormat="false" ht="15" hidden="false" customHeight="false" outlineLevel="0" collapsed="false">
      <c r="A303" s="23" t="s">
        <v>217</v>
      </c>
      <c r="B303" s="23" t="s">
        <v>224</v>
      </c>
      <c r="C303" s="23" t="s">
        <v>202</v>
      </c>
      <c r="D303" s="34" t="n">
        <v>4110</v>
      </c>
      <c r="E303" s="23" t="s">
        <v>204</v>
      </c>
      <c r="F303" s="37" t="n">
        <v>1703</v>
      </c>
      <c r="G303" s="37" t="n">
        <v>2414465.8444</v>
      </c>
      <c r="H303" s="37" t="n">
        <v>2478411.43</v>
      </c>
      <c r="I303" s="38" t="n">
        <f aca="false">G303-H303</f>
        <v>-63945.5855999948</v>
      </c>
      <c r="J303" s="45" t="n">
        <v>-0.0258010372394063</v>
      </c>
      <c r="K303" s="45" t="n">
        <v>0.0115621813832621</v>
      </c>
      <c r="L303" s="46" t="str">
        <f aca="false">IF(I303&gt;0,"Actual above budget",IF(I303&lt;0,"Actual below budget","On budget"))</f>
        <v>Actual below budget</v>
      </c>
    </row>
    <row r="304" customFormat="false" ht="15" hidden="false" customHeight="false" outlineLevel="0" collapsed="false">
      <c r="A304" s="23" t="s">
        <v>217</v>
      </c>
      <c r="B304" s="23" t="s">
        <v>224</v>
      </c>
      <c r="C304" s="23" t="s">
        <v>202</v>
      </c>
      <c r="D304" s="34" t="n">
        <v>4120</v>
      </c>
      <c r="E304" s="23" t="s">
        <v>349</v>
      </c>
      <c r="F304" s="37" t="n">
        <v>60</v>
      </c>
      <c r="G304" s="37" t="n">
        <v>511732.7497</v>
      </c>
      <c r="H304" s="37" t="n">
        <v>502057.9944</v>
      </c>
      <c r="I304" s="38" t="n">
        <f aca="false">G304-H304</f>
        <v>9674.75529999996</v>
      </c>
      <c r="J304" s="45" t="n">
        <v>0.0192701946944638</v>
      </c>
      <c r="K304" s="45" t="n">
        <v>0.00174931974690175</v>
      </c>
      <c r="L304" s="46" t="str">
        <f aca="false">IF(I304&gt;0,"Actual above budget",IF(I304&lt;0,"Actual below budget","On budget"))</f>
        <v>Actual above budget</v>
      </c>
    </row>
    <row r="305" customFormat="false" ht="15" hidden="false" customHeight="false" outlineLevel="0" collapsed="false">
      <c r="A305" s="23" t="s">
        <v>217</v>
      </c>
      <c r="B305" s="23" t="s">
        <v>224</v>
      </c>
      <c r="C305" s="23" t="s">
        <v>202</v>
      </c>
      <c r="D305" s="34" t="n">
        <v>4190</v>
      </c>
      <c r="E305" s="23" t="s">
        <v>350</v>
      </c>
      <c r="F305" s="37" t="n">
        <v>1726</v>
      </c>
      <c r="G305" s="37" t="n">
        <v>-254387.1825</v>
      </c>
      <c r="H305" s="37" t="n">
        <v>-242619.586900001</v>
      </c>
      <c r="I305" s="38" t="n">
        <f aca="false">G305-H305</f>
        <v>-11767.5955999992</v>
      </c>
      <c r="J305" s="45"/>
      <c r="K305" s="45" t="n">
        <v>0.00212773209433361</v>
      </c>
      <c r="L305" s="46" t="str">
        <f aca="false">IF(I305&gt;0,"Actual above budget",IF(I305&lt;0,"Actual below budget","On budget"))</f>
        <v>Actual below budget</v>
      </c>
    </row>
    <row r="306" customFormat="false" ht="15" hidden="false" customHeight="false" outlineLevel="0" collapsed="false">
      <c r="A306" s="23" t="s">
        <v>217</v>
      </c>
      <c r="B306" s="23" t="s">
        <v>224</v>
      </c>
      <c r="C306" s="23" t="s">
        <v>197</v>
      </c>
      <c r="D306" s="34" t="n">
        <v>4100</v>
      </c>
      <c r="E306" s="23" t="s">
        <v>196</v>
      </c>
      <c r="F306" s="37" t="n">
        <v>1728</v>
      </c>
      <c r="G306" s="37" t="n">
        <v>39524722.5734999</v>
      </c>
      <c r="H306" s="37" t="n">
        <v>40081264.9937</v>
      </c>
      <c r="I306" s="38" t="n">
        <f aca="false">G306-H306</f>
        <v>-556542.420200117</v>
      </c>
      <c r="J306" s="45" t="n">
        <v>-0.0138853506816084</v>
      </c>
      <c r="K306" s="45" t="n">
        <v>0.100630002047116</v>
      </c>
      <c r="L306" s="46" t="str">
        <f aca="false">IF(I306&gt;0,"Actual above budget",IF(I306&lt;0,"Actual below budget","On budget"))</f>
        <v>Actual below budget</v>
      </c>
    </row>
    <row r="307" customFormat="false" ht="15" hidden="false" customHeight="false" outlineLevel="0" collapsed="false">
      <c r="A307" s="23" t="s">
        <v>217</v>
      </c>
      <c r="B307" s="23" t="s">
        <v>224</v>
      </c>
      <c r="C307" s="23" t="s">
        <v>197</v>
      </c>
      <c r="D307" s="34" t="n">
        <v>4110</v>
      </c>
      <c r="E307" s="23" t="s">
        <v>204</v>
      </c>
      <c r="F307" s="37" t="n">
        <v>1680</v>
      </c>
      <c r="G307" s="37" t="n">
        <v>5752243.9143</v>
      </c>
      <c r="H307" s="37" t="n">
        <v>5889772.0076</v>
      </c>
      <c r="I307" s="38" t="n">
        <f aca="false">G307-H307</f>
        <v>-137528.093300005</v>
      </c>
      <c r="J307" s="45" t="n">
        <v>-0.0233503254663401</v>
      </c>
      <c r="K307" s="45" t="n">
        <v>0.0248668417860074</v>
      </c>
      <c r="L307" s="46" t="str">
        <f aca="false">IF(I307&gt;0,"Actual above budget",IF(I307&lt;0,"Actual below budget","On budget"))</f>
        <v>Actual below budget</v>
      </c>
    </row>
    <row r="308" customFormat="false" ht="15" hidden="false" customHeight="false" outlineLevel="0" collapsed="false">
      <c r="A308" s="23" t="s">
        <v>217</v>
      </c>
      <c r="B308" s="23" t="s">
        <v>224</v>
      </c>
      <c r="C308" s="23" t="s">
        <v>197</v>
      </c>
      <c r="D308" s="34" t="n">
        <v>4120</v>
      </c>
      <c r="E308" s="23" t="s">
        <v>349</v>
      </c>
      <c r="F308" s="37" t="n">
        <v>60</v>
      </c>
      <c r="G308" s="37" t="n">
        <v>1250277.0234</v>
      </c>
      <c r="H308" s="37" t="n">
        <v>1218442.9343</v>
      </c>
      <c r="I308" s="38" t="n">
        <f aca="false">G308-H308</f>
        <v>31834.0890999998</v>
      </c>
      <c r="J308" s="45" t="n">
        <v>0.0261268609336135</v>
      </c>
      <c r="K308" s="45" t="n">
        <v>0.00575601128508748</v>
      </c>
      <c r="L308" s="46" t="str">
        <f aca="false">IF(I308&gt;0,"Actual above budget",IF(I308&lt;0,"Actual below budget","On budget"))</f>
        <v>Actual above budget</v>
      </c>
    </row>
    <row r="309" customFormat="false" ht="15" hidden="false" customHeight="false" outlineLevel="0" collapsed="false">
      <c r="A309" s="23" t="s">
        <v>217</v>
      </c>
      <c r="B309" s="23" t="s">
        <v>224</v>
      </c>
      <c r="C309" s="23" t="s">
        <v>197</v>
      </c>
      <c r="D309" s="34" t="n">
        <v>4190</v>
      </c>
      <c r="E309" s="23" t="s">
        <v>350</v>
      </c>
      <c r="F309" s="37" t="n">
        <v>1635</v>
      </c>
      <c r="G309" s="37" t="n">
        <v>-635581.0186</v>
      </c>
      <c r="H309" s="37" t="n">
        <v>-596429.0483</v>
      </c>
      <c r="I309" s="38" t="n">
        <f aca="false">G309-H309</f>
        <v>-39151.9702999998</v>
      </c>
      <c r="J309" s="45"/>
      <c r="K309" s="45" t="n">
        <v>0.00707917798974214</v>
      </c>
      <c r="L309" s="46" t="str">
        <f aca="false">IF(I309&gt;0,"Actual above budget",IF(I309&lt;0,"Actual below budget","On budget"))</f>
        <v>Actual below budget</v>
      </c>
    </row>
    <row r="310" customFormat="false" ht="15" hidden="false" customHeight="false" outlineLevel="0" collapsed="false">
      <c r="A310" s="23" t="s">
        <v>217</v>
      </c>
      <c r="B310" s="23" t="s">
        <v>224</v>
      </c>
      <c r="C310" s="23" t="s">
        <v>199</v>
      </c>
      <c r="D310" s="34" t="n">
        <v>4100</v>
      </c>
      <c r="E310" s="23" t="s">
        <v>196</v>
      </c>
      <c r="F310" s="37" t="n">
        <v>1719</v>
      </c>
      <c r="G310" s="37" t="n">
        <v>22868177.4493</v>
      </c>
      <c r="H310" s="37" t="n">
        <v>23763157.9219</v>
      </c>
      <c r="I310" s="38" t="n">
        <f aca="false">G310-H310</f>
        <v>-894980.472600032</v>
      </c>
      <c r="J310" s="45" t="n">
        <v>-0.0376625226134272</v>
      </c>
      <c r="K310" s="45" t="n">
        <v>0.161823939238096</v>
      </c>
      <c r="L310" s="46" t="str">
        <f aca="false">IF(I310&gt;0,"Actual above budget",IF(I310&lt;0,"Actual below budget","On budget"))</f>
        <v>Actual below budget</v>
      </c>
    </row>
    <row r="311" customFormat="false" ht="15" hidden="false" customHeight="false" outlineLevel="0" collapsed="false">
      <c r="A311" s="23" t="s">
        <v>217</v>
      </c>
      <c r="B311" s="23" t="s">
        <v>224</v>
      </c>
      <c r="C311" s="23" t="s">
        <v>199</v>
      </c>
      <c r="D311" s="34" t="n">
        <v>4110</v>
      </c>
      <c r="E311" s="23" t="s">
        <v>204</v>
      </c>
      <c r="F311" s="37" t="n">
        <v>1653</v>
      </c>
      <c r="G311" s="37" t="n">
        <v>3374039.3401</v>
      </c>
      <c r="H311" s="37" t="n">
        <v>3700762.4602</v>
      </c>
      <c r="I311" s="38" t="n">
        <f aca="false">G311-H311</f>
        <v>-326723.120099998</v>
      </c>
      <c r="J311" s="45" t="n">
        <v>-0.0882853529816508</v>
      </c>
      <c r="K311" s="45" t="n">
        <v>0.0590757272962018</v>
      </c>
      <c r="L311" s="46" t="str">
        <f aca="false">IF(I311&gt;0,"Actual above budget",IF(I311&lt;0,"Actual below budget","On budget"))</f>
        <v>Actual below budget</v>
      </c>
    </row>
    <row r="312" customFormat="false" ht="15" hidden="false" customHeight="false" outlineLevel="0" collapsed="false">
      <c r="A312" s="23" t="s">
        <v>217</v>
      </c>
      <c r="B312" s="23" t="s">
        <v>224</v>
      </c>
      <c r="C312" s="23" t="s">
        <v>199</v>
      </c>
      <c r="D312" s="34" t="n">
        <v>4120</v>
      </c>
      <c r="E312" s="23" t="s">
        <v>349</v>
      </c>
      <c r="F312" s="37" t="n">
        <v>47</v>
      </c>
      <c r="G312" s="37" t="n">
        <v>636914.7273</v>
      </c>
      <c r="H312" s="37" t="n">
        <v>630751.1153</v>
      </c>
      <c r="I312" s="38" t="n">
        <f aca="false">G312-H312</f>
        <v>6163.61199999985</v>
      </c>
      <c r="J312" s="45" t="n">
        <v>0.0097718606443818</v>
      </c>
      <c r="K312" s="45" t="n">
        <v>0.00111446004053876</v>
      </c>
      <c r="L312" s="46" t="str">
        <f aca="false">IF(I312&gt;0,"Actual above budget",IF(I312&lt;0,"Actual below budget","On budget"))</f>
        <v>Actual above budget</v>
      </c>
    </row>
    <row r="313" customFormat="false" ht="15" hidden="false" customHeight="false" outlineLevel="0" collapsed="false">
      <c r="A313" s="23" t="s">
        <v>217</v>
      </c>
      <c r="B313" s="23" t="s">
        <v>224</v>
      </c>
      <c r="C313" s="23" t="s">
        <v>199</v>
      </c>
      <c r="D313" s="34" t="n">
        <v>4190</v>
      </c>
      <c r="E313" s="23" t="s">
        <v>350</v>
      </c>
      <c r="F313" s="37" t="n">
        <v>1751</v>
      </c>
      <c r="G313" s="37" t="n">
        <v>-419271.8103</v>
      </c>
      <c r="H313" s="37" t="n">
        <v>-396295.361</v>
      </c>
      <c r="I313" s="38" t="n">
        <f aca="false">G313-H313</f>
        <v>-22976.4493000007</v>
      </c>
      <c r="J313" s="45"/>
      <c r="K313" s="45" t="n">
        <v>0.00415443649248442</v>
      </c>
      <c r="L313" s="46" t="str">
        <f aca="false">IF(I313&gt;0,"Actual above budget",IF(I313&lt;0,"Actual below budget","On budget"))</f>
        <v>Actual below budget</v>
      </c>
    </row>
    <row r="314" customFormat="false" ht="15" hidden="false" customHeight="false" outlineLevel="0" collapsed="false">
      <c r="A314" s="23" t="s">
        <v>217</v>
      </c>
      <c r="B314" s="23" t="s">
        <v>224</v>
      </c>
      <c r="C314" s="23" t="s">
        <v>195</v>
      </c>
      <c r="D314" s="34" t="n">
        <v>4100</v>
      </c>
      <c r="E314" s="23" t="s">
        <v>196</v>
      </c>
      <c r="F314" s="37" t="n">
        <v>1799</v>
      </c>
      <c r="G314" s="37" t="n">
        <v>45307050.4923999</v>
      </c>
      <c r="H314" s="37" t="n">
        <v>46639855.7388001</v>
      </c>
      <c r="I314" s="38" t="n">
        <f aca="false">G314-H314</f>
        <v>-1332805.24640017</v>
      </c>
      <c r="J314" s="45" t="n">
        <v>-0.0285765302076445</v>
      </c>
      <c r="K314" s="45" t="n">
        <v>0.240988269367576</v>
      </c>
      <c r="L314" s="46" t="str">
        <f aca="false">IF(I314&gt;0,"Actual above budget",IF(I314&lt;0,"Actual below budget","On budget"))</f>
        <v>Actual below budget</v>
      </c>
    </row>
    <row r="315" customFormat="false" ht="15" hidden="false" customHeight="false" outlineLevel="0" collapsed="false">
      <c r="A315" s="23" t="s">
        <v>217</v>
      </c>
      <c r="B315" s="23" t="s">
        <v>224</v>
      </c>
      <c r="C315" s="23" t="s">
        <v>195</v>
      </c>
      <c r="D315" s="34" t="n">
        <v>4110</v>
      </c>
      <c r="E315" s="23" t="s">
        <v>204</v>
      </c>
      <c r="F315" s="37" t="n">
        <v>1669</v>
      </c>
      <c r="G315" s="37" t="n">
        <v>6623172.06879999</v>
      </c>
      <c r="H315" s="37" t="n">
        <v>6772863.61259999</v>
      </c>
      <c r="I315" s="38" t="n">
        <f aca="false">G315-H315</f>
        <v>-149691.5438</v>
      </c>
      <c r="J315" s="45" t="n">
        <v>-0.0221016622158933</v>
      </c>
      <c r="K315" s="45" t="n">
        <v>0.0270661495194146</v>
      </c>
      <c r="L315" s="46" t="str">
        <f aca="false">IF(I315&gt;0,"Actual above budget",IF(I315&lt;0,"Actual below budget","On budget"))</f>
        <v>Actual below budget</v>
      </c>
    </row>
    <row r="316" customFormat="false" ht="15" hidden="false" customHeight="false" outlineLevel="0" collapsed="false">
      <c r="A316" s="23" t="s">
        <v>217</v>
      </c>
      <c r="B316" s="23" t="s">
        <v>224</v>
      </c>
      <c r="C316" s="23" t="s">
        <v>195</v>
      </c>
      <c r="D316" s="34" t="n">
        <v>4120</v>
      </c>
      <c r="E316" s="23" t="s">
        <v>349</v>
      </c>
      <c r="F316" s="37" t="n">
        <v>61</v>
      </c>
      <c r="G316" s="37" t="n">
        <v>1190727.2312</v>
      </c>
      <c r="H316" s="37" t="n">
        <v>1211676.0597</v>
      </c>
      <c r="I316" s="38" t="n">
        <f aca="false">G316-H316</f>
        <v>-20948.8284999996</v>
      </c>
      <c r="J316" s="45" t="n">
        <v>-0.017289132959503</v>
      </c>
      <c r="K316" s="45" t="n">
        <v>0.00378781666648543</v>
      </c>
      <c r="L316" s="46" t="str">
        <f aca="false">IF(I316&gt;0,"Actual above budget",IF(I316&lt;0,"Actual below budget","On budget"))</f>
        <v>Actual below budget</v>
      </c>
    </row>
    <row r="317" customFormat="false" ht="15" hidden="false" customHeight="false" outlineLevel="0" collapsed="false">
      <c r="A317" s="23" t="s">
        <v>217</v>
      </c>
      <c r="B317" s="23" t="s">
        <v>224</v>
      </c>
      <c r="C317" s="23" t="s">
        <v>195</v>
      </c>
      <c r="D317" s="34" t="n">
        <v>4190</v>
      </c>
      <c r="E317" s="23" t="s">
        <v>350</v>
      </c>
      <c r="F317" s="37" t="n">
        <v>1634</v>
      </c>
      <c r="G317" s="37" t="n">
        <v>-581376.8758</v>
      </c>
      <c r="H317" s="37" t="n">
        <v>-742108.6187</v>
      </c>
      <c r="I317" s="38" t="n">
        <f aca="false">G317-H317</f>
        <v>160731.7429</v>
      </c>
      <c r="J317" s="45"/>
      <c r="K317" s="45" t="n">
        <v>0.0290623590044603</v>
      </c>
      <c r="L317" s="46" t="str">
        <f aca="false">IF(I317&gt;0,"Actual above budget",IF(I317&lt;0,"Actual below budget","On budget"))</f>
        <v>Actual above budget</v>
      </c>
    </row>
    <row r="318" customFormat="false" ht="15" hidden="false" customHeight="false" outlineLevel="0" collapsed="false">
      <c r="A318" s="23" t="s">
        <v>217</v>
      </c>
      <c r="B318" s="23" t="s">
        <v>172</v>
      </c>
      <c r="C318" s="23" t="s">
        <v>201</v>
      </c>
      <c r="D318" s="34" t="n">
        <v>5100</v>
      </c>
      <c r="E318" s="23" t="s">
        <v>198</v>
      </c>
      <c r="F318" s="37" t="n">
        <v>1634</v>
      </c>
      <c r="G318" s="37" t="n">
        <v>6058768.9991</v>
      </c>
      <c r="H318" s="37" t="n">
        <v>5808714.9297</v>
      </c>
      <c r="I318" s="38" t="n">
        <f aca="false">G318-H318</f>
        <v>250054.069399999</v>
      </c>
      <c r="J318" s="45" t="n">
        <v>0.0430480876452504</v>
      </c>
      <c r="K318" s="45" t="n">
        <v>0.0387356955812765</v>
      </c>
      <c r="L318" s="46" t="str">
        <f aca="false">IF(I318&gt;0,"Actual above budget",IF(I318&lt;0,"Actual below budget","On budget"))</f>
        <v>Actual above budget</v>
      </c>
    </row>
    <row r="319" customFormat="false" ht="15" hidden="false" customHeight="false" outlineLevel="0" collapsed="false">
      <c r="A319" s="23" t="s">
        <v>217</v>
      </c>
      <c r="B319" s="23" t="s">
        <v>172</v>
      </c>
      <c r="C319" s="23" t="s">
        <v>201</v>
      </c>
      <c r="D319" s="34" t="n">
        <v>5110</v>
      </c>
      <c r="E319" s="23" t="s">
        <v>351</v>
      </c>
      <c r="F319" s="37" t="n">
        <v>63</v>
      </c>
      <c r="G319" s="37" t="n">
        <v>589594.8568</v>
      </c>
      <c r="H319" s="37" t="n">
        <v>597394.5974</v>
      </c>
      <c r="I319" s="38" t="n">
        <f aca="false">G319-H319</f>
        <v>-7799.74060000025</v>
      </c>
      <c r="J319" s="45" t="n">
        <v>-0.0130562623665267</v>
      </c>
      <c r="K319" s="45" t="n">
        <v>0.00120825219209379</v>
      </c>
      <c r="L319" s="46" t="str">
        <f aca="false">IF(I319&gt;0,"Actual above budget",IF(I319&lt;0,"Actual below budget","On budget"))</f>
        <v>Actual below budget</v>
      </c>
    </row>
    <row r="320" customFormat="false" ht="15" hidden="false" customHeight="false" outlineLevel="0" collapsed="false">
      <c r="A320" s="23" t="s">
        <v>217</v>
      </c>
      <c r="B320" s="23" t="s">
        <v>172</v>
      </c>
      <c r="C320" s="23" t="s">
        <v>201</v>
      </c>
      <c r="D320" s="34" t="n">
        <v>5120</v>
      </c>
      <c r="E320" s="23" t="s">
        <v>352</v>
      </c>
      <c r="F320" s="37" t="n">
        <v>52</v>
      </c>
      <c r="G320" s="37" t="n">
        <v>24862.541</v>
      </c>
      <c r="H320" s="37" t="n">
        <v>15387.0807</v>
      </c>
      <c r="I320" s="38" t="n">
        <f aca="false">G320-H320</f>
        <v>9475.46029999999</v>
      </c>
      <c r="J320" s="45"/>
      <c r="K320" s="45" t="n">
        <v>0.00146783672248955</v>
      </c>
      <c r="L320" s="46" t="str">
        <f aca="false">IF(I320&gt;0,"Actual above budget",IF(I320&lt;0,"Actual below budget","On budget"))</f>
        <v>Actual above budget</v>
      </c>
    </row>
    <row r="321" customFormat="false" ht="15" hidden="false" customHeight="false" outlineLevel="0" collapsed="false">
      <c r="A321" s="23" t="s">
        <v>217</v>
      </c>
      <c r="B321" s="23" t="s">
        <v>172</v>
      </c>
      <c r="C321" s="23" t="s">
        <v>201</v>
      </c>
      <c r="D321" s="34" t="n">
        <v>5200</v>
      </c>
      <c r="E321" s="23" t="s">
        <v>205</v>
      </c>
      <c r="F321" s="37" t="n">
        <v>52</v>
      </c>
      <c r="G321" s="37" t="n">
        <v>1138796.71</v>
      </c>
      <c r="H321" s="37" t="n">
        <v>1030523.2772</v>
      </c>
      <c r="I321" s="38" t="n">
        <f aca="false">G321-H321</f>
        <v>108273.4328</v>
      </c>
      <c r="J321" s="45" t="n">
        <v>0.105066460113532</v>
      </c>
      <c r="K321" s="45" t="n">
        <v>0.0167725594010293</v>
      </c>
      <c r="L321" s="46" t="str">
        <f aca="false">IF(I321&gt;0,"Actual above budget",IF(I321&lt;0,"Actual below budget","On budget"))</f>
        <v>Actual above budget</v>
      </c>
    </row>
    <row r="322" customFormat="false" ht="15" hidden="false" customHeight="false" outlineLevel="0" collapsed="false">
      <c r="A322" s="23" t="s">
        <v>217</v>
      </c>
      <c r="B322" s="23" t="s">
        <v>172</v>
      </c>
      <c r="C322" s="23" t="s">
        <v>201</v>
      </c>
      <c r="D322" s="34" t="n">
        <v>5300</v>
      </c>
      <c r="E322" s="23" t="s">
        <v>353</v>
      </c>
      <c r="F322" s="37" t="n">
        <v>58</v>
      </c>
      <c r="G322" s="37" t="n">
        <v>490044.9058</v>
      </c>
      <c r="H322" s="37" t="n">
        <v>471360.3118</v>
      </c>
      <c r="I322" s="38" t="n">
        <f aca="false">G322-H322</f>
        <v>18684.5940000001</v>
      </c>
      <c r="J322" s="45"/>
      <c r="K322" s="45" t="n">
        <v>0.00289441698341641</v>
      </c>
      <c r="L322" s="46" t="str">
        <f aca="false">IF(I322&gt;0,"Actual above budget",IF(I322&lt;0,"Actual below budget","On budget"))</f>
        <v>Actual above budget</v>
      </c>
    </row>
    <row r="323" customFormat="false" ht="15" hidden="false" customHeight="false" outlineLevel="0" collapsed="false">
      <c r="A323" s="23" t="s">
        <v>217</v>
      </c>
      <c r="B323" s="23" t="s">
        <v>172</v>
      </c>
      <c r="C323" s="23" t="s">
        <v>200</v>
      </c>
      <c r="D323" s="34" t="n">
        <v>5100</v>
      </c>
      <c r="E323" s="23" t="s">
        <v>198</v>
      </c>
      <c r="F323" s="37" t="n">
        <v>1736</v>
      </c>
      <c r="G323" s="37" t="n">
        <v>9945733.99639999</v>
      </c>
      <c r="H323" s="37" t="n">
        <v>9414829.50469999</v>
      </c>
      <c r="I323" s="38" t="n">
        <f aca="false">G323-H323</f>
        <v>530904.491699999</v>
      </c>
      <c r="J323" s="45" t="n">
        <v>0.0563902396145321</v>
      </c>
      <c r="K323" s="45" t="n">
        <v>0.0822420319835975</v>
      </c>
      <c r="L323" s="46" t="str">
        <f aca="false">IF(I323&gt;0,"Actual above budget",IF(I323&lt;0,"Actual below budget","On budget"))</f>
        <v>Actual above budget</v>
      </c>
    </row>
    <row r="324" customFormat="false" ht="15" hidden="false" customHeight="false" outlineLevel="0" collapsed="false">
      <c r="A324" s="23" t="s">
        <v>217</v>
      </c>
      <c r="B324" s="23" t="s">
        <v>172</v>
      </c>
      <c r="C324" s="23" t="s">
        <v>200</v>
      </c>
      <c r="D324" s="34" t="n">
        <v>5110</v>
      </c>
      <c r="E324" s="23" t="s">
        <v>351</v>
      </c>
      <c r="F324" s="37" t="n">
        <v>45</v>
      </c>
      <c r="G324" s="37" t="n">
        <v>854486.8397</v>
      </c>
      <c r="H324" s="37" t="n">
        <v>753290.4368</v>
      </c>
      <c r="I324" s="38" t="n">
        <f aca="false">G324-H324</f>
        <v>101196.4029</v>
      </c>
      <c r="J324" s="45" t="n">
        <v>0.134339157855084</v>
      </c>
      <c r="K324" s="45" t="n">
        <v>0.0156762618023388</v>
      </c>
      <c r="L324" s="46" t="str">
        <f aca="false">IF(I324&gt;0,"Actual above budget",IF(I324&lt;0,"Actual below budget","On budget"))</f>
        <v>Actual above budget</v>
      </c>
    </row>
    <row r="325" customFormat="false" ht="15" hidden="false" customHeight="false" outlineLevel="0" collapsed="false">
      <c r="A325" s="23" t="s">
        <v>217</v>
      </c>
      <c r="B325" s="23" t="s">
        <v>172</v>
      </c>
      <c r="C325" s="23" t="s">
        <v>200</v>
      </c>
      <c r="D325" s="34" t="n">
        <v>5120</v>
      </c>
      <c r="E325" s="23" t="s">
        <v>352</v>
      </c>
      <c r="F325" s="37" t="n">
        <v>59</v>
      </c>
      <c r="G325" s="37" t="n">
        <v>98101.5172</v>
      </c>
      <c r="H325" s="37" t="n">
        <v>100227.6851</v>
      </c>
      <c r="I325" s="38" t="n">
        <f aca="false">G325-H325</f>
        <v>-2126.16790000004</v>
      </c>
      <c r="J325" s="45"/>
      <c r="K325" s="45" t="n">
        <v>0.000329363136247691</v>
      </c>
      <c r="L325" s="46" t="str">
        <f aca="false">IF(I325&gt;0,"Actual above budget",IF(I325&lt;0,"Actual below budget","On budget"))</f>
        <v>Actual below budget</v>
      </c>
    </row>
    <row r="326" customFormat="false" ht="15" hidden="false" customHeight="false" outlineLevel="0" collapsed="false">
      <c r="A326" s="23" t="s">
        <v>217</v>
      </c>
      <c r="B326" s="23" t="s">
        <v>172</v>
      </c>
      <c r="C326" s="23" t="s">
        <v>200</v>
      </c>
      <c r="D326" s="34" t="n">
        <v>5200</v>
      </c>
      <c r="E326" s="23" t="s">
        <v>205</v>
      </c>
      <c r="F326" s="37" t="n">
        <v>50</v>
      </c>
      <c r="G326" s="37" t="n">
        <v>1735139.0987</v>
      </c>
      <c r="H326" s="37" t="n">
        <v>1272583.1432</v>
      </c>
      <c r="I326" s="38" t="n">
        <f aca="false">G326-H326</f>
        <v>462555.955500001</v>
      </c>
      <c r="J326" s="45" t="n">
        <v>0.363477984107876</v>
      </c>
      <c r="K326" s="45" t="n">
        <v>0.0716542095257518</v>
      </c>
      <c r="L326" s="46" t="str">
        <f aca="false">IF(I326&gt;0,"Actual above budget",IF(I326&lt;0,"Actual below budget","On budget"))</f>
        <v>Actual above budget</v>
      </c>
    </row>
    <row r="327" customFormat="false" ht="15" hidden="false" customHeight="false" outlineLevel="0" collapsed="false">
      <c r="A327" s="23" t="s">
        <v>217</v>
      </c>
      <c r="B327" s="23" t="s">
        <v>172</v>
      </c>
      <c r="C327" s="23" t="s">
        <v>200</v>
      </c>
      <c r="D327" s="34" t="n">
        <v>5300</v>
      </c>
      <c r="E327" s="23" t="s">
        <v>353</v>
      </c>
      <c r="F327" s="37" t="n">
        <v>70</v>
      </c>
      <c r="G327" s="37" t="n">
        <v>1534995.0002</v>
      </c>
      <c r="H327" s="37" t="n">
        <v>1671659.9269</v>
      </c>
      <c r="I327" s="38" t="n">
        <f aca="false">G327-H327</f>
        <v>-136664.9267</v>
      </c>
      <c r="J327" s="45" t="n">
        <v>-0.0817540245481852</v>
      </c>
      <c r="K327" s="45" t="n">
        <v>0.0211706652484843</v>
      </c>
      <c r="L327" s="46" t="str">
        <f aca="false">IF(I327&gt;0,"Actual above budget",IF(I327&lt;0,"Actual below budget","On budget"))</f>
        <v>Actual below budget</v>
      </c>
    </row>
    <row r="328" customFormat="false" ht="15" hidden="false" customHeight="false" outlineLevel="0" collapsed="false">
      <c r="A328" s="23" t="s">
        <v>217</v>
      </c>
      <c r="B328" s="23" t="s">
        <v>172</v>
      </c>
      <c r="C328" s="23" t="s">
        <v>202</v>
      </c>
      <c r="D328" s="34" t="n">
        <v>5100</v>
      </c>
      <c r="E328" s="23" t="s">
        <v>198</v>
      </c>
      <c r="F328" s="37" t="n">
        <v>1715</v>
      </c>
      <c r="G328" s="37" t="n">
        <v>6310070.5605</v>
      </c>
      <c r="H328" s="37" t="n">
        <v>6065843.8275</v>
      </c>
      <c r="I328" s="38" t="n">
        <f aca="false">G328-H328</f>
        <v>244226.733000007</v>
      </c>
      <c r="J328" s="45" t="n">
        <v>0.0402626147235737</v>
      </c>
      <c r="K328" s="45" t="n">
        <v>0.0378329871015396</v>
      </c>
      <c r="L328" s="46" t="str">
        <f aca="false">IF(I328&gt;0,"Actual above budget",IF(I328&lt;0,"Actual below budget","On budget"))</f>
        <v>Actual above budget</v>
      </c>
    </row>
    <row r="329" customFormat="false" ht="15" hidden="false" customHeight="false" outlineLevel="0" collapsed="false">
      <c r="A329" s="23" t="s">
        <v>217</v>
      </c>
      <c r="B329" s="23" t="s">
        <v>172</v>
      </c>
      <c r="C329" s="23" t="s">
        <v>202</v>
      </c>
      <c r="D329" s="34" t="n">
        <v>5110</v>
      </c>
      <c r="E329" s="23" t="s">
        <v>351</v>
      </c>
      <c r="F329" s="37" t="n">
        <v>50</v>
      </c>
      <c r="G329" s="37" t="n">
        <v>546151.09</v>
      </c>
      <c r="H329" s="37" t="n">
        <v>438417.6214</v>
      </c>
      <c r="I329" s="38" t="n">
        <f aca="false">G329-H329</f>
        <v>107733.4686</v>
      </c>
      <c r="J329" s="45" t="n">
        <v>0.24573252383418</v>
      </c>
      <c r="K329" s="45" t="n">
        <v>0.0166889139361657</v>
      </c>
      <c r="L329" s="46" t="str">
        <f aca="false">IF(I329&gt;0,"Actual above budget",IF(I329&lt;0,"Actual below budget","On budget"))</f>
        <v>Actual above budget</v>
      </c>
    </row>
    <row r="330" customFormat="false" ht="15" hidden="false" customHeight="false" outlineLevel="0" collapsed="false">
      <c r="A330" s="23" t="s">
        <v>217</v>
      </c>
      <c r="B330" s="23" t="s">
        <v>172</v>
      </c>
      <c r="C330" s="23" t="s">
        <v>202</v>
      </c>
      <c r="D330" s="34" t="n">
        <v>5120</v>
      </c>
      <c r="E330" s="23" t="s">
        <v>352</v>
      </c>
      <c r="F330" s="37" t="n">
        <v>50</v>
      </c>
      <c r="G330" s="37" t="n">
        <v>34787.1878</v>
      </c>
      <c r="H330" s="37" t="n">
        <v>52621.9882</v>
      </c>
      <c r="I330" s="38" t="n">
        <f aca="false">G330-H330</f>
        <v>-17834.8004</v>
      </c>
      <c r="J330" s="45"/>
      <c r="K330" s="45" t="n">
        <v>0.00276277606961124</v>
      </c>
      <c r="L330" s="46" t="str">
        <f aca="false">IF(I330&gt;0,"Actual above budget",IF(I330&lt;0,"Actual below budget","On budget"))</f>
        <v>Actual below budget</v>
      </c>
    </row>
    <row r="331" customFormat="false" ht="15" hidden="false" customHeight="false" outlineLevel="0" collapsed="false">
      <c r="A331" s="23" t="s">
        <v>217</v>
      </c>
      <c r="B331" s="23" t="s">
        <v>172</v>
      </c>
      <c r="C331" s="23" t="s">
        <v>202</v>
      </c>
      <c r="D331" s="34" t="n">
        <v>5200</v>
      </c>
      <c r="E331" s="23" t="s">
        <v>205</v>
      </c>
      <c r="F331" s="37" t="n">
        <v>56</v>
      </c>
      <c r="G331" s="37" t="n">
        <v>1278370.6366</v>
      </c>
      <c r="H331" s="37" t="n">
        <v>1272402.02</v>
      </c>
      <c r="I331" s="38" t="n">
        <f aca="false">G331-H331</f>
        <v>5968.6165999996</v>
      </c>
      <c r="J331" s="45" t="n">
        <v>0.00469082609598495</v>
      </c>
      <c r="K331" s="45" t="n">
        <v>0.000924594093644261</v>
      </c>
      <c r="L331" s="46" t="str">
        <f aca="false">IF(I331&gt;0,"Actual above budget",IF(I331&lt;0,"Actual below budget","On budget"))</f>
        <v>Actual above budget</v>
      </c>
    </row>
    <row r="332" customFormat="false" ht="15" hidden="false" customHeight="false" outlineLevel="0" collapsed="false">
      <c r="A332" s="23" t="s">
        <v>217</v>
      </c>
      <c r="B332" s="23" t="s">
        <v>172</v>
      </c>
      <c r="C332" s="23" t="s">
        <v>202</v>
      </c>
      <c r="D332" s="34" t="n">
        <v>5300</v>
      </c>
      <c r="E332" s="23" t="s">
        <v>353</v>
      </c>
      <c r="F332" s="37" t="n">
        <v>73</v>
      </c>
      <c r="G332" s="37" t="n">
        <v>909606.0156</v>
      </c>
      <c r="H332" s="37" t="n">
        <v>895824.7219</v>
      </c>
      <c r="I332" s="38" t="n">
        <f aca="false">G332-H332</f>
        <v>13781.2936999999</v>
      </c>
      <c r="J332" s="45" t="n">
        <v>0.0153839175935786</v>
      </c>
      <c r="K332" s="45" t="n">
        <v>0.00213485026962479</v>
      </c>
      <c r="L332" s="46" t="str">
        <f aca="false">IF(I332&gt;0,"Actual above budget",IF(I332&lt;0,"Actual below budget","On budget"))</f>
        <v>Actual above budget</v>
      </c>
    </row>
    <row r="333" customFormat="false" ht="15" hidden="false" customHeight="false" outlineLevel="0" collapsed="false">
      <c r="A333" s="23" t="s">
        <v>217</v>
      </c>
      <c r="B333" s="23" t="s">
        <v>172</v>
      </c>
      <c r="C333" s="23" t="s">
        <v>197</v>
      </c>
      <c r="D333" s="34" t="n">
        <v>5100</v>
      </c>
      <c r="E333" s="23" t="s">
        <v>198</v>
      </c>
      <c r="F333" s="37" t="n">
        <v>1738</v>
      </c>
      <c r="G333" s="37" t="n">
        <v>14952420.8529</v>
      </c>
      <c r="H333" s="37" t="n">
        <v>13351084.7285</v>
      </c>
      <c r="I333" s="38" t="n">
        <f aca="false">G333-H333</f>
        <v>1601336.12440001</v>
      </c>
      <c r="J333" s="45" t="n">
        <v>0.119940525954546</v>
      </c>
      <c r="K333" s="45" t="n">
        <v>0.248061824336219</v>
      </c>
      <c r="L333" s="46" t="str">
        <f aca="false">IF(I333&gt;0,"Actual above budget",IF(I333&lt;0,"Actual below budget","On budget"))</f>
        <v>Actual above budget</v>
      </c>
    </row>
    <row r="334" customFormat="false" ht="15" hidden="false" customHeight="false" outlineLevel="0" collapsed="false">
      <c r="A334" s="23" t="s">
        <v>217</v>
      </c>
      <c r="B334" s="23" t="s">
        <v>172</v>
      </c>
      <c r="C334" s="23" t="s">
        <v>197</v>
      </c>
      <c r="D334" s="34" t="n">
        <v>5110</v>
      </c>
      <c r="E334" s="23" t="s">
        <v>351</v>
      </c>
      <c r="F334" s="37" t="n">
        <v>62</v>
      </c>
      <c r="G334" s="37" t="n">
        <v>1855413.6852</v>
      </c>
      <c r="H334" s="37" t="n">
        <v>1699682.0522</v>
      </c>
      <c r="I334" s="38" t="n">
        <f aca="false">G334-H334</f>
        <v>155731.632999999</v>
      </c>
      <c r="J334" s="45" t="n">
        <v>0.0916239792015379</v>
      </c>
      <c r="K334" s="45" t="n">
        <v>0.0241242749727595</v>
      </c>
      <c r="L334" s="46" t="str">
        <f aca="false">IF(I334&gt;0,"Actual above budget",IF(I334&lt;0,"Actual below budget","On budget"))</f>
        <v>Actual above budget</v>
      </c>
    </row>
    <row r="335" customFormat="false" ht="15" hidden="false" customHeight="false" outlineLevel="0" collapsed="false">
      <c r="A335" s="23" t="s">
        <v>217</v>
      </c>
      <c r="B335" s="23" t="s">
        <v>172</v>
      </c>
      <c r="C335" s="23" t="s">
        <v>197</v>
      </c>
      <c r="D335" s="34" t="n">
        <v>5120</v>
      </c>
      <c r="E335" s="23" t="s">
        <v>352</v>
      </c>
      <c r="F335" s="37" t="n">
        <v>60</v>
      </c>
      <c r="G335" s="37" t="n">
        <v>320832.1469</v>
      </c>
      <c r="H335" s="37" t="n">
        <v>256558.7313</v>
      </c>
      <c r="I335" s="38" t="n">
        <f aca="false">G335-H335</f>
        <v>64273.4156000001</v>
      </c>
      <c r="J335" s="45"/>
      <c r="K335" s="45" t="n">
        <v>0.00995654846419575</v>
      </c>
      <c r="L335" s="46" t="str">
        <f aca="false">IF(I335&gt;0,"Actual above budget",IF(I335&lt;0,"Actual below budget","On budget"))</f>
        <v>Actual above budget</v>
      </c>
    </row>
    <row r="336" customFormat="false" ht="15" hidden="false" customHeight="false" outlineLevel="0" collapsed="false">
      <c r="A336" s="23" t="s">
        <v>217</v>
      </c>
      <c r="B336" s="23" t="s">
        <v>172</v>
      </c>
      <c r="C336" s="23" t="s">
        <v>197</v>
      </c>
      <c r="D336" s="34" t="n">
        <v>5200</v>
      </c>
      <c r="E336" s="23" t="s">
        <v>205</v>
      </c>
      <c r="F336" s="37" t="n">
        <v>51</v>
      </c>
      <c r="G336" s="37" t="n">
        <v>1808496.389</v>
      </c>
      <c r="H336" s="37" t="n">
        <v>2020363.5</v>
      </c>
      <c r="I336" s="38" t="n">
        <f aca="false">G336-H336</f>
        <v>-211867.111</v>
      </c>
      <c r="J336" s="45" t="n">
        <v>-0.104865837756424</v>
      </c>
      <c r="K336" s="45" t="n">
        <v>0.0328201813914592</v>
      </c>
      <c r="L336" s="46" t="str">
        <f aca="false">IF(I336&gt;0,"Actual above budget",IF(I336&lt;0,"Actual below budget","On budget"))</f>
        <v>Actual below budget</v>
      </c>
    </row>
    <row r="337" customFormat="false" ht="15" hidden="false" customHeight="false" outlineLevel="0" collapsed="false">
      <c r="A337" s="23" t="s">
        <v>217</v>
      </c>
      <c r="B337" s="23" t="s">
        <v>172</v>
      </c>
      <c r="C337" s="23" t="s">
        <v>197</v>
      </c>
      <c r="D337" s="34" t="n">
        <v>5300</v>
      </c>
      <c r="E337" s="23" t="s">
        <v>353</v>
      </c>
      <c r="F337" s="37" t="n">
        <v>48</v>
      </c>
      <c r="G337" s="37" t="n">
        <v>1719444.4164</v>
      </c>
      <c r="H337" s="37" t="n">
        <v>1480957.6391</v>
      </c>
      <c r="I337" s="38" t="n">
        <f aca="false">G337-H337</f>
        <v>238486.7773</v>
      </c>
      <c r="J337" s="45" t="n">
        <v>0.16103551580647</v>
      </c>
      <c r="K337" s="45" t="n">
        <v>0.0369438147030311</v>
      </c>
      <c r="L337" s="46" t="str">
        <f aca="false">IF(I337&gt;0,"Actual above budget",IF(I337&lt;0,"Actual below budget","On budget"))</f>
        <v>Actual above budget</v>
      </c>
    </row>
    <row r="338" customFormat="false" ht="15" hidden="false" customHeight="false" outlineLevel="0" collapsed="false">
      <c r="A338" s="23" t="s">
        <v>217</v>
      </c>
      <c r="B338" s="23" t="s">
        <v>172</v>
      </c>
      <c r="C338" s="23" t="s">
        <v>199</v>
      </c>
      <c r="D338" s="34" t="n">
        <v>5100</v>
      </c>
      <c r="E338" s="23" t="s">
        <v>198</v>
      </c>
      <c r="F338" s="37" t="n">
        <v>1670</v>
      </c>
      <c r="G338" s="37" t="n">
        <v>9065016.0927</v>
      </c>
      <c r="H338" s="37" t="n">
        <v>8593209.13349999</v>
      </c>
      <c r="I338" s="38" t="n">
        <f aca="false">G338-H338</f>
        <v>471806.959200017</v>
      </c>
      <c r="J338" s="45" t="n">
        <v>0.0549046289773975</v>
      </c>
      <c r="K338" s="45" t="n">
        <v>0.0730872758381869</v>
      </c>
      <c r="L338" s="46" t="str">
        <f aca="false">IF(I338&gt;0,"Actual above budget",IF(I338&lt;0,"Actual below budget","On budget"))</f>
        <v>Actual above budget</v>
      </c>
    </row>
    <row r="339" customFormat="false" ht="15" hidden="false" customHeight="false" outlineLevel="0" collapsed="false">
      <c r="A339" s="23" t="s">
        <v>217</v>
      </c>
      <c r="B339" s="23" t="s">
        <v>172</v>
      </c>
      <c r="C339" s="23" t="s">
        <v>199</v>
      </c>
      <c r="D339" s="34" t="n">
        <v>5110</v>
      </c>
      <c r="E339" s="23" t="s">
        <v>351</v>
      </c>
      <c r="F339" s="37" t="n">
        <v>54</v>
      </c>
      <c r="G339" s="37" t="n">
        <v>737361.57</v>
      </c>
      <c r="H339" s="37" t="n">
        <v>649210.5615</v>
      </c>
      <c r="I339" s="38" t="n">
        <f aca="false">G339-H339</f>
        <v>88151.0084999999</v>
      </c>
      <c r="J339" s="45" t="n">
        <v>0.135781846025929</v>
      </c>
      <c r="K339" s="45" t="n">
        <v>0.0136554091626334</v>
      </c>
      <c r="L339" s="46" t="str">
        <f aca="false">IF(I339&gt;0,"Actual above budget",IF(I339&lt;0,"Actual below budget","On budget"))</f>
        <v>Actual above budget</v>
      </c>
    </row>
    <row r="340" customFormat="false" ht="15" hidden="false" customHeight="false" outlineLevel="0" collapsed="false">
      <c r="A340" s="23" t="s">
        <v>217</v>
      </c>
      <c r="B340" s="23" t="s">
        <v>172</v>
      </c>
      <c r="C340" s="23" t="s">
        <v>199</v>
      </c>
      <c r="D340" s="34" t="n">
        <v>5120</v>
      </c>
      <c r="E340" s="23" t="s">
        <v>352</v>
      </c>
      <c r="F340" s="37" t="n">
        <v>50</v>
      </c>
      <c r="G340" s="37" t="n">
        <v>133520.5271</v>
      </c>
      <c r="H340" s="37" t="n">
        <v>94389.7445</v>
      </c>
      <c r="I340" s="38" t="n">
        <f aca="false">G340-H340</f>
        <v>39130.7826</v>
      </c>
      <c r="J340" s="45"/>
      <c r="K340" s="45" t="n">
        <v>0.00606172131606473</v>
      </c>
      <c r="L340" s="46" t="str">
        <f aca="false">IF(I340&gt;0,"Actual above budget",IF(I340&lt;0,"Actual below budget","On budget"))</f>
        <v>Actual above budget</v>
      </c>
    </row>
    <row r="341" customFormat="false" ht="15" hidden="false" customHeight="false" outlineLevel="0" collapsed="false">
      <c r="A341" s="23" t="s">
        <v>217</v>
      </c>
      <c r="B341" s="23" t="s">
        <v>172</v>
      </c>
      <c r="C341" s="23" t="s">
        <v>199</v>
      </c>
      <c r="D341" s="34" t="n">
        <v>5200</v>
      </c>
      <c r="E341" s="23" t="s">
        <v>205</v>
      </c>
      <c r="F341" s="37" t="n">
        <v>62</v>
      </c>
      <c r="G341" s="37" t="n">
        <v>1948565.4009</v>
      </c>
      <c r="H341" s="37" t="n">
        <v>1553486.2853</v>
      </c>
      <c r="I341" s="38" t="n">
        <f aca="false">G341-H341</f>
        <v>395079.115600001</v>
      </c>
      <c r="J341" s="45" t="n">
        <v>0.254317736396176</v>
      </c>
      <c r="K341" s="45" t="n">
        <v>0.0612014209131745</v>
      </c>
      <c r="L341" s="46" t="str">
        <f aca="false">IF(I341&gt;0,"Actual above budget",IF(I341&lt;0,"Actual below budget","On budget"))</f>
        <v>Actual above budget</v>
      </c>
    </row>
    <row r="342" customFormat="false" ht="15" hidden="false" customHeight="false" outlineLevel="0" collapsed="false">
      <c r="A342" s="23" t="s">
        <v>217</v>
      </c>
      <c r="B342" s="23" t="s">
        <v>172</v>
      </c>
      <c r="C342" s="23" t="s">
        <v>199</v>
      </c>
      <c r="D342" s="34" t="n">
        <v>5300</v>
      </c>
      <c r="E342" s="23" t="s">
        <v>353</v>
      </c>
      <c r="F342" s="37" t="n">
        <v>46</v>
      </c>
      <c r="G342" s="37" t="n">
        <v>845177.1716</v>
      </c>
      <c r="H342" s="37" t="n">
        <v>1020934.2938</v>
      </c>
      <c r="I342" s="38" t="n">
        <f aca="false">G342-H342</f>
        <v>-175757.1222</v>
      </c>
      <c r="J342" s="45" t="n">
        <v>-0.172153216193589</v>
      </c>
      <c r="K342" s="45" t="n">
        <v>0.0272264090647125</v>
      </c>
      <c r="L342" s="46" t="str">
        <f aca="false">IF(I342&gt;0,"Actual above budget",IF(I342&lt;0,"Actual below budget","On budget"))</f>
        <v>Actual below budget</v>
      </c>
    </row>
    <row r="343" customFormat="false" ht="15" hidden="false" customHeight="false" outlineLevel="0" collapsed="false">
      <c r="A343" s="23" t="s">
        <v>217</v>
      </c>
      <c r="B343" s="23" t="s">
        <v>172</v>
      </c>
      <c r="C343" s="23" t="s">
        <v>195</v>
      </c>
      <c r="D343" s="34" t="n">
        <v>5100</v>
      </c>
      <c r="E343" s="23" t="s">
        <v>198</v>
      </c>
      <c r="F343" s="37" t="n">
        <v>1716</v>
      </c>
      <c r="G343" s="37" t="n">
        <v>16378016.9586</v>
      </c>
      <c r="H343" s="37" t="n">
        <v>16154850.0591</v>
      </c>
      <c r="I343" s="38" t="n">
        <f aca="false">G343-H343</f>
        <v>223166.899499958</v>
      </c>
      <c r="J343" s="45" t="n">
        <v>0.013814235271982</v>
      </c>
      <c r="K343" s="45" t="n">
        <v>0.0345706234799206</v>
      </c>
      <c r="L343" s="46" t="str">
        <f aca="false">IF(I343&gt;0,"Actual above budget",IF(I343&lt;0,"Actual below budget","On budget"))</f>
        <v>Actual above budget</v>
      </c>
    </row>
    <row r="344" customFormat="false" ht="15" hidden="false" customHeight="false" outlineLevel="0" collapsed="false">
      <c r="A344" s="23" t="s">
        <v>217</v>
      </c>
      <c r="B344" s="23" t="s">
        <v>172</v>
      </c>
      <c r="C344" s="23" t="s">
        <v>195</v>
      </c>
      <c r="D344" s="34" t="n">
        <v>5110</v>
      </c>
      <c r="E344" s="23" t="s">
        <v>351</v>
      </c>
      <c r="F344" s="37" t="n">
        <v>47</v>
      </c>
      <c r="G344" s="37" t="n">
        <v>1095791.5256</v>
      </c>
      <c r="H344" s="37" t="n">
        <v>982142.495</v>
      </c>
      <c r="I344" s="38" t="n">
        <f aca="false">G344-H344</f>
        <v>113649.0306</v>
      </c>
      <c r="J344" s="45" t="n">
        <v>0.11571541927834</v>
      </c>
      <c r="K344" s="45" t="n">
        <v>0.0176052893799807</v>
      </c>
      <c r="L344" s="46" t="str">
        <f aca="false">IF(I344&gt;0,"Actual above budget",IF(I344&lt;0,"Actual below budget","On budget"))</f>
        <v>Actual above budget</v>
      </c>
    </row>
    <row r="345" customFormat="false" ht="15" hidden="false" customHeight="false" outlineLevel="0" collapsed="false">
      <c r="A345" s="23" t="s">
        <v>217</v>
      </c>
      <c r="B345" s="23" t="s">
        <v>172</v>
      </c>
      <c r="C345" s="23" t="s">
        <v>195</v>
      </c>
      <c r="D345" s="34" t="n">
        <v>5120</v>
      </c>
      <c r="E345" s="23" t="s">
        <v>352</v>
      </c>
      <c r="F345" s="37" t="n">
        <v>56</v>
      </c>
      <c r="G345" s="37" t="n">
        <v>284226.0634</v>
      </c>
      <c r="H345" s="37" t="n">
        <v>234381.9137</v>
      </c>
      <c r="I345" s="38" t="n">
        <f aca="false">G345-H345</f>
        <v>49844.1496999999</v>
      </c>
      <c r="J345" s="45"/>
      <c r="K345" s="45" t="n">
        <v>0.00772132128831003</v>
      </c>
      <c r="L345" s="46" t="str">
        <f aca="false">IF(I345&gt;0,"Actual above budget",IF(I345&lt;0,"Actual below budget","On budget"))</f>
        <v>Actual above budget</v>
      </c>
    </row>
    <row r="346" customFormat="false" ht="15" hidden="false" customHeight="false" outlineLevel="0" collapsed="false">
      <c r="A346" s="23" t="s">
        <v>217</v>
      </c>
      <c r="B346" s="23" t="s">
        <v>172</v>
      </c>
      <c r="C346" s="23" t="s">
        <v>195</v>
      </c>
      <c r="D346" s="34" t="n">
        <v>5200</v>
      </c>
      <c r="E346" s="23" t="s">
        <v>205</v>
      </c>
      <c r="F346" s="37" t="n">
        <v>49</v>
      </c>
      <c r="G346" s="37" t="n">
        <v>3368332.7225</v>
      </c>
      <c r="H346" s="37" t="n">
        <v>3030647.81</v>
      </c>
      <c r="I346" s="38" t="n">
        <f aca="false">G346-H346</f>
        <v>337684.912499999</v>
      </c>
      <c r="J346" s="45" t="n">
        <v>0.111423343677799</v>
      </c>
      <c r="K346" s="45" t="n">
        <v>0.0523105262968777</v>
      </c>
      <c r="L346" s="46" t="str">
        <f aca="false">IF(I346&gt;0,"Actual above budget",IF(I346&lt;0,"Actual below budget","On budget"))</f>
        <v>Actual above budget</v>
      </c>
    </row>
    <row r="347" customFormat="false" ht="15" hidden="false" customHeight="false" outlineLevel="0" collapsed="false">
      <c r="A347" s="23" t="s">
        <v>217</v>
      </c>
      <c r="B347" s="23" t="s">
        <v>172</v>
      </c>
      <c r="C347" s="23" t="s">
        <v>195</v>
      </c>
      <c r="D347" s="34" t="n">
        <v>5300</v>
      </c>
      <c r="E347" s="23" t="s">
        <v>353</v>
      </c>
      <c r="F347" s="37" t="n">
        <v>45</v>
      </c>
      <c r="G347" s="37" t="n">
        <v>1501463.5062</v>
      </c>
      <c r="H347" s="37" t="n">
        <v>1773609.5367</v>
      </c>
      <c r="I347" s="38" t="n">
        <f aca="false">G347-H347</f>
        <v>-272146.030500001</v>
      </c>
      <c r="J347" s="45" t="n">
        <v>-0.153441907516103</v>
      </c>
      <c r="K347" s="45" t="n">
        <v>0.042157945345163</v>
      </c>
      <c r="L347" s="46" t="str">
        <f aca="false">IF(I347&gt;0,"Actual above budget",IF(I347&lt;0,"Actual below budget","On budget"))</f>
        <v>Actual below budget</v>
      </c>
    </row>
    <row r="348" customFormat="false" ht="15" hidden="false" customHeight="false" outlineLevel="0" collapsed="false">
      <c r="A348" s="23" t="s">
        <v>217</v>
      </c>
      <c r="B348" s="23" t="s">
        <v>225</v>
      </c>
      <c r="C348" s="23" t="s">
        <v>201</v>
      </c>
      <c r="D348" s="34" t="n">
        <v>6100</v>
      </c>
      <c r="E348" s="23" t="s">
        <v>203</v>
      </c>
      <c r="F348" s="37" t="n">
        <v>150</v>
      </c>
      <c r="G348" s="37" t="n">
        <v>2382071.3008</v>
      </c>
      <c r="H348" s="37" t="n">
        <v>2822609.4411</v>
      </c>
      <c r="I348" s="38" t="n">
        <f aca="false">G348-H348</f>
        <v>-440538.140300001</v>
      </c>
      <c r="J348" s="45" t="n">
        <v>-0.156074777433012</v>
      </c>
      <c r="K348" s="45" t="n">
        <v>0.205380658281459</v>
      </c>
      <c r="L348" s="46" t="str">
        <f aca="false">IF(I348&gt;0,"Actual above budget",IF(I348&lt;0,"Actual below budget","On budget"))</f>
        <v>Actual below budget</v>
      </c>
    </row>
    <row r="349" customFormat="false" ht="15" hidden="false" customHeight="false" outlineLevel="0" collapsed="false">
      <c r="A349" s="23" t="s">
        <v>217</v>
      </c>
      <c r="B349" s="23" t="s">
        <v>225</v>
      </c>
      <c r="C349" s="23" t="s">
        <v>201</v>
      </c>
      <c r="D349" s="34" t="n">
        <v>6110</v>
      </c>
      <c r="E349" s="23" t="s">
        <v>354</v>
      </c>
      <c r="F349" s="37" t="n">
        <v>184</v>
      </c>
      <c r="G349" s="37" t="n">
        <v>548020.5428</v>
      </c>
      <c r="H349" s="37" t="n">
        <v>471185.605</v>
      </c>
      <c r="I349" s="38" t="n">
        <f aca="false">G349-H349</f>
        <v>76834.9378000002</v>
      </c>
      <c r="J349" s="45" t="n">
        <v>0.163067243533469</v>
      </c>
      <c r="K349" s="45" t="n">
        <v>0.0358207579793947</v>
      </c>
      <c r="L349" s="46" t="str">
        <f aca="false">IF(I349&gt;0,"Actual above budget",IF(I349&lt;0,"Actual below budget","On budget"))</f>
        <v>Actual above budget</v>
      </c>
    </row>
    <row r="350" customFormat="false" ht="15" hidden="false" customHeight="false" outlineLevel="0" collapsed="false">
      <c r="A350" s="23" t="s">
        <v>217</v>
      </c>
      <c r="B350" s="23" t="s">
        <v>225</v>
      </c>
      <c r="C350" s="23" t="s">
        <v>201</v>
      </c>
      <c r="D350" s="34" t="n">
        <v>6120</v>
      </c>
      <c r="E350" s="23" t="s">
        <v>355</v>
      </c>
      <c r="F350" s="37" t="n">
        <v>155</v>
      </c>
      <c r="G350" s="37" t="n">
        <v>652972.834</v>
      </c>
      <c r="H350" s="37" t="n">
        <v>606095.8482</v>
      </c>
      <c r="I350" s="38" t="n">
        <f aca="false">G350-H350</f>
        <v>46876.9857999997</v>
      </c>
      <c r="J350" s="45" t="n">
        <v>0.0773425291382816</v>
      </c>
      <c r="K350" s="45" t="n">
        <v>0.0218542398969096</v>
      </c>
      <c r="L350" s="46" t="str">
        <f aca="false">IF(I350&gt;0,"Actual above budget",IF(I350&lt;0,"Actual below budget","On budget"))</f>
        <v>Actual above budget</v>
      </c>
    </row>
    <row r="351" customFormat="false" ht="15" hidden="false" customHeight="false" outlineLevel="0" collapsed="false">
      <c r="A351" s="23" t="s">
        <v>217</v>
      </c>
      <c r="B351" s="23" t="s">
        <v>225</v>
      </c>
      <c r="C351" s="23" t="s">
        <v>200</v>
      </c>
      <c r="D351" s="34" t="n">
        <v>6100</v>
      </c>
      <c r="E351" s="23" t="s">
        <v>203</v>
      </c>
      <c r="F351" s="37" t="n">
        <v>171</v>
      </c>
      <c r="G351" s="37" t="n">
        <v>4643352.021</v>
      </c>
      <c r="H351" s="37" t="n">
        <v>4559789.5907</v>
      </c>
      <c r="I351" s="38" t="n">
        <f aca="false">G351-H351</f>
        <v>83562.4302999992</v>
      </c>
      <c r="J351" s="45" t="n">
        <v>0.0183259399667106</v>
      </c>
      <c r="K351" s="45" t="n">
        <v>0.0389571421237793</v>
      </c>
      <c r="L351" s="46" t="str">
        <f aca="false">IF(I351&gt;0,"Actual above budget",IF(I351&lt;0,"Actual below budget","On budget"))</f>
        <v>Actual above budget</v>
      </c>
    </row>
    <row r="352" customFormat="false" ht="15" hidden="false" customHeight="false" outlineLevel="0" collapsed="false">
      <c r="A352" s="23" t="s">
        <v>217</v>
      </c>
      <c r="B352" s="23" t="s">
        <v>225</v>
      </c>
      <c r="C352" s="23" t="s">
        <v>200</v>
      </c>
      <c r="D352" s="34" t="n">
        <v>6110</v>
      </c>
      <c r="E352" s="23" t="s">
        <v>354</v>
      </c>
      <c r="F352" s="37" t="n">
        <v>172</v>
      </c>
      <c r="G352" s="37" t="n">
        <v>741435.4071</v>
      </c>
      <c r="H352" s="37" t="n">
        <v>690118.1262</v>
      </c>
      <c r="I352" s="38" t="n">
        <f aca="false">G352-H352</f>
        <v>51317.2808999999</v>
      </c>
      <c r="J352" s="45" t="n">
        <v>0.0743601406074762</v>
      </c>
      <c r="K352" s="45" t="n">
        <v>0.0239243233861187</v>
      </c>
      <c r="L352" s="46" t="str">
        <f aca="false">IF(I352&gt;0,"Actual above budget",IF(I352&lt;0,"Actual below budget","On budget"))</f>
        <v>Actual above budget</v>
      </c>
    </row>
    <row r="353" customFormat="false" ht="15" hidden="false" customHeight="false" outlineLevel="0" collapsed="false">
      <c r="A353" s="23" t="s">
        <v>217</v>
      </c>
      <c r="B353" s="23" t="s">
        <v>225</v>
      </c>
      <c r="C353" s="23" t="s">
        <v>200</v>
      </c>
      <c r="D353" s="34" t="n">
        <v>6120</v>
      </c>
      <c r="E353" s="23" t="s">
        <v>355</v>
      </c>
      <c r="F353" s="37" t="n">
        <v>171</v>
      </c>
      <c r="G353" s="37" t="n">
        <v>917531.5167</v>
      </c>
      <c r="H353" s="37" t="n">
        <v>985533.7555</v>
      </c>
      <c r="I353" s="38" t="n">
        <f aca="false">G353-H353</f>
        <v>-68002.2387999999</v>
      </c>
      <c r="J353" s="45" t="n">
        <v>-0.0690004156838847</v>
      </c>
      <c r="K353" s="45" t="n">
        <v>0.031702918071625</v>
      </c>
      <c r="L353" s="46" t="str">
        <f aca="false">IF(I353&gt;0,"Actual above budget",IF(I353&lt;0,"Actual below budget","On budget"))</f>
        <v>Actual below budget</v>
      </c>
    </row>
    <row r="354" customFormat="false" ht="15" hidden="false" customHeight="false" outlineLevel="0" collapsed="false">
      <c r="A354" s="23" t="s">
        <v>217</v>
      </c>
      <c r="B354" s="23" t="s">
        <v>225</v>
      </c>
      <c r="C354" s="23" t="s">
        <v>202</v>
      </c>
      <c r="D354" s="34" t="n">
        <v>6100</v>
      </c>
      <c r="E354" s="23" t="s">
        <v>203</v>
      </c>
      <c r="F354" s="37" t="n">
        <v>188</v>
      </c>
      <c r="G354" s="37" t="n">
        <v>2831859.7752</v>
      </c>
      <c r="H354" s="37" t="n">
        <v>2991018.251</v>
      </c>
      <c r="I354" s="38" t="n">
        <f aca="false">G354-H354</f>
        <v>-159158.475800002</v>
      </c>
      <c r="J354" s="45" t="n">
        <v>-0.0532121379556236</v>
      </c>
      <c r="K354" s="45" t="n">
        <v>0.074200323514821</v>
      </c>
      <c r="L354" s="46" t="str">
        <f aca="false">IF(I354&gt;0,"Actual above budget",IF(I354&lt;0,"Actual below budget","On budget"))</f>
        <v>Actual below budget</v>
      </c>
    </row>
    <row r="355" customFormat="false" ht="15" hidden="false" customHeight="false" outlineLevel="0" collapsed="false">
      <c r="A355" s="23" t="s">
        <v>217</v>
      </c>
      <c r="B355" s="23" t="s">
        <v>225</v>
      </c>
      <c r="C355" s="23" t="s">
        <v>202</v>
      </c>
      <c r="D355" s="34" t="n">
        <v>6110</v>
      </c>
      <c r="E355" s="23" t="s">
        <v>354</v>
      </c>
      <c r="F355" s="37" t="n">
        <v>192</v>
      </c>
      <c r="G355" s="37" t="n">
        <v>550508.5173</v>
      </c>
      <c r="H355" s="37" t="n">
        <v>527573.4732</v>
      </c>
      <c r="I355" s="38" t="n">
        <f aca="false">G355-H355</f>
        <v>22935.0441000003</v>
      </c>
      <c r="J355" s="45" t="n">
        <v>0.0434727014625799</v>
      </c>
      <c r="K355" s="45" t="n">
        <v>0.0106924100868192</v>
      </c>
      <c r="L355" s="46" t="str">
        <f aca="false">IF(I355&gt;0,"Actual above budget",IF(I355&lt;0,"Actual below budget","On budget"))</f>
        <v>Actual above budget</v>
      </c>
    </row>
    <row r="356" customFormat="false" ht="15" hidden="false" customHeight="false" outlineLevel="0" collapsed="false">
      <c r="A356" s="23" t="s">
        <v>217</v>
      </c>
      <c r="B356" s="23" t="s">
        <v>225</v>
      </c>
      <c r="C356" s="23" t="s">
        <v>202</v>
      </c>
      <c r="D356" s="34" t="n">
        <v>6120</v>
      </c>
      <c r="E356" s="23" t="s">
        <v>355</v>
      </c>
      <c r="F356" s="37" t="n">
        <v>169</v>
      </c>
      <c r="G356" s="37" t="n">
        <v>672823.5653</v>
      </c>
      <c r="H356" s="37" t="n">
        <v>680319.8418</v>
      </c>
      <c r="I356" s="38" t="n">
        <f aca="false">G356-H356</f>
        <v>-7496.27650000027</v>
      </c>
      <c r="J356" s="45" t="n">
        <v>-0.011018753297223</v>
      </c>
      <c r="K356" s="45" t="n">
        <v>0.0034947943467083</v>
      </c>
      <c r="L356" s="46" t="str">
        <f aca="false">IF(I356&gt;0,"Actual above budget",IF(I356&lt;0,"Actual below budget","On budget"))</f>
        <v>Actual below budget</v>
      </c>
    </row>
    <row r="357" customFormat="false" ht="15" hidden="false" customHeight="false" outlineLevel="0" collapsed="false">
      <c r="A357" s="23" t="s">
        <v>217</v>
      </c>
      <c r="B357" s="23" t="s">
        <v>225</v>
      </c>
      <c r="C357" s="23" t="s">
        <v>197</v>
      </c>
      <c r="D357" s="34" t="n">
        <v>6100</v>
      </c>
      <c r="E357" s="23" t="s">
        <v>203</v>
      </c>
      <c r="F357" s="37" t="n">
        <v>168</v>
      </c>
      <c r="G357" s="37" t="n">
        <v>5784386.1043</v>
      </c>
      <c r="H357" s="37" t="n">
        <v>5893632.0109</v>
      </c>
      <c r="I357" s="38" t="n">
        <f aca="false">G357-H357</f>
        <v>-109245.906599997</v>
      </c>
      <c r="J357" s="45" t="n">
        <v>-0.018536261917601</v>
      </c>
      <c r="K357" s="45" t="n">
        <v>0.0509308823903044</v>
      </c>
      <c r="L357" s="46" t="str">
        <f aca="false">IF(I357&gt;0,"Actual above budget",IF(I357&lt;0,"Actual below budget","On budget"))</f>
        <v>Actual below budget</v>
      </c>
    </row>
    <row r="358" customFormat="false" ht="15" hidden="false" customHeight="false" outlineLevel="0" collapsed="false">
      <c r="A358" s="23" t="s">
        <v>217</v>
      </c>
      <c r="B358" s="23" t="s">
        <v>225</v>
      </c>
      <c r="C358" s="23" t="s">
        <v>197</v>
      </c>
      <c r="D358" s="34" t="n">
        <v>6110</v>
      </c>
      <c r="E358" s="23" t="s">
        <v>354</v>
      </c>
      <c r="F358" s="37" t="n">
        <v>172</v>
      </c>
      <c r="G358" s="37" t="n">
        <v>1003971.866</v>
      </c>
      <c r="H358" s="37" t="n">
        <v>898535.7356</v>
      </c>
      <c r="I358" s="38" t="n">
        <f aca="false">G358-H358</f>
        <v>105436.1304</v>
      </c>
      <c r="J358" s="45" t="n">
        <v>0.117342167064279</v>
      </c>
      <c r="K358" s="45" t="n">
        <v>0.0491547493559929</v>
      </c>
      <c r="L358" s="46" t="str">
        <f aca="false">IF(I358&gt;0,"Actual above budget",IF(I358&lt;0,"Actual below budget","On budget"))</f>
        <v>Actual above budget</v>
      </c>
    </row>
    <row r="359" customFormat="false" ht="15" hidden="false" customHeight="false" outlineLevel="0" collapsed="false">
      <c r="A359" s="23" t="s">
        <v>217</v>
      </c>
      <c r="B359" s="23" t="s">
        <v>225</v>
      </c>
      <c r="C359" s="23" t="s">
        <v>197</v>
      </c>
      <c r="D359" s="34" t="n">
        <v>6120</v>
      </c>
      <c r="E359" s="23" t="s">
        <v>355</v>
      </c>
      <c r="F359" s="37" t="n">
        <v>182</v>
      </c>
      <c r="G359" s="37" t="n">
        <v>1547576.1861</v>
      </c>
      <c r="H359" s="37" t="n">
        <v>1515288.8971</v>
      </c>
      <c r="I359" s="38" t="n">
        <f aca="false">G359-H359</f>
        <v>32287.2889999994</v>
      </c>
      <c r="J359" s="45" t="n">
        <v>0.0213076787283219</v>
      </c>
      <c r="K359" s="45" t="n">
        <v>0.0150524643891854</v>
      </c>
      <c r="L359" s="46" t="str">
        <f aca="false">IF(I359&gt;0,"Actual above budget",IF(I359&lt;0,"Actual below budget","On budget"))</f>
        <v>Actual above budget</v>
      </c>
    </row>
    <row r="360" customFormat="false" ht="15" hidden="false" customHeight="false" outlineLevel="0" collapsed="false">
      <c r="A360" s="23" t="s">
        <v>217</v>
      </c>
      <c r="B360" s="23" t="s">
        <v>225</v>
      </c>
      <c r="C360" s="23" t="s">
        <v>199</v>
      </c>
      <c r="D360" s="34" t="n">
        <v>6100</v>
      </c>
      <c r="E360" s="23" t="s">
        <v>203</v>
      </c>
      <c r="F360" s="37" t="n">
        <v>173</v>
      </c>
      <c r="G360" s="37" t="n">
        <v>4057579.7728</v>
      </c>
      <c r="H360" s="37" t="n">
        <v>4317582.5727</v>
      </c>
      <c r="I360" s="38" t="n">
        <f aca="false">G360-H360</f>
        <v>-260002.799899996</v>
      </c>
      <c r="J360" s="45" t="n">
        <v>-0.0602195315369285</v>
      </c>
      <c r="K360" s="45" t="n">
        <v>0.12121435424892</v>
      </c>
      <c r="L360" s="46" t="str">
        <f aca="false">IF(I360&gt;0,"Actual above budget",IF(I360&lt;0,"Actual below budget","On budget"))</f>
        <v>Actual below budget</v>
      </c>
    </row>
    <row r="361" customFormat="false" ht="15" hidden="false" customHeight="false" outlineLevel="0" collapsed="false">
      <c r="A361" s="23" t="s">
        <v>217</v>
      </c>
      <c r="B361" s="23" t="s">
        <v>225</v>
      </c>
      <c r="C361" s="23" t="s">
        <v>199</v>
      </c>
      <c r="D361" s="34" t="n">
        <v>6110</v>
      </c>
      <c r="E361" s="23" t="s">
        <v>354</v>
      </c>
      <c r="F361" s="37" t="n">
        <v>180</v>
      </c>
      <c r="G361" s="37" t="n">
        <v>719483.122</v>
      </c>
      <c r="H361" s="37" t="n">
        <v>652986.1343</v>
      </c>
      <c r="I361" s="38" t="n">
        <f aca="false">G361-H361</f>
        <v>66496.9876999992</v>
      </c>
      <c r="J361" s="45" t="n">
        <v>0.10183522161812</v>
      </c>
      <c r="K361" s="45" t="n">
        <v>0.0310011639361344</v>
      </c>
      <c r="L361" s="46" t="str">
        <f aca="false">IF(I361&gt;0,"Actual above budget",IF(I361&lt;0,"Actual below budget","On budget"))</f>
        <v>Actual above budget</v>
      </c>
    </row>
    <row r="362" customFormat="false" ht="15" hidden="false" customHeight="false" outlineLevel="0" collapsed="false">
      <c r="A362" s="23" t="s">
        <v>217</v>
      </c>
      <c r="B362" s="23" t="s">
        <v>225</v>
      </c>
      <c r="C362" s="23" t="s">
        <v>199</v>
      </c>
      <c r="D362" s="34" t="n">
        <v>6120</v>
      </c>
      <c r="E362" s="23" t="s">
        <v>355</v>
      </c>
      <c r="F362" s="37" t="n">
        <v>167</v>
      </c>
      <c r="G362" s="37" t="n">
        <v>883000.0845</v>
      </c>
      <c r="H362" s="37" t="n">
        <v>885094.0813</v>
      </c>
      <c r="I362" s="38" t="n">
        <f aca="false">G362-H362</f>
        <v>-2093.99679999962</v>
      </c>
      <c r="J362" s="45" t="n">
        <v>-0.00236584657410025</v>
      </c>
      <c r="K362" s="45" t="n">
        <v>0.000976229756021583</v>
      </c>
      <c r="L362" s="46" t="str">
        <f aca="false">IF(I362&gt;0,"Actual above budget",IF(I362&lt;0,"Actual below budget","On budget"))</f>
        <v>Actual below budget</v>
      </c>
    </row>
    <row r="363" customFormat="false" ht="15" hidden="false" customHeight="false" outlineLevel="0" collapsed="false">
      <c r="A363" s="23" t="s">
        <v>217</v>
      </c>
      <c r="B363" s="23" t="s">
        <v>225</v>
      </c>
      <c r="C363" s="23" t="s">
        <v>195</v>
      </c>
      <c r="D363" s="34" t="n">
        <v>6100</v>
      </c>
      <c r="E363" s="23" t="s">
        <v>203</v>
      </c>
      <c r="F363" s="37" t="n">
        <v>157</v>
      </c>
      <c r="G363" s="37" t="n">
        <v>6312761.4036</v>
      </c>
      <c r="H363" s="37" t="n">
        <v>5963102.4699</v>
      </c>
      <c r="I363" s="38" t="n">
        <f aca="false">G363-H363</f>
        <v>349658.933700002</v>
      </c>
      <c r="J363" s="45" t="n">
        <v>0.0586370828717058</v>
      </c>
      <c r="K363" s="45" t="n">
        <v>0.163012405528373</v>
      </c>
      <c r="L363" s="46" t="str">
        <f aca="false">IF(I363&gt;0,"Actual above budget",IF(I363&lt;0,"Actual below budget","On budget"))</f>
        <v>Actual above budget</v>
      </c>
    </row>
    <row r="364" customFormat="false" ht="15" hidden="false" customHeight="false" outlineLevel="0" collapsed="false">
      <c r="A364" s="23" t="s">
        <v>217</v>
      </c>
      <c r="B364" s="23" t="s">
        <v>225</v>
      </c>
      <c r="C364" s="23" t="s">
        <v>195</v>
      </c>
      <c r="D364" s="34" t="n">
        <v>6110</v>
      </c>
      <c r="E364" s="23" t="s">
        <v>354</v>
      </c>
      <c r="F364" s="37" t="n">
        <v>179</v>
      </c>
      <c r="G364" s="37" t="n">
        <v>1047777.8627</v>
      </c>
      <c r="H364" s="37" t="n">
        <v>1054009.9519</v>
      </c>
      <c r="I364" s="38" t="n">
        <f aca="false">G364-H364</f>
        <v>-6232.08920000016</v>
      </c>
      <c r="J364" s="45" t="n">
        <v>-0.00591274227417472</v>
      </c>
      <c r="K364" s="45" t="n">
        <v>0.00290542512730712</v>
      </c>
      <c r="L364" s="46" t="str">
        <f aca="false">IF(I364&gt;0,"Actual above budget",IF(I364&lt;0,"Actual below budget","On budget"))</f>
        <v>Actual below budget</v>
      </c>
    </row>
    <row r="365" customFormat="false" ht="15" hidden="false" customHeight="false" outlineLevel="0" collapsed="false">
      <c r="A365" s="23" t="s">
        <v>217</v>
      </c>
      <c r="B365" s="23" t="s">
        <v>225</v>
      </c>
      <c r="C365" s="23" t="s">
        <v>195</v>
      </c>
      <c r="D365" s="34" t="n">
        <v>6120</v>
      </c>
      <c r="E365" s="23" t="s">
        <v>355</v>
      </c>
      <c r="F365" s="37" t="n">
        <v>171</v>
      </c>
      <c r="G365" s="37" t="n">
        <v>1825955.7594</v>
      </c>
      <c r="H365" s="37" t="n">
        <v>1569148.1199</v>
      </c>
      <c r="I365" s="38" t="n">
        <f aca="false">G365-H365</f>
        <v>256807.6395</v>
      </c>
      <c r="J365" s="45" t="n">
        <v>0.163660546919156</v>
      </c>
      <c r="K365" s="45" t="n">
        <v>0.119724757580127</v>
      </c>
      <c r="L365" s="46" t="str">
        <f aca="false">IF(I365&gt;0,"Actual above budget",IF(I365&lt;0,"Actual below budget","On budget"))</f>
        <v>Actual above budget</v>
      </c>
    </row>
    <row r="366" customFormat="false" ht="15" hidden="false" customHeight="false" outlineLevel="0" collapsed="false">
      <c r="A366" s="23" t="s">
        <v>217</v>
      </c>
      <c r="B366" s="23" t="s">
        <v>226</v>
      </c>
      <c r="C366" s="23" t="s">
        <v>201</v>
      </c>
      <c r="D366" s="34" t="n">
        <v>6200</v>
      </c>
      <c r="E366" s="23" t="s">
        <v>356</v>
      </c>
      <c r="F366" s="37" t="n">
        <v>164</v>
      </c>
      <c r="G366" s="37" t="n">
        <v>260592.9862</v>
      </c>
      <c r="H366" s="37" t="n">
        <v>253080.0284</v>
      </c>
      <c r="I366" s="38" t="n">
        <f aca="false">G366-H366</f>
        <v>7512.95780000015</v>
      </c>
      <c r="J366" s="45" t="n">
        <v>0.0296860951355891</v>
      </c>
      <c r="K366" s="45" t="n">
        <v>0.00234682095445283</v>
      </c>
      <c r="L366" s="46" t="str">
        <f aca="false">IF(I366&gt;0,"Actual above budget",IF(I366&lt;0,"Actual below budget","On budget"))</f>
        <v>Actual above budget</v>
      </c>
    </row>
    <row r="367" customFormat="false" ht="15" hidden="false" customHeight="false" outlineLevel="0" collapsed="false">
      <c r="A367" s="23" t="s">
        <v>217</v>
      </c>
      <c r="B367" s="23" t="s">
        <v>226</v>
      </c>
      <c r="C367" s="23" t="s">
        <v>201</v>
      </c>
      <c r="D367" s="34" t="n">
        <v>6210</v>
      </c>
      <c r="E367" s="23" t="s">
        <v>357</v>
      </c>
      <c r="F367" s="37" t="n">
        <v>169</v>
      </c>
      <c r="G367" s="37" t="n">
        <v>988604.1495</v>
      </c>
      <c r="H367" s="37" t="n">
        <v>945532.8135</v>
      </c>
      <c r="I367" s="38" t="n">
        <f aca="false">G367-H367</f>
        <v>43071.3360000001</v>
      </c>
      <c r="J367" s="45" t="n">
        <v>0.0455524497775666</v>
      </c>
      <c r="K367" s="45" t="n">
        <v>0.0134541836320548</v>
      </c>
      <c r="L367" s="46" t="str">
        <f aca="false">IF(I367&gt;0,"Actual above budget",IF(I367&lt;0,"Actual below budget","On budget"))</f>
        <v>Actual above budget</v>
      </c>
    </row>
    <row r="368" customFormat="false" ht="15" hidden="false" customHeight="false" outlineLevel="0" collapsed="false">
      <c r="A368" s="23" t="s">
        <v>217</v>
      </c>
      <c r="B368" s="23" t="s">
        <v>226</v>
      </c>
      <c r="C368" s="23" t="s">
        <v>201</v>
      </c>
      <c r="D368" s="34" t="n">
        <v>6220</v>
      </c>
      <c r="E368" s="23" t="s">
        <v>358</v>
      </c>
      <c r="F368" s="37" t="n">
        <v>178</v>
      </c>
      <c r="G368" s="37" t="n">
        <v>1030251.7919</v>
      </c>
      <c r="H368" s="37" t="n">
        <v>1051629.9444</v>
      </c>
      <c r="I368" s="38" t="n">
        <f aca="false">G368-H368</f>
        <v>-21378.1525000004</v>
      </c>
      <c r="J368" s="45" t="n">
        <v>-0.0203285886008097</v>
      </c>
      <c r="K368" s="45" t="n">
        <v>0.00667788873437944</v>
      </c>
      <c r="L368" s="46" t="str">
        <f aca="false">IF(I368&gt;0,"Actual above budget",IF(I368&lt;0,"Actual below budget","On budget"))</f>
        <v>Actual below budget</v>
      </c>
    </row>
    <row r="369" customFormat="false" ht="15" hidden="false" customHeight="false" outlineLevel="0" collapsed="false">
      <c r="A369" s="23" t="s">
        <v>217</v>
      </c>
      <c r="B369" s="23" t="s">
        <v>226</v>
      </c>
      <c r="C369" s="23" t="s">
        <v>201</v>
      </c>
      <c r="D369" s="34" t="n">
        <v>6230</v>
      </c>
      <c r="E369" s="23" t="s">
        <v>359</v>
      </c>
      <c r="F369" s="37" t="n">
        <v>161</v>
      </c>
      <c r="G369" s="37" t="n">
        <v>614275.1908</v>
      </c>
      <c r="H369" s="37" t="n">
        <v>602728.9451</v>
      </c>
      <c r="I369" s="38" t="n">
        <f aca="false">G369-H369</f>
        <v>11546.2457</v>
      </c>
      <c r="J369" s="45" t="n">
        <v>0.019156613920515</v>
      </c>
      <c r="K369" s="45" t="n">
        <v>0.00360669819734924</v>
      </c>
      <c r="L369" s="46" t="str">
        <f aca="false">IF(I369&gt;0,"Actual above budget",IF(I369&lt;0,"Actual below budget","On budget"))</f>
        <v>Actual above budget</v>
      </c>
    </row>
    <row r="370" customFormat="false" ht="15" hidden="false" customHeight="false" outlineLevel="0" collapsed="false">
      <c r="A370" s="23" t="s">
        <v>217</v>
      </c>
      <c r="B370" s="23" t="s">
        <v>226</v>
      </c>
      <c r="C370" s="23" t="s">
        <v>201</v>
      </c>
      <c r="D370" s="34" t="n">
        <v>6240</v>
      </c>
      <c r="E370" s="23" t="s">
        <v>360</v>
      </c>
      <c r="F370" s="37" t="n">
        <v>175</v>
      </c>
      <c r="G370" s="37" t="n">
        <v>347499.5682</v>
      </c>
      <c r="H370" s="37" t="n">
        <v>348919.9485</v>
      </c>
      <c r="I370" s="38" t="n">
        <f aca="false">G370-H370</f>
        <v>-1420.38030000002</v>
      </c>
      <c r="J370" s="45" t="n">
        <v>-0.00407079132650966</v>
      </c>
      <c r="K370" s="45" t="n">
        <v>0.000443683877917163</v>
      </c>
      <c r="L370" s="46" t="str">
        <f aca="false">IF(I370&gt;0,"Actual above budget",IF(I370&lt;0,"Actual below budget","On budget"))</f>
        <v>Actual below budget</v>
      </c>
    </row>
    <row r="371" customFormat="false" ht="15" hidden="false" customHeight="false" outlineLevel="0" collapsed="false">
      <c r="A371" s="23" t="s">
        <v>217</v>
      </c>
      <c r="B371" s="23" t="s">
        <v>226</v>
      </c>
      <c r="C371" s="23" t="s">
        <v>201</v>
      </c>
      <c r="D371" s="34" t="n">
        <v>6250</v>
      </c>
      <c r="E371" s="23" t="s">
        <v>361</v>
      </c>
      <c r="F371" s="37" t="n">
        <v>148</v>
      </c>
      <c r="G371" s="37" t="n">
        <v>361580.6498</v>
      </c>
      <c r="H371" s="37" t="n">
        <v>330235.84</v>
      </c>
      <c r="I371" s="38" t="n">
        <f aca="false">G371-H371</f>
        <v>31344.8098000002</v>
      </c>
      <c r="J371" s="45" t="n">
        <v>0.0949164385064929</v>
      </c>
      <c r="K371" s="45" t="n">
        <v>0.0097911712550786</v>
      </c>
      <c r="L371" s="46" t="str">
        <f aca="false">IF(I371&gt;0,"Actual above budget",IF(I371&lt;0,"Actual below budget","On budget"))</f>
        <v>Actual above budget</v>
      </c>
    </row>
    <row r="372" customFormat="false" ht="15" hidden="false" customHeight="false" outlineLevel="0" collapsed="false">
      <c r="A372" s="23" t="s">
        <v>217</v>
      </c>
      <c r="B372" s="23" t="s">
        <v>226</v>
      </c>
      <c r="C372" s="23" t="s">
        <v>201</v>
      </c>
      <c r="D372" s="34" t="n">
        <v>6260</v>
      </c>
      <c r="E372" s="23" t="s">
        <v>362</v>
      </c>
      <c r="F372" s="37" t="n">
        <v>166</v>
      </c>
      <c r="G372" s="37" t="n">
        <v>429483.0088</v>
      </c>
      <c r="H372" s="37" t="n">
        <v>378008.0229</v>
      </c>
      <c r="I372" s="38" t="n">
        <f aca="false">G372-H372</f>
        <v>51474.9859000004</v>
      </c>
      <c r="J372" s="45" t="n">
        <v>0.136174321129733</v>
      </c>
      <c r="K372" s="45" t="n">
        <v>0.0160792298793804</v>
      </c>
      <c r="L372" s="46" t="str">
        <f aca="false">IF(I372&gt;0,"Actual above budget",IF(I372&lt;0,"Actual below budget","On budget"))</f>
        <v>Actual above budget</v>
      </c>
    </row>
    <row r="373" customFormat="false" ht="15" hidden="false" customHeight="false" outlineLevel="0" collapsed="false">
      <c r="A373" s="23" t="s">
        <v>217</v>
      </c>
      <c r="B373" s="23" t="s">
        <v>226</v>
      </c>
      <c r="C373" s="23" t="s">
        <v>201</v>
      </c>
      <c r="D373" s="34" t="n">
        <v>6270</v>
      </c>
      <c r="E373" s="23" t="s">
        <v>363</v>
      </c>
      <c r="F373" s="37" t="n">
        <v>172</v>
      </c>
      <c r="G373" s="37" t="n">
        <v>174575.6513</v>
      </c>
      <c r="H373" s="37" t="n">
        <v>189893.8104</v>
      </c>
      <c r="I373" s="38" t="n">
        <f aca="false">G373-H373</f>
        <v>-15318.1590999999</v>
      </c>
      <c r="J373" s="45" t="n">
        <v>-0.0806669741774796</v>
      </c>
      <c r="K373" s="45" t="n">
        <v>0.00478492994590258</v>
      </c>
      <c r="L373" s="46" t="str">
        <f aca="false">IF(I373&gt;0,"Actual above budget",IF(I373&lt;0,"Actual below budget","On budget"))</f>
        <v>Actual below budget</v>
      </c>
    </row>
    <row r="374" customFormat="false" ht="15" hidden="false" customHeight="false" outlineLevel="0" collapsed="false">
      <c r="A374" s="23" t="s">
        <v>217</v>
      </c>
      <c r="B374" s="23" t="s">
        <v>226</v>
      </c>
      <c r="C374" s="23" t="s">
        <v>200</v>
      </c>
      <c r="D374" s="34" t="n">
        <v>6200</v>
      </c>
      <c r="E374" s="23" t="s">
        <v>356</v>
      </c>
      <c r="F374" s="37" t="n">
        <v>174</v>
      </c>
      <c r="G374" s="37" t="n">
        <v>405404.1612</v>
      </c>
      <c r="H374" s="37" t="n">
        <v>408393.8852</v>
      </c>
      <c r="I374" s="38" t="n">
        <f aca="false">G374-H374</f>
        <v>-2989.72399999993</v>
      </c>
      <c r="J374" s="45" t="n">
        <v>-0.00732068747438731</v>
      </c>
      <c r="K374" s="45" t="n">
        <v>0.000933899419910299</v>
      </c>
      <c r="L374" s="46" t="str">
        <f aca="false">IF(I374&gt;0,"Actual above budget",IF(I374&lt;0,"Actual below budget","On budget"))</f>
        <v>Actual below budget</v>
      </c>
    </row>
    <row r="375" customFormat="false" ht="15" hidden="false" customHeight="false" outlineLevel="0" collapsed="false">
      <c r="A375" s="23" t="s">
        <v>217</v>
      </c>
      <c r="B375" s="23" t="s">
        <v>226</v>
      </c>
      <c r="C375" s="23" t="s">
        <v>200</v>
      </c>
      <c r="D375" s="34" t="n">
        <v>6210</v>
      </c>
      <c r="E375" s="23" t="s">
        <v>357</v>
      </c>
      <c r="F375" s="37" t="n">
        <v>173</v>
      </c>
      <c r="G375" s="37" t="n">
        <v>1370988.3254</v>
      </c>
      <c r="H375" s="37" t="n">
        <v>1337369.6438</v>
      </c>
      <c r="I375" s="38" t="n">
        <f aca="false">G375-H375</f>
        <v>33618.6816000007</v>
      </c>
      <c r="J375" s="45" t="n">
        <v>0.0251379128843361</v>
      </c>
      <c r="K375" s="45" t="n">
        <v>0.0105014600827331</v>
      </c>
      <c r="L375" s="46" t="str">
        <f aca="false">IF(I375&gt;0,"Actual above budget",IF(I375&lt;0,"Actual below budget","On budget"))</f>
        <v>Actual above budget</v>
      </c>
    </row>
    <row r="376" customFormat="false" ht="15" hidden="false" customHeight="false" outlineLevel="0" collapsed="false">
      <c r="A376" s="23" t="s">
        <v>217</v>
      </c>
      <c r="B376" s="23" t="s">
        <v>226</v>
      </c>
      <c r="C376" s="23" t="s">
        <v>200</v>
      </c>
      <c r="D376" s="34" t="n">
        <v>6220</v>
      </c>
      <c r="E376" s="23" t="s">
        <v>358</v>
      </c>
      <c r="F376" s="37" t="n">
        <v>168</v>
      </c>
      <c r="G376" s="37" t="n">
        <v>1291295.7961</v>
      </c>
      <c r="H376" s="37" t="n">
        <v>1496911.0331</v>
      </c>
      <c r="I376" s="38" t="n">
        <f aca="false">G376-H376</f>
        <v>-205615.237</v>
      </c>
      <c r="J376" s="45" t="n">
        <v>-0.137359691025982</v>
      </c>
      <c r="K376" s="45" t="n">
        <v>0.0642279857802989</v>
      </c>
      <c r="L376" s="46" t="str">
        <f aca="false">IF(I376&gt;0,"Actual above budget",IF(I376&lt;0,"Actual below budget","On budget"))</f>
        <v>Actual below budget</v>
      </c>
    </row>
    <row r="377" customFormat="false" ht="15" hidden="false" customHeight="false" outlineLevel="0" collapsed="false">
      <c r="A377" s="23" t="s">
        <v>217</v>
      </c>
      <c r="B377" s="23" t="s">
        <v>226</v>
      </c>
      <c r="C377" s="23" t="s">
        <v>200</v>
      </c>
      <c r="D377" s="34" t="n">
        <v>6230</v>
      </c>
      <c r="E377" s="23" t="s">
        <v>359</v>
      </c>
      <c r="F377" s="37" t="n">
        <v>187</v>
      </c>
      <c r="G377" s="37" t="n">
        <v>1215931.2042</v>
      </c>
      <c r="H377" s="37" t="n">
        <v>1069701.3156</v>
      </c>
      <c r="I377" s="38" t="n">
        <f aca="false">G377-H377</f>
        <v>146229.888600001</v>
      </c>
      <c r="J377" s="45" t="n">
        <v>0.136701606763921</v>
      </c>
      <c r="K377" s="45" t="n">
        <v>0.0456777977288497</v>
      </c>
      <c r="L377" s="46" t="str">
        <f aca="false">IF(I377&gt;0,"Actual above budget",IF(I377&lt;0,"Actual below budget","On budget"))</f>
        <v>Actual above budget</v>
      </c>
    </row>
    <row r="378" customFormat="false" ht="15" hidden="false" customHeight="false" outlineLevel="0" collapsed="false">
      <c r="A378" s="23" t="s">
        <v>217</v>
      </c>
      <c r="B378" s="23" t="s">
        <v>226</v>
      </c>
      <c r="C378" s="23" t="s">
        <v>200</v>
      </c>
      <c r="D378" s="34" t="n">
        <v>6240</v>
      </c>
      <c r="E378" s="23" t="s">
        <v>360</v>
      </c>
      <c r="F378" s="37" t="n">
        <v>164</v>
      </c>
      <c r="G378" s="37" t="n">
        <v>553704.4203</v>
      </c>
      <c r="H378" s="37" t="n">
        <v>462248.9985</v>
      </c>
      <c r="I378" s="38" t="n">
        <f aca="false">G378-H378</f>
        <v>91455.4217999997</v>
      </c>
      <c r="J378" s="45" t="n">
        <v>0.197848826274958</v>
      </c>
      <c r="K378" s="45" t="n">
        <v>0.0285679097357052</v>
      </c>
      <c r="L378" s="46" t="str">
        <f aca="false">IF(I378&gt;0,"Actual above budget",IF(I378&lt;0,"Actual below budget","On budget"))</f>
        <v>Actual above budget</v>
      </c>
    </row>
    <row r="379" customFormat="false" ht="15" hidden="false" customHeight="false" outlineLevel="0" collapsed="false">
      <c r="A379" s="23" t="s">
        <v>217</v>
      </c>
      <c r="B379" s="23" t="s">
        <v>226</v>
      </c>
      <c r="C379" s="23" t="s">
        <v>200</v>
      </c>
      <c r="D379" s="34" t="n">
        <v>6250</v>
      </c>
      <c r="E379" s="23" t="s">
        <v>361</v>
      </c>
      <c r="F379" s="37" t="n">
        <v>174</v>
      </c>
      <c r="G379" s="37" t="n">
        <v>727788.7121</v>
      </c>
      <c r="H379" s="37" t="n">
        <v>536413.281100001</v>
      </c>
      <c r="I379" s="38" t="n">
        <f aca="false">G379-H379</f>
        <v>191375.431</v>
      </c>
      <c r="J379" s="45" t="n">
        <v>0.356768629232212</v>
      </c>
      <c r="K379" s="45" t="n">
        <v>0.059779900752037</v>
      </c>
      <c r="L379" s="46" t="str">
        <f aca="false">IF(I379&gt;0,"Actual above budget",IF(I379&lt;0,"Actual below budget","On budget"))</f>
        <v>Actual above budget</v>
      </c>
    </row>
    <row r="380" customFormat="false" ht="15" hidden="false" customHeight="false" outlineLevel="0" collapsed="false">
      <c r="A380" s="23" t="s">
        <v>217</v>
      </c>
      <c r="B380" s="23" t="s">
        <v>226</v>
      </c>
      <c r="C380" s="23" t="s">
        <v>200</v>
      </c>
      <c r="D380" s="34" t="n">
        <v>6260</v>
      </c>
      <c r="E380" s="23" t="s">
        <v>362</v>
      </c>
      <c r="F380" s="37" t="n">
        <v>172</v>
      </c>
      <c r="G380" s="37" t="n">
        <v>545313.0005</v>
      </c>
      <c r="H380" s="37" t="n">
        <v>572923.3079</v>
      </c>
      <c r="I380" s="38" t="n">
        <f aca="false">G380-H380</f>
        <v>-27610.3073999998</v>
      </c>
      <c r="J380" s="45" t="n">
        <v>-0.0481919779127212</v>
      </c>
      <c r="K380" s="45" t="n">
        <v>0.00862462557226184</v>
      </c>
      <c r="L380" s="46" t="str">
        <f aca="false">IF(I380&gt;0,"Actual above budget",IF(I380&lt;0,"Actual below budget","On budget"))</f>
        <v>Actual below budget</v>
      </c>
    </row>
    <row r="381" customFormat="false" ht="15" hidden="false" customHeight="false" outlineLevel="0" collapsed="false">
      <c r="A381" s="23" t="s">
        <v>217</v>
      </c>
      <c r="B381" s="23" t="s">
        <v>226</v>
      </c>
      <c r="C381" s="23" t="s">
        <v>200</v>
      </c>
      <c r="D381" s="34" t="n">
        <v>6270</v>
      </c>
      <c r="E381" s="23" t="s">
        <v>363</v>
      </c>
      <c r="F381" s="37" t="n">
        <v>178</v>
      </c>
      <c r="G381" s="37" t="n">
        <v>275452.5517</v>
      </c>
      <c r="H381" s="37" t="n">
        <v>287880.9511</v>
      </c>
      <c r="I381" s="38" t="n">
        <f aca="false">G381-H381</f>
        <v>-12428.3994</v>
      </c>
      <c r="J381" s="45" t="n">
        <v>-0.0431720103484123</v>
      </c>
      <c r="K381" s="45" t="n">
        <v>0.00388225635211594</v>
      </c>
      <c r="L381" s="46" t="str">
        <f aca="false">IF(I381&gt;0,"Actual above budget",IF(I381&lt;0,"Actual below budget","On budget"))</f>
        <v>Actual below budget</v>
      </c>
    </row>
    <row r="382" customFormat="false" ht="15" hidden="false" customHeight="false" outlineLevel="0" collapsed="false">
      <c r="A382" s="23" t="s">
        <v>217</v>
      </c>
      <c r="B382" s="23" t="s">
        <v>226</v>
      </c>
      <c r="C382" s="23" t="s">
        <v>202</v>
      </c>
      <c r="D382" s="34" t="n">
        <v>6200</v>
      </c>
      <c r="E382" s="23" t="s">
        <v>356</v>
      </c>
      <c r="F382" s="37" t="n">
        <v>165</v>
      </c>
      <c r="G382" s="37" t="n">
        <v>221349.7658</v>
      </c>
      <c r="H382" s="37" t="n">
        <v>232749.2124</v>
      </c>
      <c r="I382" s="38" t="n">
        <f aca="false">G382-H382</f>
        <v>-11399.4465999999</v>
      </c>
      <c r="J382" s="45" t="n">
        <v>-0.0489773799122854</v>
      </c>
      <c r="K382" s="45" t="n">
        <v>0.00356084259518217</v>
      </c>
      <c r="L382" s="46" t="str">
        <f aca="false">IF(I382&gt;0,"Actual above budget",IF(I382&lt;0,"Actual below budget","On budget"))</f>
        <v>Actual below budget</v>
      </c>
    </row>
    <row r="383" customFormat="false" ht="15" hidden="false" customHeight="false" outlineLevel="0" collapsed="false">
      <c r="A383" s="23" t="s">
        <v>217</v>
      </c>
      <c r="B383" s="23" t="s">
        <v>226</v>
      </c>
      <c r="C383" s="23" t="s">
        <v>202</v>
      </c>
      <c r="D383" s="34" t="n">
        <v>6210</v>
      </c>
      <c r="E383" s="23" t="s">
        <v>357</v>
      </c>
      <c r="F383" s="37" t="n">
        <v>166</v>
      </c>
      <c r="G383" s="37" t="n">
        <v>732736.845999999</v>
      </c>
      <c r="H383" s="37" t="n">
        <v>686652.4949</v>
      </c>
      <c r="I383" s="38" t="n">
        <f aca="false">G383-H383</f>
        <v>46084.3510999994</v>
      </c>
      <c r="J383" s="45" t="n">
        <v>0.0671145178125531</v>
      </c>
      <c r="K383" s="45" t="n">
        <v>0.014395358487684</v>
      </c>
      <c r="L383" s="46" t="str">
        <f aca="false">IF(I383&gt;0,"Actual above budget",IF(I383&lt;0,"Actual below budget","On budget"))</f>
        <v>Actual above budget</v>
      </c>
    </row>
    <row r="384" customFormat="false" ht="15" hidden="false" customHeight="false" outlineLevel="0" collapsed="false">
      <c r="A384" s="23" t="s">
        <v>217</v>
      </c>
      <c r="B384" s="23" t="s">
        <v>226</v>
      </c>
      <c r="C384" s="23" t="s">
        <v>202</v>
      </c>
      <c r="D384" s="34" t="n">
        <v>6220</v>
      </c>
      <c r="E384" s="23" t="s">
        <v>358</v>
      </c>
      <c r="F384" s="37" t="n">
        <v>149</v>
      </c>
      <c r="G384" s="37" t="n">
        <v>1009623.9321</v>
      </c>
      <c r="H384" s="37" t="n">
        <v>890234.1731</v>
      </c>
      <c r="I384" s="38" t="n">
        <f aca="false">G384-H384</f>
        <v>119389.759</v>
      </c>
      <c r="J384" s="45" t="n">
        <v>0.134110510029353</v>
      </c>
      <c r="K384" s="45" t="n">
        <v>0.0372937524244145</v>
      </c>
      <c r="L384" s="46" t="str">
        <f aca="false">IF(I384&gt;0,"Actual above budget",IF(I384&lt;0,"Actual below budget","On budget"))</f>
        <v>Actual above budget</v>
      </c>
    </row>
    <row r="385" customFormat="false" ht="15" hidden="false" customHeight="false" outlineLevel="0" collapsed="false">
      <c r="A385" s="23" t="s">
        <v>217</v>
      </c>
      <c r="B385" s="23" t="s">
        <v>226</v>
      </c>
      <c r="C385" s="23" t="s">
        <v>202</v>
      </c>
      <c r="D385" s="34" t="n">
        <v>6230</v>
      </c>
      <c r="E385" s="23" t="s">
        <v>359</v>
      </c>
      <c r="F385" s="37" t="n">
        <v>175</v>
      </c>
      <c r="G385" s="37" t="n">
        <v>616489.3595</v>
      </c>
      <c r="H385" s="37" t="n">
        <v>676433.8388</v>
      </c>
      <c r="I385" s="38" t="n">
        <f aca="false">G385-H385</f>
        <v>-59944.4792999998</v>
      </c>
      <c r="J385" s="45" t="n">
        <v>-0.0886183923121618</v>
      </c>
      <c r="K385" s="45" t="n">
        <v>0.0187248436461342</v>
      </c>
      <c r="L385" s="46" t="str">
        <f aca="false">IF(I385&gt;0,"Actual above budget",IF(I385&lt;0,"Actual below budget","On budget"))</f>
        <v>Actual below budget</v>
      </c>
    </row>
    <row r="386" customFormat="false" ht="15" hidden="false" customHeight="false" outlineLevel="0" collapsed="false">
      <c r="A386" s="23" t="s">
        <v>217</v>
      </c>
      <c r="B386" s="23" t="s">
        <v>226</v>
      </c>
      <c r="C386" s="23" t="s">
        <v>202</v>
      </c>
      <c r="D386" s="34" t="n">
        <v>6240</v>
      </c>
      <c r="E386" s="23" t="s">
        <v>360</v>
      </c>
      <c r="F386" s="37" t="n">
        <v>207</v>
      </c>
      <c r="G386" s="37" t="n">
        <v>402820.9435</v>
      </c>
      <c r="H386" s="37" t="n">
        <v>361336.4907</v>
      </c>
      <c r="I386" s="38" t="n">
        <f aca="false">G386-H386</f>
        <v>41484.4528</v>
      </c>
      <c r="J386" s="45" t="n">
        <v>0.114808368010754</v>
      </c>
      <c r="K386" s="45" t="n">
        <v>0.0129584892803537</v>
      </c>
      <c r="L386" s="46" t="str">
        <f aca="false">IF(I386&gt;0,"Actual above budget",IF(I386&lt;0,"Actual below budget","On budget"))</f>
        <v>Actual above budget</v>
      </c>
    </row>
    <row r="387" customFormat="false" ht="15" hidden="false" customHeight="false" outlineLevel="0" collapsed="false">
      <c r="A387" s="23" t="s">
        <v>217</v>
      </c>
      <c r="B387" s="23" t="s">
        <v>226</v>
      </c>
      <c r="C387" s="23" t="s">
        <v>202</v>
      </c>
      <c r="D387" s="34" t="n">
        <v>6250</v>
      </c>
      <c r="E387" s="23" t="s">
        <v>361</v>
      </c>
      <c r="F387" s="37" t="n">
        <v>164</v>
      </c>
      <c r="G387" s="37" t="n">
        <v>448088.7857</v>
      </c>
      <c r="H387" s="37" t="n">
        <v>393598.9609</v>
      </c>
      <c r="I387" s="38" t="n">
        <f aca="false">G387-H387</f>
        <v>54489.8248000001</v>
      </c>
      <c r="J387" s="45" t="n">
        <v>0.138439961008546</v>
      </c>
      <c r="K387" s="45" t="n">
        <v>0.0170209744350093</v>
      </c>
      <c r="L387" s="46" t="str">
        <f aca="false">IF(I387&gt;0,"Actual above budget",IF(I387&lt;0,"Actual below budget","On budget"))</f>
        <v>Actual above budget</v>
      </c>
    </row>
    <row r="388" customFormat="false" ht="15" hidden="false" customHeight="false" outlineLevel="0" collapsed="false">
      <c r="A388" s="23" t="s">
        <v>217</v>
      </c>
      <c r="B388" s="23" t="s">
        <v>226</v>
      </c>
      <c r="C388" s="23" t="s">
        <v>202</v>
      </c>
      <c r="D388" s="34" t="n">
        <v>6260</v>
      </c>
      <c r="E388" s="23" t="s">
        <v>362</v>
      </c>
      <c r="F388" s="37" t="n">
        <v>179</v>
      </c>
      <c r="G388" s="37" t="n">
        <v>445417.6106</v>
      </c>
      <c r="H388" s="37" t="n">
        <v>340261.214</v>
      </c>
      <c r="I388" s="38" t="n">
        <f aca="false">G388-H388</f>
        <v>105156.3966</v>
      </c>
      <c r="J388" s="45" t="n">
        <v>0.309046086575122</v>
      </c>
      <c r="K388" s="45" t="n">
        <v>0.0328476801820493</v>
      </c>
      <c r="L388" s="46" t="str">
        <f aca="false">IF(I388&gt;0,"Actual above budget",IF(I388&lt;0,"Actual below budget","On budget"))</f>
        <v>Actual above budget</v>
      </c>
    </row>
    <row r="389" customFormat="false" ht="15" hidden="false" customHeight="false" outlineLevel="0" collapsed="false">
      <c r="A389" s="23" t="s">
        <v>217</v>
      </c>
      <c r="B389" s="23" t="s">
        <v>226</v>
      </c>
      <c r="C389" s="23" t="s">
        <v>202</v>
      </c>
      <c r="D389" s="34" t="n">
        <v>6270</v>
      </c>
      <c r="E389" s="23" t="s">
        <v>363</v>
      </c>
      <c r="F389" s="37" t="n">
        <v>174</v>
      </c>
      <c r="G389" s="37" t="n">
        <v>193290.0832</v>
      </c>
      <c r="H389" s="37" t="n">
        <v>206360.696</v>
      </c>
      <c r="I389" s="38" t="n">
        <f aca="false">G389-H389</f>
        <v>-13070.6128</v>
      </c>
      <c r="J389" s="45" t="n">
        <v>-0.0633386737559754</v>
      </c>
      <c r="K389" s="45" t="n">
        <v>0.00408286440881904</v>
      </c>
      <c r="L389" s="46" t="str">
        <f aca="false">IF(I389&gt;0,"Actual above budget",IF(I389&lt;0,"Actual below budget","On budget"))</f>
        <v>Actual below budget</v>
      </c>
    </row>
    <row r="390" customFormat="false" ht="15" hidden="false" customHeight="false" outlineLevel="0" collapsed="false">
      <c r="A390" s="23" t="s">
        <v>217</v>
      </c>
      <c r="B390" s="23" t="s">
        <v>226</v>
      </c>
      <c r="C390" s="23" t="s">
        <v>197</v>
      </c>
      <c r="D390" s="34" t="n">
        <v>6200</v>
      </c>
      <c r="E390" s="23" t="s">
        <v>356</v>
      </c>
      <c r="F390" s="37" t="n">
        <v>146</v>
      </c>
      <c r="G390" s="37" t="n">
        <v>592781.78</v>
      </c>
      <c r="H390" s="37" t="n">
        <v>517440.5791</v>
      </c>
      <c r="I390" s="38" t="n">
        <f aca="false">G390-H390</f>
        <v>75341.2008999996</v>
      </c>
      <c r="J390" s="45" t="n">
        <v>0.145603580281707</v>
      </c>
      <c r="K390" s="45" t="n">
        <v>0.0235343141426617</v>
      </c>
      <c r="L390" s="46" t="str">
        <f aca="false">IF(I390&gt;0,"Actual above budget",IF(I390&lt;0,"Actual below budget","On budget"))</f>
        <v>Actual above budget</v>
      </c>
    </row>
    <row r="391" customFormat="false" ht="15" hidden="false" customHeight="false" outlineLevel="0" collapsed="false">
      <c r="A391" s="23" t="s">
        <v>217</v>
      </c>
      <c r="B391" s="23" t="s">
        <v>226</v>
      </c>
      <c r="C391" s="23" t="s">
        <v>197</v>
      </c>
      <c r="D391" s="34" t="n">
        <v>6210</v>
      </c>
      <c r="E391" s="23" t="s">
        <v>357</v>
      </c>
      <c r="F391" s="37" t="n">
        <v>154</v>
      </c>
      <c r="G391" s="37" t="n">
        <v>1864555.4688</v>
      </c>
      <c r="H391" s="37" t="n">
        <v>1678079.8582</v>
      </c>
      <c r="I391" s="38" t="n">
        <f aca="false">G391-H391</f>
        <v>186475.6106</v>
      </c>
      <c r="J391" s="45" t="n">
        <v>0.111124395950991</v>
      </c>
      <c r="K391" s="45" t="n">
        <v>0.0582493449451382</v>
      </c>
      <c r="L391" s="46" t="str">
        <f aca="false">IF(I391&gt;0,"Actual above budget",IF(I391&lt;0,"Actual below budget","On budget"))</f>
        <v>Actual above budget</v>
      </c>
    </row>
    <row r="392" customFormat="false" ht="15" hidden="false" customHeight="false" outlineLevel="0" collapsed="false">
      <c r="A392" s="23" t="s">
        <v>217</v>
      </c>
      <c r="B392" s="23" t="s">
        <v>226</v>
      </c>
      <c r="C392" s="23" t="s">
        <v>197</v>
      </c>
      <c r="D392" s="34" t="n">
        <v>6220</v>
      </c>
      <c r="E392" s="23" t="s">
        <v>358</v>
      </c>
      <c r="F392" s="37" t="n">
        <v>167</v>
      </c>
      <c r="G392" s="37" t="n">
        <v>2188526.4132</v>
      </c>
      <c r="H392" s="37" t="n">
        <v>2367664.3547</v>
      </c>
      <c r="I392" s="38" t="n">
        <f aca="false">G392-H392</f>
        <v>-179137.9415</v>
      </c>
      <c r="J392" s="45" t="n">
        <v>-0.0756601927736916</v>
      </c>
      <c r="K392" s="45" t="n">
        <v>0.0559572788828583</v>
      </c>
      <c r="L392" s="46" t="str">
        <f aca="false">IF(I392&gt;0,"Actual above budget",IF(I392&lt;0,"Actual below budget","On budget"))</f>
        <v>Actual below budget</v>
      </c>
    </row>
    <row r="393" customFormat="false" ht="15" hidden="false" customHeight="false" outlineLevel="0" collapsed="false">
      <c r="A393" s="23" t="s">
        <v>217</v>
      </c>
      <c r="B393" s="23" t="s">
        <v>226</v>
      </c>
      <c r="C393" s="23" t="s">
        <v>197</v>
      </c>
      <c r="D393" s="34" t="n">
        <v>6230</v>
      </c>
      <c r="E393" s="23" t="s">
        <v>359</v>
      </c>
      <c r="F393" s="37" t="n">
        <v>169</v>
      </c>
      <c r="G393" s="37" t="n">
        <v>1477651.5765</v>
      </c>
      <c r="H393" s="37" t="n">
        <v>1242731.7148</v>
      </c>
      <c r="I393" s="38" t="n">
        <f aca="false">G393-H393</f>
        <v>234919.8617</v>
      </c>
      <c r="J393" s="45" t="n">
        <v>0.189035057931073</v>
      </c>
      <c r="K393" s="45" t="n">
        <v>0.0733818648701476</v>
      </c>
      <c r="L393" s="46" t="str">
        <f aca="false">IF(I393&gt;0,"Actual above budget",IF(I393&lt;0,"Actual below budget","On budget"))</f>
        <v>Actual above budget</v>
      </c>
    </row>
    <row r="394" customFormat="false" ht="15" hidden="false" customHeight="false" outlineLevel="0" collapsed="false">
      <c r="A394" s="23" t="s">
        <v>217</v>
      </c>
      <c r="B394" s="23" t="s">
        <v>226</v>
      </c>
      <c r="C394" s="23" t="s">
        <v>197</v>
      </c>
      <c r="D394" s="34" t="n">
        <v>6240</v>
      </c>
      <c r="E394" s="23" t="s">
        <v>360</v>
      </c>
      <c r="F394" s="37" t="n">
        <v>183</v>
      </c>
      <c r="G394" s="37" t="n">
        <v>964861.8961</v>
      </c>
      <c r="H394" s="37" t="n">
        <v>937617.5374</v>
      </c>
      <c r="I394" s="38" t="n">
        <f aca="false">G394-H394</f>
        <v>27244.3586999999</v>
      </c>
      <c r="J394" s="45" t="n">
        <v>0.0290570063093617</v>
      </c>
      <c r="K394" s="45" t="n">
        <v>0.00851031425835898</v>
      </c>
      <c r="L394" s="46" t="str">
        <f aca="false">IF(I394&gt;0,"Actual above budget",IF(I394&lt;0,"Actual below budget","On budget"))</f>
        <v>Actual above budget</v>
      </c>
    </row>
    <row r="395" customFormat="false" ht="15" hidden="false" customHeight="false" outlineLevel="0" collapsed="false">
      <c r="A395" s="23" t="s">
        <v>217</v>
      </c>
      <c r="B395" s="23" t="s">
        <v>226</v>
      </c>
      <c r="C395" s="23" t="s">
        <v>197</v>
      </c>
      <c r="D395" s="34" t="n">
        <v>6250</v>
      </c>
      <c r="E395" s="23" t="s">
        <v>361</v>
      </c>
      <c r="F395" s="37" t="n">
        <v>180</v>
      </c>
      <c r="G395" s="37" t="n">
        <v>1155284.3966</v>
      </c>
      <c r="H395" s="37" t="n">
        <v>1054582.9112</v>
      </c>
      <c r="I395" s="38" t="n">
        <f aca="false">G395-H395</f>
        <v>100701.485400001</v>
      </c>
      <c r="J395" s="45" t="n">
        <v>0.0954893961683986</v>
      </c>
      <c r="K395" s="45" t="n">
        <v>0.0314561005628497</v>
      </c>
      <c r="L395" s="46" t="str">
        <f aca="false">IF(I395&gt;0,"Actual above budget",IF(I395&lt;0,"Actual below budget","On budget"))</f>
        <v>Actual above budget</v>
      </c>
    </row>
    <row r="396" customFormat="false" ht="15" hidden="false" customHeight="false" outlineLevel="0" collapsed="false">
      <c r="A396" s="23" t="s">
        <v>217</v>
      </c>
      <c r="B396" s="23" t="s">
        <v>226</v>
      </c>
      <c r="C396" s="23" t="s">
        <v>197</v>
      </c>
      <c r="D396" s="34" t="n">
        <v>6260</v>
      </c>
      <c r="E396" s="23" t="s">
        <v>362</v>
      </c>
      <c r="F396" s="37" t="n">
        <v>170</v>
      </c>
      <c r="G396" s="37" t="n">
        <v>730402.5652</v>
      </c>
      <c r="H396" s="37" t="n">
        <v>767088.9194</v>
      </c>
      <c r="I396" s="38" t="n">
        <f aca="false">G396-H396</f>
        <v>-36686.3541999998</v>
      </c>
      <c r="J396" s="45" t="n">
        <v>-0.0478254258042148</v>
      </c>
      <c r="K396" s="45" t="n">
        <v>0.0114597082894621</v>
      </c>
      <c r="L396" s="46" t="str">
        <f aca="false">IF(I396&gt;0,"Actual above budget",IF(I396&lt;0,"Actual below budget","On budget"))</f>
        <v>Actual below budget</v>
      </c>
    </row>
    <row r="397" customFormat="false" ht="15" hidden="false" customHeight="false" outlineLevel="0" collapsed="false">
      <c r="A397" s="23" t="s">
        <v>217</v>
      </c>
      <c r="B397" s="23" t="s">
        <v>226</v>
      </c>
      <c r="C397" s="23" t="s">
        <v>197</v>
      </c>
      <c r="D397" s="34" t="n">
        <v>6270</v>
      </c>
      <c r="E397" s="23" t="s">
        <v>363</v>
      </c>
      <c r="F397" s="37" t="n">
        <v>169</v>
      </c>
      <c r="G397" s="37" t="n">
        <v>372679.5979</v>
      </c>
      <c r="H397" s="37" t="n">
        <v>327303.1462</v>
      </c>
      <c r="I397" s="38" t="n">
        <f aca="false">G397-H397</f>
        <v>45376.4517</v>
      </c>
      <c r="J397" s="45" t="n">
        <v>0.138637383192988</v>
      </c>
      <c r="K397" s="45" t="n">
        <v>0.0141742321097926</v>
      </c>
      <c r="L397" s="46" t="str">
        <f aca="false">IF(I397&gt;0,"Actual above budget",IF(I397&lt;0,"Actual below budget","On budget"))</f>
        <v>Actual above budget</v>
      </c>
    </row>
    <row r="398" customFormat="false" ht="15" hidden="false" customHeight="false" outlineLevel="0" collapsed="false">
      <c r="A398" s="23" t="s">
        <v>217</v>
      </c>
      <c r="B398" s="23" t="s">
        <v>226</v>
      </c>
      <c r="C398" s="23" t="s">
        <v>199</v>
      </c>
      <c r="D398" s="34" t="n">
        <v>6200</v>
      </c>
      <c r="E398" s="23" t="s">
        <v>356</v>
      </c>
      <c r="F398" s="37" t="n">
        <v>176</v>
      </c>
      <c r="G398" s="37" t="n">
        <v>424393.7866</v>
      </c>
      <c r="H398" s="37" t="n">
        <v>436167.3216</v>
      </c>
      <c r="I398" s="38" t="n">
        <f aca="false">G398-H398</f>
        <v>-11773.5350000003</v>
      </c>
      <c r="J398" s="45" t="n">
        <v>-0.0269931616078227</v>
      </c>
      <c r="K398" s="45" t="n">
        <v>0.00367769650536089</v>
      </c>
      <c r="L398" s="46" t="str">
        <f aca="false">IF(I398&gt;0,"Actual above budget",IF(I398&lt;0,"Actual below budget","On budget"))</f>
        <v>Actual below budget</v>
      </c>
    </row>
    <row r="399" customFormat="false" ht="15" hidden="false" customHeight="false" outlineLevel="0" collapsed="false">
      <c r="A399" s="23" t="s">
        <v>217</v>
      </c>
      <c r="B399" s="23" t="s">
        <v>226</v>
      </c>
      <c r="C399" s="23" t="s">
        <v>199</v>
      </c>
      <c r="D399" s="34" t="n">
        <v>6210</v>
      </c>
      <c r="E399" s="23" t="s">
        <v>357</v>
      </c>
      <c r="F399" s="37" t="n">
        <v>170</v>
      </c>
      <c r="G399" s="37" t="n">
        <v>1254221.944</v>
      </c>
      <c r="H399" s="37" t="n">
        <v>1293906.3008</v>
      </c>
      <c r="I399" s="38" t="n">
        <f aca="false">G399-H399</f>
        <v>-39684.3567999997</v>
      </c>
      <c r="J399" s="45" t="n">
        <v>-0.0306701936418919</v>
      </c>
      <c r="K399" s="45" t="n">
        <v>0.0123961936938103</v>
      </c>
      <c r="L399" s="46" t="str">
        <f aca="false">IF(I399&gt;0,"Actual above budget",IF(I399&lt;0,"Actual below budget","On budget"))</f>
        <v>Actual below budget</v>
      </c>
    </row>
    <row r="400" customFormat="false" ht="15" hidden="false" customHeight="false" outlineLevel="0" collapsed="false">
      <c r="A400" s="23" t="s">
        <v>217</v>
      </c>
      <c r="B400" s="23" t="s">
        <v>226</v>
      </c>
      <c r="C400" s="23" t="s">
        <v>199</v>
      </c>
      <c r="D400" s="34" t="n">
        <v>6220</v>
      </c>
      <c r="E400" s="23" t="s">
        <v>358</v>
      </c>
      <c r="F400" s="37" t="n">
        <v>161</v>
      </c>
      <c r="G400" s="37" t="n">
        <v>1312641.9426</v>
      </c>
      <c r="H400" s="37" t="n">
        <v>1278657.2268</v>
      </c>
      <c r="I400" s="38" t="n">
        <f aca="false">G400-H400</f>
        <v>33984.7158000001</v>
      </c>
      <c r="J400" s="45" t="n">
        <v>0.0265784411081389</v>
      </c>
      <c r="K400" s="45" t="n">
        <v>0.0106157981042519</v>
      </c>
      <c r="L400" s="46" t="str">
        <f aca="false">IF(I400&gt;0,"Actual above budget",IF(I400&lt;0,"Actual below budget","On budget"))</f>
        <v>Actual above budget</v>
      </c>
    </row>
    <row r="401" customFormat="false" ht="15" hidden="false" customHeight="false" outlineLevel="0" collapsed="false">
      <c r="A401" s="23" t="s">
        <v>217</v>
      </c>
      <c r="B401" s="23" t="s">
        <v>226</v>
      </c>
      <c r="C401" s="23" t="s">
        <v>199</v>
      </c>
      <c r="D401" s="34" t="n">
        <v>6230</v>
      </c>
      <c r="E401" s="23" t="s">
        <v>359</v>
      </c>
      <c r="F401" s="37" t="n">
        <v>182</v>
      </c>
      <c r="G401" s="37" t="n">
        <v>1098844.4884</v>
      </c>
      <c r="H401" s="37" t="n">
        <v>1027706.4323</v>
      </c>
      <c r="I401" s="38" t="n">
        <f aca="false">G401-H401</f>
        <v>71138.0560999998</v>
      </c>
      <c r="J401" s="45" t="n">
        <v>0.0692202110098636</v>
      </c>
      <c r="K401" s="45" t="n">
        <v>0.0222213787377484</v>
      </c>
      <c r="L401" s="46" t="str">
        <f aca="false">IF(I401&gt;0,"Actual above budget",IF(I401&lt;0,"Actual below budget","On budget"))</f>
        <v>Actual above budget</v>
      </c>
    </row>
    <row r="402" customFormat="false" ht="15" hidden="false" customHeight="false" outlineLevel="0" collapsed="false">
      <c r="A402" s="23" t="s">
        <v>217</v>
      </c>
      <c r="B402" s="23" t="s">
        <v>226</v>
      </c>
      <c r="C402" s="23" t="s">
        <v>199</v>
      </c>
      <c r="D402" s="34" t="n">
        <v>6240</v>
      </c>
      <c r="E402" s="23" t="s">
        <v>360</v>
      </c>
      <c r="F402" s="37" t="n">
        <v>177</v>
      </c>
      <c r="G402" s="37" t="n">
        <v>470992.4793</v>
      </c>
      <c r="H402" s="37" t="n">
        <v>439391.1855</v>
      </c>
      <c r="I402" s="38" t="n">
        <f aca="false">G402-H402</f>
        <v>31601.2937999999</v>
      </c>
      <c r="J402" s="45" t="n">
        <v>0.0719206366510053</v>
      </c>
      <c r="K402" s="45" t="n">
        <v>0.00987128910502602</v>
      </c>
      <c r="L402" s="46" t="str">
        <f aca="false">IF(I402&gt;0,"Actual above budget",IF(I402&lt;0,"Actual below budget","On budget"))</f>
        <v>Actual above budget</v>
      </c>
    </row>
    <row r="403" customFormat="false" ht="15" hidden="false" customHeight="false" outlineLevel="0" collapsed="false">
      <c r="A403" s="23" t="s">
        <v>217</v>
      </c>
      <c r="B403" s="23" t="s">
        <v>226</v>
      </c>
      <c r="C403" s="23" t="s">
        <v>199</v>
      </c>
      <c r="D403" s="34" t="n">
        <v>6250</v>
      </c>
      <c r="E403" s="23" t="s">
        <v>361</v>
      </c>
      <c r="F403" s="37" t="n">
        <v>169</v>
      </c>
      <c r="G403" s="37" t="n">
        <v>655480.5382</v>
      </c>
      <c r="H403" s="37" t="n">
        <v>649004.8412</v>
      </c>
      <c r="I403" s="38" t="n">
        <f aca="false">G403-H403</f>
        <v>6475.69699999981</v>
      </c>
      <c r="J403" s="45" t="n">
        <v>0.00997788704938865</v>
      </c>
      <c r="K403" s="45" t="n">
        <v>0.00202281202940969</v>
      </c>
      <c r="L403" s="46" t="str">
        <f aca="false">IF(I403&gt;0,"Actual above budget",IF(I403&lt;0,"Actual below budget","On budget"))</f>
        <v>Actual above budget</v>
      </c>
    </row>
    <row r="404" customFormat="false" ht="15" hidden="false" customHeight="false" outlineLevel="0" collapsed="false">
      <c r="A404" s="23" t="s">
        <v>217</v>
      </c>
      <c r="B404" s="23" t="s">
        <v>226</v>
      </c>
      <c r="C404" s="23" t="s">
        <v>199</v>
      </c>
      <c r="D404" s="34" t="n">
        <v>6260</v>
      </c>
      <c r="E404" s="23" t="s">
        <v>362</v>
      </c>
      <c r="F404" s="37" t="n">
        <v>173</v>
      </c>
      <c r="G404" s="37" t="n">
        <v>670468.4764</v>
      </c>
      <c r="H404" s="37" t="n">
        <v>618420.7281</v>
      </c>
      <c r="I404" s="38" t="n">
        <f aca="false">G404-H404</f>
        <v>52047.7482999999</v>
      </c>
      <c r="J404" s="45" t="n">
        <v>0.084162360566258</v>
      </c>
      <c r="K404" s="45" t="n">
        <v>0.0162581435426839</v>
      </c>
      <c r="L404" s="46" t="str">
        <f aca="false">IF(I404&gt;0,"Actual above budget",IF(I404&lt;0,"Actual below budget","On budget"))</f>
        <v>Actual above budget</v>
      </c>
    </row>
    <row r="405" customFormat="false" ht="15" hidden="false" customHeight="false" outlineLevel="0" collapsed="false">
      <c r="A405" s="23" t="s">
        <v>217</v>
      </c>
      <c r="B405" s="23" t="s">
        <v>226</v>
      </c>
      <c r="C405" s="23" t="s">
        <v>199</v>
      </c>
      <c r="D405" s="34" t="n">
        <v>6270</v>
      </c>
      <c r="E405" s="23" t="s">
        <v>363</v>
      </c>
      <c r="F405" s="37" t="n">
        <v>175</v>
      </c>
      <c r="G405" s="37" t="n">
        <v>261945.0968</v>
      </c>
      <c r="H405" s="37" t="n">
        <v>258956.5884</v>
      </c>
      <c r="I405" s="38" t="n">
        <f aca="false">G405-H405</f>
        <v>2988.50840000017</v>
      </c>
      <c r="J405" s="45" t="n">
        <v>0.0115405768143029</v>
      </c>
      <c r="K405" s="45" t="n">
        <v>0.000933519703209077</v>
      </c>
      <c r="L405" s="46" t="str">
        <f aca="false">IF(I405&gt;0,"Actual above budget",IF(I405&lt;0,"Actual below budget","On budget"))</f>
        <v>Actual above budget</v>
      </c>
    </row>
    <row r="406" customFormat="false" ht="15" hidden="false" customHeight="false" outlineLevel="0" collapsed="false">
      <c r="A406" s="23" t="s">
        <v>217</v>
      </c>
      <c r="B406" s="23" t="s">
        <v>226</v>
      </c>
      <c r="C406" s="23" t="s">
        <v>195</v>
      </c>
      <c r="D406" s="34" t="n">
        <v>6200</v>
      </c>
      <c r="E406" s="23" t="s">
        <v>356</v>
      </c>
      <c r="F406" s="37" t="n">
        <v>171</v>
      </c>
      <c r="G406" s="37" t="n">
        <v>748944.7014</v>
      </c>
      <c r="H406" s="37" t="n">
        <v>735733.1047</v>
      </c>
      <c r="I406" s="38" t="n">
        <f aca="false">G406-H406</f>
        <v>13211.5967</v>
      </c>
      <c r="J406" s="45" t="n">
        <v>0.0179570507506076</v>
      </c>
      <c r="K406" s="45" t="n">
        <v>0.00412690351825747</v>
      </c>
      <c r="L406" s="46" t="str">
        <f aca="false">IF(I406&gt;0,"Actual above budget",IF(I406&lt;0,"Actual below budget","On budget"))</f>
        <v>Actual above budget</v>
      </c>
    </row>
    <row r="407" customFormat="false" ht="15" hidden="false" customHeight="false" outlineLevel="0" collapsed="false">
      <c r="A407" s="23" t="s">
        <v>217</v>
      </c>
      <c r="B407" s="23" t="s">
        <v>226</v>
      </c>
      <c r="C407" s="23" t="s">
        <v>195</v>
      </c>
      <c r="D407" s="34" t="n">
        <v>6210</v>
      </c>
      <c r="E407" s="23" t="s">
        <v>357</v>
      </c>
      <c r="F407" s="37" t="n">
        <v>179</v>
      </c>
      <c r="G407" s="37" t="n">
        <v>2273429.6272</v>
      </c>
      <c r="H407" s="37" t="n">
        <v>2183934.9405</v>
      </c>
      <c r="I407" s="38" t="n">
        <f aca="false">G407-H407</f>
        <v>89494.6867000009</v>
      </c>
      <c r="J407" s="45" t="n">
        <v>0.0409786413690102</v>
      </c>
      <c r="K407" s="45" t="n">
        <v>0.0279554353492777</v>
      </c>
      <c r="L407" s="46" t="str">
        <f aca="false">IF(I407&gt;0,"Actual above budget",IF(I407&lt;0,"Actual below budget","On budget"))</f>
        <v>Actual above budget</v>
      </c>
    </row>
    <row r="408" customFormat="false" ht="15" hidden="false" customHeight="false" outlineLevel="0" collapsed="false">
      <c r="A408" s="23" t="s">
        <v>217</v>
      </c>
      <c r="B408" s="23" t="s">
        <v>226</v>
      </c>
      <c r="C408" s="23" t="s">
        <v>195</v>
      </c>
      <c r="D408" s="34" t="n">
        <v>6220</v>
      </c>
      <c r="E408" s="23" t="s">
        <v>358</v>
      </c>
      <c r="F408" s="37" t="n">
        <v>153</v>
      </c>
      <c r="G408" s="37" t="n">
        <v>2500798.2877</v>
      </c>
      <c r="H408" s="37" t="n">
        <v>2379981.9639</v>
      </c>
      <c r="I408" s="38" t="n">
        <f aca="false">G408-H408</f>
        <v>120816.323799999</v>
      </c>
      <c r="J408" s="45" t="n">
        <v>0.0507635459564669</v>
      </c>
      <c r="K408" s="45" t="n">
        <v>0.037739368153219</v>
      </c>
      <c r="L408" s="46" t="str">
        <f aca="false">IF(I408&gt;0,"Actual above budget",IF(I408&lt;0,"Actual below budget","On budget"))</f>
        <v>Actual above budget</v>
      </c>
    </row>
    <row r="409" customFormat="false" ht="15" hidden="false" customHeight="false" outlineLevel="0" collapsed="false">
      <c r="A409" s="23" t="s">
        <v>217</v>
      </c>
      <c r="B409" s="23" t="s">
        <v>226</v>
      </c>
      <c r="C409" s="23" t="s">
        <v>195</v>
      </c>
      <c r="D409" s="34" t="n">
        <v>6230</v>
      </c>
      <c r="E409" s="23" t="s">
        <v>359</v>
      </c>
      <c r="F409" s="37" t="n">
        <v>162</v>
      </c>
      <c r="G409" s="37" t="n">
        <v>1856496.8926</v>
      </c>
      <c r="H409" s="37" t="n">
        <v>1704640.8364</v>
      </c>
      <c r="I409" s="38" t="n">
        <f aca="false">G409-H409</f>
        <v>151856.0562</v>
      </c>
      <c r="J409" s="45" t="n">
        <v>0.0890839014045341</v>
      </c>
      <c r="K409" s="45" t="n">
        <v>0.0474352424488165</v>
      </c>
      <c r="L409" s="46" t="str">
        <f aca="false">IF(I409&gt;0,"Actual above budget",IF(I409&lt;0,"Actual below budget","On budget"))</f>
        <v>Actual above budget</v>
      </c>
    </row>
    <row r="410" customFormat="false" ht="15" hidden="false" customHeight="false" outlineLevel="0" collapsed="false">
      <c r="A410" s="23" t="s">
        <v>217</v>
      </c>
      <c r="B410" s="23" t="s">
        <v>226</v>
      </c>
      <c r="C410" s="23" t="s">
        <v>195</v>
      </c>
      <c r="D410" s="34" t="n">
        <v>6240</v>
      </c>
      <c r="E410" s="23" t="s">
        <v>360</v>
      </c>
      <c r="F410" s="37" t="n">
        <v>172</v>
      </c>
      <c r="G410" s="37" t="n">
        <v>984646.4118</v>
      </c>
      <c r="H410" s="37" t="n">
        <v>977452.164800001</v>
      </c>
      <c r="I410" s="38" t="n">
        <f aca="false">G410-H410</f>
        <v>7194.24699999951</v>
      </c>
      <c r="J410" s="45" t="n">
        <v>0.00736020365914486</v>
      </c>
      <c r="K410" s="45" t="n">
        <v>0.0022472653328506</v>
      </c>
      <c r="L410" s="46" t="str">
        <f aca="false">IF(I410&gt;0,"Actual above budget",IF(I410&lt;0,"Actual below budget","On budget"))</f>
        <v>Actual above budget</v>
      </c>
    </row>
    <row r="411" customFormat="false" ht="15" hidden="false" customHeight="false" outlineLevel="0" collapsed="false">
      <c r="A411" s="23" t="s">
        <v>217</v>
      </c>
      <c r="B411" s="23" t="s">
        <v>226</v>
      </c>
      <c r="C411" s="23" t="s">
        <v>195</v>
      </c>
      <c r="D411" s="34" t="n">
        <v>6250</v>
      </c>
      <c r="E411" s="23" t="s">
        <v>361</v>
      </c>
      <c r="F411" s="37" t="n">
        <v>183</v>
      </c>
      <c r="G411" s="37" t="n">
        <v>1199387.5122</v>
      </c>
      <c r="H411" s="37" t="n">
        <v>1137643.199</v>
      </c>
      <c r="I411" s="38" t="n">
        <f aca="false">G411-H411</f>
        <v>61744.3131999997</v>
      </c>
      <c r="J411" s="45" t="n">
        <v>0.0542738824037922</v>
      </c>
      <c r="K411" s="45" t="n">
        <v>0.0192870573605589</v>
      </c>
      <c r="L411" s="46" t="str">
        <f aca="false">IF(I411&gt;0,"Actual above budget",IF(I411&lt;0,"Actual below budget","On budget"))</f>
        <v>Actual above budget</v>
      </c>
    </row>
    <row r="412" customFormat="false" ht="15" hidden="false" customHeight="false" outlineLevel="0" collapsed="false">
      <c r="A412" s="23" t="s">
        <v>217</v>
      </c>
      <c r="B412" s="23" t="s">
        <v>226</v>
      </c>
      <c r="C412" s="23" t="s">
        <v>195</v>
      </c>
      <c r="D412" s="34" t="n">
        <v>6260</v>
      </c>
      <c r="E412" s="23" t="s">
        <v>362</v>
      </c>
      <c r="F412" s="37" t="n">
        <v>147</v>
      </c>
      <c r="G412" s="37" t="n">
        <v>923414.4194</v>
      </c>
      <c r="H412" s="37" t="n">
        <v>755966.1688</v>
      </c>
      <c r="I412" s="38" t="n">
        <f aca="false">G412-H412</f>
        <v>167448.2506</v>
      </c>
      <c r="J412" s="45" t="n">
        <v>0.221502307260394</v>
      </c>
      <c r="K412" s="45" t="n">
        <v>0.0523057727403379</v>
      </c>
      <c r="L412" s="46" t="str">
        <f aca="false">IF(I412&gt;0,"Actual above budget",IF(I412&lt;0,"Actual below budget","On budget"))</f>
        <v>Actual above budget</v>
      </c>
    </row>
    <row r="413" customFormat="false" ht="15" hidden="false" customHeight="false" outlineLevel="0" collapsed="false">
      <c r="A413" s="23" t="s">
        <v>217</v>
      </c>
      <c r="B413" s="23" t="s">
        <v>226</v>
      </c>
      <c r="C413" s="23" t="s">
        <v>195</v>
      </c>
      <c r="D413" s="34" t="n">
        <v>6270</v>
      </c>
      <c r="E413" s="23" t="s">
        <v>363</v>
      </c>
      <c r="F413" s="37" t="n">
        <v>163</v>
      </c>
      <c r="G413" s="37" t="n">
        <v>515320.8093</v>
      </c>
      <c r="H413" s="37" t="n">
        <v>406738.8634</v>
      </c>
      <c r="I413" s="38" t="n">
        <f aca="false">G413-H413</f>
        <v>108581.9459</v>
      </c>
      <c r="J413" s="45" t="n">
        <v>0.266957391266585</v>
      </c>
      <c r="K413" s="45" t="n">
        <v>0.0339177182538392</v>
      </c>
      <c r="L413" s="46" t="str">
        <f aca="false">IF(I413&gt;0,"Actual above budget",IF(I413&lt;0,"Actual below budget","On budget"))</f>
        <v>Actual above budget</v>
      </c>
    </row>
    <row r="414" customFormat="false" ht="15" hidden="false" customHeight="false" outlineLevel="0" collapsed="false">
      <c r="A414" s="23" t="s">
        <v>217</v>
      </c>
      <c r="B414" s="23" t="s">
        <v>227</v>
      </c>
      <c r="C414" s="23" t="s">
        <v>201</v>
      </c>
      <c r="D414" s="34" t="n">
        <v>6300</v>
      </c>
      <c r="E414" s="23" t="s">
        <v>364</v>
      </c>
      <c r="F414" s="37" t="n">
        <v>64</v>
      </c>
      <c r="G414" s="37" t="n">
        <v>197912.5665</v>
      </c>
      <c r="H414" s="37" t="n">
        <v>193100.3306</v>
      </c>
      <c r="I414" s="38" t="n">
        <f aca="false">G414-H414</f>
        <v>4812.2359</v>
      </c>
      <c r="J414" s="45" t="n">
        <v>0.0249209096900428</v>
      </c>
      <c r="K414" s="45" t="n">
        <v>0.0226505379070069</v>
      </c>
      <c r="L414" s="46" t="str">
        <f aca="false">IF(I414&gt;0,"Actual above budget",IF(I414&lt;0,"Actual below budget","On budget"))</f>
        <v>Actual above budget</v>
      </c>
    </row>
    <row r="415" customFormat="false" ht="15" hidden="false" customHeight="false" outlineLevel="0" collapsed="false">
      <c r="A415" s="23" t="s">
        <v>217</v>
      </c>
      <c r="B415" s="23" t="s">
        <v>227</v>
      </c>
      <c r="C415" s="23" t="s">
        <v>200</v>
      </c>
      <c r="D415" s="34" t="n">
        <v>6300</v>
      </c>
      <c r="E415" s="23" t="s">
        <v>364</v>
      </c>
      <c r="F415" s="37" t="n">
        <v>58</v>
      </c>
      <c r="G415" s="37" t="n">
        <v>337805.7276</v>
      </c>
      <c r="H415" s="37" t="n">
        <v>315912.5194</v>
      </c>
      <c r="I415" s="38" t="n">
        <f aca="false">G415-H415</f>
        <v>21893.2081999999</v>
      </c>
      <c r="J415" s="45" t="n">
        <v>0.069301489670561</v>
      </c>
      <c r="K415" s="45" t="n">
        <v>0.103048344375656</v>
      </c>
      <c r="L415" s="46" t="str">
        <f aca="false">IF(I415&gt;0,"Actual above budget",IF(I415&lt;0,"Actual below budget","On budget"))</f>
        <v>Actual above budget</v>
      </c>
    </row>
    <row r="416" customFormat="false" ht="15" hidden="false" customHeight="false" outlineLevel="0" collapsed="false">
      <c r="A416" s="23" t="s">
        <v>217</v>
      </c>
      <c r="B416" s="23" t="s">
        <v>227</v>
      </c>
      <c r="C416" s="23" t="s">
        <v>202</v>
      </c>
      <c r="D416" s="34" t="n">
        <v>6300</v>
      </c>
      <c r="E416" s="23" t="s">
        <v>364</v>
      </c>
      <c r="F416" s="37" t="n">
        <v>54</v>
      </c>
      <c r="G416" s="37" t="n">
        <v>142037.4679</v>
      </c>
      <c r="H416" s="37" t="n">
        <v>111905.4333</v>
      </c>
      <c r="I416" s="38" t="n">
        <f aca="false">G416-H416</f>
        <v>30132.0346</v>
      </c>
      <c r="J416" s="45" t="n">
        <v>0.269263374542512</v>
      </c>
      <c r="K416" s="45" t="n">
        <v>0.141827376318468</v>
      </c>
      <c r="L416" s="46" t="str">
        <f aca="false">IF(I416&gt;0,"Actual above budget",IF(I416&lt;0,"Actual below budget","On budget"))</f>
        <v>Actual above budget</v>
      </c>
    </row>
    <row r="417" customFormat="false" ht="15" hidden="false" customHeight="false" outlineLevel="0" collapsed="false">
      <c r="A417" s="23" t="s">
        <v>217</v>
      </c>
      <c r="B417" s="23" t="s">
        <v>227</v>
      </c>
      <c r="C417" s="23" t="s">
        <v>197</v>
      </c>
      <c r="D417" s="34" t="n">
        <v>6300</v>
      </c>
      <c r="E417" s="23" t="s">
        <v>364</v>
      </c>
      <c r="F417" s="37" t="n">
        <v>59</v>
      </c>
      <c r="G417" s="37" t="n">
        <v>406338.1714</v>
      </c>
      <c r="H417" s="37" t="n">
        <v>421173.7018</v>
      </c>
      <c r="I417" s="38" t="n">
        <f aca="false">G417-H417</f>
        <v>-14835.5304</v>
      </c>
      <c r="J417" s="45" t="n">
        <v>-0.0352242562548334</v>
      </c>
      <c r="K417" s="45" t="n">
        <v>0.0698288177634335</v>
      </c>
      <c r="L417" s="46" t="str">
        <f aca="false">IF(I417&gt;0,"Actual above budget",IF(I417&lt;0,"Actual below budget","On budget"))</f>
        <v>Actual below budget</v>
      </c>
    </row>
    <row r="418" customFormat="false" ht="15" hidden="false" customHeight="false" outlineLevel="0" collapsed="false">
      <c r="A418" s="23" t="s">
        <v>217</v>
      </c>
      <c r="B418" s="23" t="s">
        <v>227</v>
      </c>
      <c r="C418" s="23" t="s">
        <v>199</v>
      </c>
      <c r="D418" s="34" t="n">
        <v>6300</v>
      </c>
      <c r="E418" s="23" t="s">
        <v>364</v>
      </c>
      <c r="F418" s="37" t="n">
        <v>37</v>
      </c>
      <c r="G418" s="37" t="n">
        <v>136970.1043</v>
      </c>
      <c r="H418" s="37" t="n">
        <v>157875.5592</v>
      </c>
      <c r="I418" s="38" t="n">
        <f aca="false">G418-H418</f>
        <v>-20905.4549</v>
      </c>
      <c r="J418" s="45" t="n">
        <v>-0.132417297559761</v>
      </c>
      <c r="K418" s="45" t="n">
        <v>0.0983991243396178</v>
      </c>
      <c r="L418" s="46" t="str">
        <f aca="false">IF(I418&gt;0,"Actual above budget",IF(I418&lt;0,"Actual below budget","On budget"))</f>
        <v>Actual below budget</v>
      </c>
    </row>
    <row r="419" customFormat="false" ht="15" hidden="false" customHeight="false" outlineLevel="0" collapsed="false">
      <c r="A419" s="23" t="s">
        <v>217</v>
      </c>
      <c r="B419" s="23" t="s">
        <v>227</v>
      </c>
      <c r="C419" s="23" t="s">
        <v>195</v>
      </c>
      <c r="D419" s="34" t="n">
        <v>6300</v>
      </c>
      <c r="E419" s="23" t="s">
        <v>364</v>
      </c>
      <c r="F419" s="37" t="n">
        <v>53</v>
      </c>
      <c r="G419" s="37" t="n">
        <v>541390.7561</v>
      </c>
      <c r="H419" s="37" t="n">
        <v>421513.5195</v>
      </c>
      <c r="I419" s="38" t="n">
        <f aca="false">G419-H419</f>
        <v>119877.2366</v>
      </c>
      <c r="J419" s="45" t="n">
        <v>0.284397133316622</v>
      </c>
      <c r="K419" s="45" t="n">
        <v>0.564245799295818</v>
      </c>
      <c r="L419" s="46" t="str">
        <f aca="false">IF(I419&gt;0,"Actual above budget",IF(I419&lt;0,"Actual below budget","On budget"))</f>
        <v>Actual above budget</v>
      </c>
    </row>
    <row r="420" customFormat="false" ht="15" hidden="false" customHeight="false" outlineLevel="0" collapsed="false">
      <c r="A420" s="23" t="s">
        <v>217</v>
      </c>
      <c r="B420" s="23" t="s">
        <v>228</v>
      </c>
      <c r="C420" s="23" t="s">
        <v>201</v>
      </c>
      <c r="D420" s="34" t="n">
        <v>7100</v>
      </c>
      <c r="E420" s="23" t="s">
        <v>365</v>
      </c>
      <c r="F420" s="37" t="n">
        <v>65</v>
      </c>
      <c r="G420" s="37" t="n">
        <v>78221.2378</v>
      </c>
      <c r="H420" s="37" t="n">
        <v>71469.4082</v>
      </c>
      <c r="I420" s="38" t="n">
        <f aca="false">G420-H420</f>
        <v>6751.82960000001</v>
      </c>
      <c r="J420" s="45" t="n">
        <v>0.0944716035860501</v>
      </c>
      <c r="K420" s="45" t="n">
        <v>0.0691638388729281</v>
      </c>
      <c r="L420" s="46" t="str">
        <f aca="false">IF(I420&gt;0,"Actual above budget",IF(I420&lt;0,"Actual below budget","On budget"))</f>
        <v>Actual above budget</v>
      </c>
    </row>
    <row r="421" customFormat="false" ht="15" hidden="false" customHeight="false" outlineLevel="0" collapsed="false">
      <c r="A421" s="23" t="s">
        <v>217</v>
      </c>
      <c r="B421" s="23" t="s">
        <v>228</v>
      </c>
      <c r="C421" s="23" t="s">
        <v>201</v>
      </c>
      <c r="D421" s="34" t="n">
        <v>7200</v>
      </c>
      <c r="E421" s="23" t="s">
        <v>366</v>
      </c>
      <c r="F421" s="37" t="n">
        <v>60</v>
      </c>
      <c r="G421" s="37" t="n">
        <v>2523.3791</v>
      </c>
      <c r="H421" s="37" t="n">
        <v>2916.7173</v>
      </c>
      <c r="I421" s="38" t="n">
        <f aca="false">G421-H421</f>
        <v>-393.338200000001</v>
      </c>
      <c r="J421" s="45"/>
      <c r="K421" s="45" t="n">
        <v>0.00402924562660284</v>
      </c>
      <c r="L421" s="46" t="str">
        <f aca="false">IF(I421&gt;0,"Actual above budget",IF(I421&lt;0,"Actual below budget","On budget"))</f>
        <v>Actual below budget</v>
      </c>
    </row>
    <row r="422" customFormat="false" ht="15" hidden="false" customHeight="false" outlineLevel="0" collapsed="false">
      <c r="A422" s="23" t="s">
        <v>217</v>
      </c>
      <c r="B422" s="23" t="s">
        <v>228</v>
      </c>
      <c r="C422" s="23" t="s">
        <v>200</v>
      </c>
      <c r="D422" s="34" t="n">
        <v>7100</v>
      </c>
      <c r="E422" s="23" t="s">
        <v>365</v>
      </c>
      <c r="F422" s="37" t="n">
        <v>46</v>
      </c>
      <c r="G422" s="37" t="n">
        <v>76587.25</v>
      </c>
      <c r="H422" s="37" t="n">
        <v>78676.6346</v>
      </c>
      <c r="I422" s="38" t="n">
        <f aca="false">G422-H422</f>
        <v>-2089.38459999999</v>
      </c>
      <c r="J422" s="45" t="n">
        <v>-0.0265566087139167</v>
      </c>
      <c r="K422" s="45" t="n">
        <v>0.0214030667802957</v>
      </c>
      <c r="L422" s="46" t="str">
        <f aca="false">IF(I422&gt;0,"Actual above budget",IF(I422&lt;0,"Actual below budget","On budget"))</f>
        <v>Actual below budget</v>
      </c>
    </row>
    <row r="423" customFormat="false" ht="15" hidden="false" customHeight="false" outlineLevel="0" collapsed="false">
      <c r="A423" s="23" t="s">
        <v>217</v>
      </c>
      <c r="B423" s="23" t="s">
        <v>228</v>
      </c>
      <c r="C423" s="23" t="s">
        <v>200</v>
      </c>
      <c r="D423" s="34" t="n">
        <v>7200</v>
      </c>
      <c r="E423" s="23" t="s">
        <v>366</v>
      </c>
      <c r="F423" s="37" t="n">
        <v>49</v>
      </c>
      <c r="G423" s="37" t="n">
        <v>-518.961199999999</v>
      </c>
      <c r="H423" s="37" t="n">
        <v>-3769.5083</v>
      </c>
      <c r="I423" s="38" t="n">
        <f aca="false">G423-H423</f>
        <v>3250.5471</v>
      </c>
      <c r="J423" s="45"/>
      <c r="K423" s="45" t="n">
        <v>0.033297688062694</v>
      </c>
      <c r="L423" s="46" t="str">
        <f aca="false">IF(I423&gt;0,"Actual above budget",IF(I423&lt;0,"Actual below budget","On budget"))</f>
        <v>Actual above budget</v>
      </c>
    </row>
    <row r="424" customFormat="false" ht="15" hidden="false" customHeight="false" outlineLevel="0" collapsed="false">
      <c r="A424" s="23" t="s">
        <v>217</v>
      </c>
      <c r="B424" s="23" t="s">
        <v>228</v>
      </c>
      <c r="C424" s="23" t="s">
        <v>202</v>
      </c>
      <c r="D424" s="34" t="n">
        <v>7100</v>
      </c>
      <c r="E424" s="23" t="s">
        <v>365</v>
      </c>
      <c r="F424" s="37" t="n">
        <v>59</v>
      </c>
      <c r="G424" s="37" t="n">
        <v>62691.1074</v>
      </c>
      <c r="H424" s="37" t="n">
        <v>61211.0767</v>
      </c>
      <c r="I424" s="38" t="n">
        <f aca="false">G424-H424</f>
        <v>1480.03069999998</v>
      </c>
      <c r="J424" s="45" t="n">
        <v>0.0241791319445946</v>
      </c>
      <c r="K424" s="45" t="n">
        <v>0.0151610172243961</v>
      </c>
      <c r="L424" s="46" t="str">
        <f aca="false">IF(I424&gt;0,"Actual above budget",IF(I424&lt;0,"Actual below budget","On budget"))</f>
        <v>Actual above budget</v>
      </c>
    </row>
    <row r="425" customFormat="false" ht="15" hidden="false" customHeight="false" outlineLevel="0" collapsed="false">
      <c r="A425" s="23" t="s">
        <v>217</v>
      </c>
      <c r="B425" s="23" t="s">
        <v>228</v>
      </c>
      <c r="C425" s="23" t="s">
        <v>202</v>
      </c>
      <c r="D425" s="34" t="n">
        <v>7200</v>
      </c>
      <c r="E425" s="23" t="s">
        <v>366</v>
      </c>
      <c r="F425" s="37" t="n">
        <v>48</v>
      </c>
      <c r="G425" s="37" t="n">
        <v>6642.5387</v>
      </c>
      <c r="H425" s="37" t="n">
        <v>2823.3631</v>
      </c>
      <c r="I425" s="38" t="n">
        <f aca="false">G425-H425</f>
        <v>3819.1756</v>
      </c>
      <c r="J425" s="45"/>
      <c r="K425" s="45" t="n">
        <v>0.0391225581027428</v>
      </c>
      <c r="L425" s="46" t="str">
        <f aca="false">IF(I425&gt;0,"Actual above budget",IF(I425&lt;0,"Actual below budget","On budget"))</f>
        <v>Actual above budget</v>
      </c>
    </row>
    <row r="426" customFormat="false" ht="15" hidden="false" customHeight="false" outlineLevel="0" collapsed="false">
      <c r="A426" s="23" t="s">
        <v>217</v>
      </c>
      <c r="B426" s="23" t="s">
        <v>228</v>
      </c>
      <c r="C426" s="23" t="s">
        <v>197</v>
      </c>
      <c r="D426" s="34" t="n">
        <v>7100</v>
      </c>
      <c r="E426" s="23" t="s">
        <v>365</v>
      </c>
      <c r="F426" s="37" t="n">
        <v>42</v>
      </c>
      <c r="G426" s="37" t="n">
        <v>95868.5332</v>
      </c>
      <c r="H426" s="37" t="n">
        <v>112377.5959</v>
      </c>
      <c r="I426" s="38" t="n">
        <f aca="false">G426-H426</f>
        <v>-16509.0627</v>
      </c>
      <c r="J426" s="45" t="n">
        <v>-0.146907064239839</v>
      </c>
      <c r="K426" s="45" t="n">
        <v>0.169114183883709</v>
      </c>
      <c r="L426" s="46" t="str">
        <f aca="false">IF(I426&gt;0,"Actual above budget",IF(I426&lt;0,"Actual below budget","On budget"))</f>
        <v>Actual below budget</v>
      </c>
    </row>
    <row r="427" customFormat="false" ht="15" hidden="false" customHeight="false" outlineLevel="0" collapsed="false">
      <c r="A427" s="23" t="s">
        <v>217</v>
      </c>
      <c r="B427" s="23" t="s">
        <v>228</v>
      </c>
      <c r="C427" s="23" t="s">
        <v>197</v>
      </c>
      <c r="D427" s="34" t="n">
        <v>7200</v>
      </c>
      <c r="E427" s="23" t="s">
        <v>366</v>
      </c>
      <c r="F427" s="37" t="n">
        <v>54</v>
      </c>
      <c r="G427" s="37" t="n">
        <v>1765.9748</v>
      </c>
      <c r="H427" s="37" t="n">
        <v>426.474700000001</v>
      </c>
      <c r="I427" s="38" t="n">
        <f aca="false">G427-H427</f>
        <v>1339.5001</v>
      </c>
      <c r="J427" s="45"/>
      <c r="K427" s="45" t="n">
        <v>0.0137214613779162</v>
      </c>
      <c r="L427" s="46" t="str">
        <f aca="false">IF(I427&gt;0,"Actual above budget",IF(I427&lt;0,"Actual below budget","On budget"))</f>
        <v>Actual above budget</v>
      </c>
    </row>
    <row r="428" customFormat="false" ht="15" hidden="false" customHeight="false" outlineLevel="0" collapsed="false">
      <c r="A428" s="23" t="s">
        <v>217</v>
      </c>
      <c r="B428" s="23" t="s">
        <v>228</v>
      </c>
      <c r="C428" s="23" t="s">
        <v>199</v>
      </c>
      <c r="D428" s="34" t="n">
        <v>7100</v>
      </c>
      <c r="E428" s="23" t="s">
        <v>365</v>
      </c>
      <c r="F428" s="37" t="n">
        <v>57</v>
      </c>
      <c r="G428" s="37" t="n">
        <v>84649.0822</v>
      </c>
      <c r="H428" s="37" t="n">
        <v>75611.2249</v>
      </c>
      <c r="I428" s="38" t="n">
        <f aca="false">G428-H428</f>
        <v>9037.85730000003</v>
      </c>
      <c r="J428" s="45" t="n">
        <v>0.119530629373523</v>
      </c>
      <c r="K428" s="45" t="n">
        <v>0.0925812621298554</v>
      </c>
      <c r="L428" s="46" t="str">
        <f aca="false">IF(I428&gt;0,"Actual above budget",IF(I428&lt;0,"Actual below budget","On budget"))</f>
        <v>Actual above budget</v>
      </c>
    </row>
    <row r="429" customFormat="false" ht="15" hidden="false" customHeight="false" outlineLevel="0" collapsed="false">
      <c r="A429" s="23" t="s">
        <v>217</v>
      </c>
      <c r="B429" s="23" t="s">
        <v>228</v>
      </c>
      <c r="C429" s="23" t="s">
        <v>199</v>
      </c>
      <c r="D429" s="34" t="n">
        <v>7200</v>
      </c>
      <c r="E429" s="23" t="s">
        <v>366</v>
      </c>
      <c r="F429" s="37" t="n">
        <v>61</v>
      </c>
      <c r="G429" s="37" t="n">
        <v>-7961.6869</v>
      </c>
      <c r="H429" s="37" t="n">
        <v>-12363.1942</v>
      </c>
      <c r="I429" s="38" t="n">
        <f aca="false">G429-H429</f>
        <v>4401.5073</v>
      </c>
      <c r="J429" s="45"/>
      <c r="K429" s="45" t="n">
        <v>0.0450877998602359</v>
      </c>
      <c r="L429" s="46" t="str">
        <f aca="false">IF(I429&gt;0,"Actual above budget",IF(I429&lt;0,"Actual below budget","On budget"))</f>
        <v>Actual above budget</v>
      </c>
    </row>
    <row r="430" customFormat="false" ht="15" hidden="false" customHeight="false" outlineLevel="0" collapsed="false">
      <c r="A430" s="23" t="s">
        <v>217</v>
      </c>
      <c r="B430" s="23" t="s">
        <v>228</v>
      </c>
      <c r="C430" s="23" t="s">
        <v>195</v>
      </c>
      <c r="D430" s="34" t="n">
        <v>7100</v>
      </c>
      <c r="E430" s="23" t="s">
        <v>365</v>
      </c>
      <c r="F430" s="37" t="n">
        <v>55</v>
      </c>
      <c r="G430" s="37" t="n">
        <v>152606.5596</v>
      </c>
      <c r="H430" s="37" t="n">
        <v>104682.5652</v>
      </c>
      <c r="I430" s="38" t="n">
        <f aca="false">G430-H430</f>
        <v>47923.9944000001</v>
      </c>
      <c r="J430" s="45"/>
      <c r="K430" s="45" t="n">
        <v>0.490919887378187</v>
      </c>
      <c r="L430" s="46" t="str">
        <f aca="false">IF(I430&gt;0,"Actual above budget",IF(I430&lt;0,"Actual below budget","On budget"))</f>
        <v>Actual above budget</v>
      </c>
    </row>
    <row r="431" customFormat="false" ht="15" hidden="false" customHeight="false" outlineLevel="0" collapsed="false">
      <c r="A431" s="23" t="s">
        <v>217</v>
      </c>
      <c r="B431" s="23" t="s">
        <v>228</v>
      </c>
      <c r="C431" s="23" t="s">
        <v>195</v>
      </c>
      <c r="D431" s="34" t="n">
        <v>7200</v>
      </c>
      <c r="E431" s="23" t="s">
        <v>366</v>
      </c>
      <c r="F431" s="37" t="n">
        <v>59</v>
      </c>
      <c r="G431" s="37" t="n">
        <v>-13370.6647</v>
      </c>
      <c r="H431" s="37" t="n">
        <v>-12746.0877</v>
      </c>
      <c r="I431" s="38" t="n">
        <f aca="false">G431-H431</f>
        <v>-624.576999999999</v>
      </c>
      <c r="J431" s="45"/>
      <c r="K431" s="45" t="n">
        <v>0.00639799070043723</v>
      </c>
      <c r="L431" s="46" t="str">
        <f aca="false">IF(I431&gt;0,"Actual above budget",IF(I431&lt;0,"Actual below budget","On budget"))</f>
        <v>Actual below budget</v>
      </c>
    </row>
    <row r="432" customFormat="false" ht="15" hidden="false" customHeight="false" outlineLevel="0" collapsed="false">
      <c r="A432" s="23" t="s">
        <v>217</v>
      </c>
      <c r="B432" s="23" t="s">
        <v>229</v>
      </c>
      <c r="C432" s="23" t="s">
        <v>201</v>
      </c>
      <c r="D432" s="34" t="n">
        <v>8100</v>
      </c>
      <c r="E432" s="23" t="s">
        <v>367</v>
      </c>
      <c r="F432" s="37" t="n">
        <v>57</v>
      </c>
      <c r="G432" s="37" t="n">
        <v>298487.4211</v>
      </c>
      <c r="H432" s="37" t="n">
        <v>303370.5768</v>
      </c>
      <c r="I432" s="38" t="n">
        <f aca="false">G432-H432</f>
        <v>-4883.15570000006</v>
      </c>
      <c r="J432" s="45" t="n">
        <v>-0.0160963391753686</v>
      </c>
      <c r="K432" s="45" t="n">
        <v>0.0176969500280957</v>
      </c>
      <c r="L432" s="46" t="str">
        <f aca="false">IF(I432&gt;0,"Actual above budget",IF(I432&lt;0,"Actual below budget","On budget"))</f>
        <v>Actual below budget</v>
      </c>
    </row>
    <row r="433" customFormat="false" ht="15" hidden="false" customHeight="false" outlineLevel="0" collapsed="false">
      <c r="A433" s="23" t="s">
        <v>217</v>
      </c>
      <c r="B433" s="23" t="s">
        <v>229</v>
      </c>
      <c r="C433" s="23" t="s">
        <v>200</v>
      </c>
      <c r="D433" s="34" t="n">
        <v>8100</v>
      </c>
      <c r="E433" s="23" t="s">
        <v>367</v>
      </c>
      <c r="F433" s="37" t="n">
        <v>54</v>
      </c>
      <c r="G433" s="37" t="n">
        <v>339969.504</v>
      </c>
      <c r="H433" s="37" t="n">
        <v>431046.8468</v>
      </c>
      <c r="I433" s="38" t="n">
        <f aca="false">G433-H433</f>
        <v>-91077.3428</v>
      </c>
      <c r="J433" s="45" t="n">
        <v>-0.211293374435143</v>
      </c>
      <c r="K433" s="45" t="n">
        <v>0.330071634665129</v>
      </c>
      <c r="L433" s="46" t="str">
        <f aca="false">IF(I433&gt;0,"Actual above budget",IF(I433&lt;0,"Actual below budget","On budget"))</f>
        <v>Actual below budget</v>
      </c>
    </row>
    <row r="434" customFormat="false" ht="15" hidden="false" customHeight="false" outlineLevel="0" collapsed="false">
      <c r="A434" s="23" t="s">
        <v>217</v>
      </c>
      <c r="B434" s="23" t="s">
        <v>229</v>
      </c>
      <c r="C434" s="23" t="s">
        <v>202</v>
      </c>
      <c r="D434" s="34" t="n">
        <v>8100</v>
      </c>
      <c r="E434" s="23" t="s">
        <v>367</v>
      </c>
      <c r="F434" s="37" t="n">
        <v>52</v>
      </c>
      <c r="G434" s="37" t="n">
        <v>247058.8505</v>
      </c>
      <c r="H434" s="37" t="n">
        <v>243835.8606</v>
      </c>
      <c r="I434" s="38" t="n">
        <f aca="false">G434-H434</f>
        <v>3222.98990000007</v>
      </c>
      <c r="J434" s="45" t="n">
        <v>0.0132178666914262</v>
      </c>
      <c r="K434" s="45" t="n">
        <v>0.0116803752952946</v>
      </c>
      <c r="L434" s="46" t="str">
        <f aca="false">IF(I434&gt;0,"Actual above budget",IF(I434&lt;0,"Actual below budget","On budget"))</f>
        <v>Actual above budget</v>
      </c>
    </row>
    <row r="435" customFormat="false" ht="15" hidden="false" customHeight="false" outlineLevel="0" collapsed="false">
      <c r="A435" s="23" t="s">
        <v>217</v>
      </c>
      <c r="B435" s="23" t="s">
        <v>229</v>
      </c>
      <c r="C435" s="23" t="s">
        <v>197</v>
      </c>
      <c r="D435" s="34" t="n">
        <v>8100</v>
      </c>
      <c r="E435" s="23" t="s">
        <v>367</v>
      </c>
      <c r="F435" s="37" t="n">
        <v>60</v>
      </c>
      <c r="G435" s="37" t="n">
        <v>655899.2162</v>
      </c>
      <c r="H435" s="37" t="n">
        <v>621961.3236</v>
      </c>
      <c r="I435" s="38" t="n">
        <f aca="false">G435-H435</f>
        <v>33937.8925999997</v>
      </c>
      <c r="J435" s="45" t="n">
        <v>0.0545659212434025</v>
      </c>
      <c r="K435" s="45" t="n">
        <v>0.122993659489719</v>
      </c>
      <c r="L435" s="46" t="str">
        <f aca="false">IF(I435&gt;0,"Actual above budget",IF(I435&lt;0,"Actual below budget","On budget"))</f>
        <v>Actual above budget</v>
      </c>
    </row>
    <row r="436" customFormat="false" ht="15" hidden="false" customHeight="false" outlineLevel="0" collapsed="false">
      <c r="A436" s="23" t="s">
        <v>217</v>
      </c>
      <c r="B436" s="23" t="s">
        <v>229</v>
      </c>
      <c r="C436" s="23" t="s">
        <v>199</v>
      </c>
      <c r="D436" s="34" t="n">
        <v>8100</v>
      </c>
      <c r="E436" s="23" t="s">
        <v>367</v>
      </c>
      <c r="F436" s="37" t="n">
        <v>56</v>
      </c>
      <c r="G436" s="37" t="n">
        <v>306085.5356</v>
      </c>
      <c r="H436" s="37" t="n">
        <v>365646.08</v>
      </c>
      <c r="I436" s="38" t="n">
        <f aca="false">G436-H436</f>
        <v>-59560.5443999998</v>
      </c>
      <c r="J436" s="45" t="n">
        <v>-0.162891242810534</v>
      </c>
      <c r="K436" s="45" t="n">
        <v>0.215852215790083</v>
      </c>
      <c r="L436" s="46" t="str">
        <f aca="false">IF(I436&gt;0,"Actual above budget",IF(I436&lt;0,"Actual below budget","On budget"))</f>
        <v>Actual below budget</v>
      </c>
    </row>
    <row r="437" customFormat="false" ht="15" hidden="false" customHeight="false" outlineLevel="0" collapsed="false">
      <c r="A437" s="23" t="s">
        <v>217</v>
      </c>
      <c r="B437" s="23" t="s">
        <v>229</v>
      </c>
      <c r="C437" s="23" t="s">
        <v>195</v>
      </c>
      <c r="D437" s="34" t="n">
        <v>8100</v>
      </c>
      <c r="E437" s="23" t="s">
        <v>367</v>
      </c>
      <c r="F437" s="37" t="n">
        <v>60</v>
      </c>
      <c r="G437" s="37" t="n">
        <v>868339.4032</v>
      </c>
      <c r="H437" s="37" t="n">
        <v>785089.278600001</v>
      </c>
      <c r="I437" s="38" t="n">
        <f aca="false">G437-H437</f>
        <v>83250.1245999993</v>
      </c>
      <c r="J437" s="45" t="n">
        <v>0.106039054244193</v>
      </c>
      <c r="K437" s="45" t="n">
        <v>0.301705164731679</v>
      </c>
      <c r="L437" s="46" t="str">
        <f aca="false">IF(I437&gt;0,"Actual above budget",IF(I437&lt;0,"Actual below budget","On budget"))</f>
        <v>Actual above budget</v>
      </c>
    </row>
  </sheetData>
  <mergeCells count="7">
    <mergeCell ref="A3:N3"/>
    <mergeCell ref="A6:N6"/>
    <mergeCell ref="A18:N18"/>
    <mergeCell ref="A29:N29"/>
    <mergeCell ref="A42:N42"/>
    <mergeCell ref="A118:N118"/>
    <mergeCell ref="A148:N148"/>
  </mergeCells>
  <conditionalFormatting sqref="F8:F13">
    <cfRule type="colorScale" priority="2">
      <colorScale>
        <cfvo type="min" val="0"/>
        <cfvo type="percentile" val="50"/>
        <cfvo type="max" val="0"/>
        <color rgb="FFF8CBAD"/>
        <color rgb="FFFFFFFF"/>
        <color rgb="FFC6E0B4"/>
      </colorScale>
    </cfRule>
  </conditionalFormatting>
  <conditionalFormatting sqref="E31:E36">
    <cfRule type="dataBar" priority="3">
      <dataBar showValue="1" minLength="10" maxLength="90">
        <cfvo type="min" val="0"/>
        <cfvo type="max" val="0"/>
        <color rgb="FF9DC3E6"/>
      </dataBar>
      <extLst>
        <ext xmlns:x14="http://schemas.microsoft.com/office/spreadsheetml/2009/9/main" uri="{B025F937-C7B1-47D3-B67F-A62EFF666E3E}">
          <x14:id>{954C29BF-747B-40D0-B387-7CEC99B6E867}</x14:id>
        </ext>
      </extLst>
    </cfRule>
  </conditionalFormatting>
  <conditionalFormatting sqref="I31:I36">
    <cfRule type="dataBar" priority="4">
      <dataBar showValue="1" minLength="10" maxLength="90">
        <cfvo type="min" val="0"/>
        <cfvo type="max" val="0"/>
        <color rgb="FF9DC3E6"/>
      </dataBar>
      <extLst>
        <ext xmlns:x14="http://schemas.microsoft.com/office/spreadsheetml/2009/9/main" uri="{B025F937-C7B1-47D3-B67F-A62EFF666E3E}">
          <x14:id>{70C08BE4-4CCA-45AF-A920-8AD467EBF080}</x14:id>
        </ext>
      </extLst>
    </cfRule>
  </conditionalFormatting>
  <hyperlinks>
    <hyperlink ref="N1" location="'Start Here'!A1" display="Back to Start Here"/>
  </hyperlink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954C29BF-747B-40D0-B387-7CEC99B6E867}">
            <x14:dataBar minLength="10" maxLength="90" axisPosition="automatic" gradient="false">
              <x14:cfvo type="autoMin"/>
              <x14:cfvo type="autoMax"/>
              <x14:negativeFillColor rgb="FFF4B183"/>
              <x14:axisColor rgb="FF000000"/>
            </x14:dataBar>
          </x14:cfRule>
          <xm:sqref>E31:E36</xm:sqref>
        </x14:conditionalFormatting>
        <x14:conditionalFormatting xmlns:xm="http://schemas.microsoft.com/office/excel/2006/main">
          <x14:cfRule type="dataBar" id="{70C08BE4-4CCA-45AF-A920-8AD467EBF080}">
            <x14:dataBar minLength="10" maxLength="90" axisPosition="automatic" gradient="false">
              <x14:cfvo type="autoMin"/>
              <x14:cfvo type="autoMax"/>
              <x14:negativeFillColor rgb="FFF4B183"/>
              <x14:axisColor rgb="FF000000"/>
            </x14:dataBar>
          </x14:cfRule>
          <xm:sqref>I31:I36</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DC3E6"/>
    <pageSetUpPr fitToPage="true"/>
  </sheetPr>
  <dimension ref="A1:M2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28.71"/>
    <col collapsed="false" customWidth="true" hidden="false" outlineLevel="0" max="6" min="4" style="0" width="15.71"/>
    <col collapsed="false" customWidth="true" hidden="false" outlineLevel="0" max="7" min="7" style="0" width="14.71"/>
    <col collapsed="false" customWidth="true" hidden="false" outlineLevel="0" max="8" min="8" style="0" width="12.71"/>
    <col collapsed="false" customWidth="true" hidden="false" outlineLevel="0" max="9" min="9" style="0" width="15.71"/>
    <col collapsed="false" customWidth="true" hidden="false" outlineLevel="0" max="13" min="10" style="0" width="11.71"/>
  </cols>
  <sheetData>
    <row r="1" customFormat="false" ht="19.7" hidden="false" customHeight="false" outlineLevel="0" collapsed="false">
      <c r="A1" s="19" t="s">
        <v>368</v>
      </c>
      <c r="L1" s="5" t="s">
        <v>61</v>
      </c>
    </row>
    <row r="2" customFormat="false" ht="15" hidden="false" customHeight="false" outlineLevel="0" collapsed="false">
      <c r="A2" s="2" t="s">
        <v>369</v>
      </c>
    </row>
    <row r="3" customFormat="false" ht="45" hidden="false" customHeight="true" outlineLevel="0" collapsed="false">
      <c r="A3" s="3" t="s">
        <v>370</v>
      </c>
      <c r="B3" s="3"/>
      <c r="C3" s="3"/>
      <c r="D3" s="3"/>
      <c r="E3" s="3"/>
      <c r="F3" s="3"/>
      <c r="G3" s="3"/>
      <c r="H3" s="3"/>
      <c r="I3" s="3"/>
      <c r="J3" s="3"/>
      <c r="K3" s="3"/>
      <c r="L3" s="3"/>
    </row>
    <row r="5" customFormat="false" ht="15" hidden="false" customHeight="false" outlineLevel="0" collapsed="false">
      <c r="A5" s="20" t="s">
        <v>371</v>
      </c>
      <c r="B5" s="21"/>
      <c r="C5" s="21"/>
      <c r="D5" s="21"/>
      <c r="E5" s="21"/>
      <c r="F5" s="21"/>
      <c r="G5" s="21"/>
      <c r="H5" s="21"/>
      <c r="I5" s="21"/>
      <c r="J5" s="21"/>
      <c r="K5" s="21"/>
      <c r="L5" s="21"/>
    </row>
    <row r="6" customFormat="false" ht="27.75" hidden="false" customHeight="true" outlineLevel="0" collapsed="false">
      <c r="A6" s="26" t="s">
        <v>372</v>
      </c>
      <c r="B6" s="26"/>
      <c r="C6" s="26"/>
      <c r="D6" s="26"/>
      <c r="E6" s="26"/>
      <c r="F6" s="26"/>
      <c r="G6" s="26"/>
      <c r="H6" s="26"/>
      <c r="I6" s="26"/>
      <c r="J6" s="26"/>
      <c r="K6" s="26"/>
      <c r="L6" s="26"/>
    </row>
    <row r="7" customFormat="false" ht="43.5" hidden="false" customHeight="true" outlineLevel="0" collapsed="false">
      <c r="A7" s="22" t="s">
        <v>190</v>
      </c>
      <c r="B7" s="22" t="s">
        <v>191</v>
      </c>
      <c r="C7" s="22" t="s">
        <v>162</v>
      </c>
      <c r="D7" s="22" t="s">
        <v>142</v>
      </c>
      <c r="E7" s="22" t="s">
        <v>373</v>
      </c>
      <c r="F7" s="22" t="s">
        <v>374</v>
      </c>
      <c r="G7" s="22" t="s">
        <v>375</v>
      </c>
      <c r="H7" s="22" t="s">
        <v>376</v>
      </c>
    </row>
    <row r="8" customFormat="false" ht="15" hidden="false" customHeight="false" outlineLevel="0" collapsed="false">
      <c r="A8" s="34" t="n">
        <v>4100</v>
      </c>
      <c r="B8" s="23" t="s">
        <v>196</v>
      </c>
      <c r="C8" s="23" t="s">
        <v>224</v>
      </c>
      <c r="D8" s="37" t="n">
        <v>10989</v>
      </c>
      <c r="E8" s="37" t="n">
        <v>173804993.281801</v>
      </c>
      <c r="F8" s="37" t="n">
        <v>202904619.381801</v>
      </c>
      <c r="G8" s="39" t="n">
        <f aca="false">F8/SUM($F$8:$F$31)</f>
        <v>0.401438102624049</v>
      </c>
      <c r="H8" s="45" t="n">
        <v>0.0698880698880699</v>
      </c>
    </row>
    <row r="9" customFormat="false" ht="15" hidden="false" customHeight="false" outlineLevel="0" collapsed="false">
      <c r="A9" s="34" t="n">
        <v>4110</v>
      </c>
      <c r="B9" s="23" t="s">
        <v>204</v>
      </c>
      <c r="C9" s="23" t="s">
        <v>224</v>
      </c>
      <c r="D9" s="37" t="n">
        <v>10619</v>
      </c>
      <c r="E9" s="37" t="n">
        <v>25836277.8835</v>
      </c>
      <c r="F9" s="37" t="n">
        <v>30043878.3234999</v>
      </c>
      <c r="G9" s="39" t="n">
        <f aca="false">F9/SUM($F$8:$F$31)</f>
        <v>0.0594405270141198</v>
      </c>
      <c r="H9" s="45" t="n">
        <v>0.0706281194086072</v>
      </c>
    </row>
    <row r="10" customFormat="false" ht="15" hidden="false" customHeight="false" outlineLevel="0" collapsed="false">
      <c r="A10" s="34" t="n">
        <v>4120</v>
      </c>
      <c r="B10" s="23" t="s">
        <v>349</v>
      </c>
      <c r="C10" s="23" t="s">
        <v>224</v>
      </c>
      <c r="D10" s="37" t="n">
        <v>385</v>
      </c>
      <c r="E10" s="37" t="n">
        <v>5541213.9023</v>
      </c>
      <c r="F10" s="37" t="n">
        <v>6200186.0223</v>
      </c>
      <c r="G10" s="39" t="n">
        <f aca="false">F10/SUM($F$8:$F$31)</f>
        <v>0.0122668026006091</v>
      </c>
      <c r="H10" s="45" t="n">
        <v>0.0597402597402597</v>
      </c>
    </row>
    <row r="11" customFormat="false" ht="15" hidden="false" customHeight="false" outlineLevel="0" collapsed="false">
      <c r="A11" s="34" t="n">
        <v>4190</v>
      </c>
      <c r="B11" s="23" t="s">
        <v>350</v>
      </c>
      <c r="C11" s="23" t="s">
        <v>224</v>
      </c>
      <c r="D11" s="37" t="n">
        <v>10820</v>
      </c>
      <c r="E11" s="37" t="n">
        <v>-2533482.9154</v>
      </c>
      <c r="F11" s="37" t="n">
        <v>15381852.6394</v>
      </c>
      <c r="G11" s="39" t="n">
        <f aca="false">F11/SUM($F$8:$F$31)</f>
        <v>0.03043233691385</v>
      </c>
      <c r="H11" s="45" t="n">
        <v>0.576617375231054</v>
      </c>
    </row>
    <row r="12" customFormat="false" ht="15" hidden="false" customHeight="false" outlineLevel="0" collapsed="false">
      <c r="A12" s="34" t="n">
        <v>5100</v>
      </c>
      <c r="B12" s="23" t="s">
        <v>198</v>
      </c>
      <c r="C12" s="23" t="s">
        <v>172</v>
      </c>
      <c r="D12" s="37" t="n">
        <v>10805</v>
      </c>
      <c r="E12" s="37" t="n">
        <v>66640643.7037002</v>
      </c>
      <c r="F12" s="37" t="n">
        <v>90575710.5568997</v>
      </c>
      <c r="G12" s="39" t="n">
        <f aca="false">F12/SUM($F$8:$F$31)</f>
        <v>0.179200165578134</v>
      </c>
      <c r="H12" s="45" t="n">
        <v>0.13216103655715</v>
      </c>
    </row>
    <row r="13" customFormat="false" ht="15" hidden="false" customHeight="false" outlineLevel="0" collapsed="false">
      <c r="A13" s="34" t="n">
        <v>5110</v>
      </c>
      <c r="B13" s="23" t="s">
        <v>351</v>
      </c>
      <c r="C13" s="23" t="s">
        <v>172</v>
      </c>
      <c r="D13" s="37" t="n">
        <v>346</v>
      </c>
      <c r="E13" s="37" t="n">
        <v>5889399.2273</v>
      </c>
      <c r="F13" s="37" t="n">
        <v>7867824.5673</v>
      </c>
      <c r="G13" s="39" t="n">
        <f aca="false">F13/SUM($F$8:$F$31)</f>
        <v>0.0155661540663726</v>
      </c>
      <c r="H13" s="45" t="n">
        <v>0.127167630057804</v>
      </c>
    </row>
    <row r="14" customFormat="false" ht="15" hidden="false" customHeight="false" outlineLevel="0" collapsed="false">
      <c r="A14" s="34" t="n">
        <v>5120</v>
      </c>
      <c r="B14" s="23" t="s">
        <v>352</v>
      </c>
      <c r="C14" s="23" t="s">
        <v>172</v>
      </c>
      <c r="D14" s="37" t="n">
        <v>348</v>
      </c>
      <c r="E14" s="37" t="n">
        <v>987251.4704</v>
      </c>
      <c r="F14" s="37" t="n">
        <v>2643665.9554</v>
      </c>
      <c r="G14" s="39" t="n">
        <f aca="false">F14/SUM($F$8:$F$31)</f>
        <v>0.00523037991121636</v>
      </c>
      <c r="H14" s="45" t="n">
        <v>0.333333333333333</v>
      </c>
    </row>
    <row r="15" customFormat="false" ht="15" hidden="false" customHeight="false" outlineLevel="0" collapsed="false">
      <c r="A15" s="34" t="n">
        <v>5200</v>
      </c>
      <c r="B15" s="23" t="s">
        <v>205</v>
      </c>
      <c r="C15" s="23" t="s">
        <v>172</v>
      </c>
      <c r="D15" s="37" t="n">
        <v>340</v>
      </c>
      <c r="E15" s="37" t="n">
        <v>11830633.0916</v>
      </c>
      <c r="F15" s="37" t="n">
        <v>15660731.5488</v>
      </c>
      <c r="G15" s="39" t="n">
        <f aca="false">F15/SUM($F$8:$F$31)</f>
        <v>0.0309840868966375</v>
      </c>
      <c r="H15" s="45" t="n">
        <v>0.135294117647059</v>
      </c>
    </row>
    <row r="16" customFormat="false" ht="15" hidden="false" customHeight="false" outlineLevel="0" collapsed="false">
      <c r="A16" s="34" t="n">
        <v>5300</v>
      </c>
      <c r="B16" s="23" t="s">
        <v>353</v>
      </c>
      <c r="C16" s="23" t="s">
        <v>172</v>
      </c>
      <c r="D16" s="37" t="n">
        <v>359</v>
      </c>
      <c r="E16" s="37" t="n">
        <v>7460090.4092</v>
      </c>
      <c r="F16" s="37" t="n">
        <v>11251448.9178</v>
      </c>
      <c r="G16" s="39" t="n">
        <f aca="false">F16/SUM($F$8:$F$31)</f>
        <v>0.0222605099829392</v>
      </c>
      <c r="H16" s="45" t="n">
        <v>0.175487465181059</v>
      </c>
    </row>
    <row r="17" customFormat="false" ht="15" hidden="false" customHeight="false" outlineLevel="0" collapsed="false">
      <c r="A17" s="34" t="n">
        <v>6100</v>
      </c>
      <c r="B17" s="23" t="s">
        <v>203</v>
      </c>
      <c r="C17" s="23" t="s">
        <v>225</v>
      </c>
      <c r="D17" s="37" t="n">
        <v>1071</v>
      </c>
      <c r="E17" s="37" t="n">
        <v>27879880.4806001</v>
      </c>
      <c r="F17" s="37" t="n">
        <v>38887947.5946</v>
      </c>
      <c r="G17" s="39" t="n">
        <f aca="false">F17/SUM($F$8:$F$31)</f>
        <v>0.0769381394316345</v>
      </c>
      <c r="H17" s="45" t="n">
        <v>0.135387488328665</v>
      </c>
    </row>
    <row r="18" customFormat="false" ht="15" hidden="false" customHeight="false" outlineLevel="0" collapsed="false">
      <c r="A18" s="34" t="n">
        <v>6110</v>
      </c>
      <c r="B18" s="23" t="s">
        <v>354</v>
      </c>
      <c r="C18" s="23" t="s">
        <v>225</v>
      </c>
      <c r="D18" s="37" t="n">
        <v>1133</v>
      </c>
      <c r="E18" s="37" t="n">
        <v>4907347.24939999</v>
      </c>
      <c r="F18" s="37" t="n">
        <v>6629433.82559999</v>
      </c>
      <c r="G18" s="39" t="n">
        <f aca="false">F18/SUM($F$8:$F$31)</f>
        <v>0.0131160510023325</v>
      </c>
      <c r="H18" s="45" t="n">
        <v>0.1306266548985</v>
      </c>
    </row>
    <row r="19" customFormat="false" ht="15" hidden="false" customHeight="false" outlineLevel="0" collapsed="false">
      <c r="A19" s="34" t="n">
        <v>6120</v>
      </c>
      <c r="B19" s="23" t="s">
        <v>355</v>
      </c>
      <c r="C19" s="23" t="s">
        <v>225</v>
      </c>
      <c r="D19" s="37" t="n">
        <v>1081</v>
      </c>
      <c r="E19" s="37" t="n">
        <v>6921711.57789999</v>
      </c>
      <c r="F19" s="37" t="n">
        <v>9375058.66009999</v>
      </c>
      <c r="G19" s="39" t="n">
        <f aca="false">F19/SUM($F$8:$F$31)</f>
        <v>0.0185481521907493</v>
      </c>
      <c r="H19" s="45" t="n">
        <v>0.131359851988899</v>
      </c>
    </row>
    <row r="20" customFormat="false" ht="15" hidden="false" customHeight="false" outlineLevel="0" collapsed="false">
      <c r="A20" s="34" t="n">
        <v>6200</v>
      </c>
      <c r="B20" s="23" t="s">
        <v>356</v>
      </c>
      <c r="C20" s="23" t="s">
        <v>226</v>
      </c>
      <c r="D20" s="37" t="n">
        <v>1048</v>
      </c>
      <c r="E20" s="37" t="n">
        <v>2818050.3369</v>
      </c>
      <c r="F20" s="37" t="n">
        <v>3998272.4989</v>
      </c>
      <c r="G20" s="39" t="n">
        <f aca="false">F20/SUM($F$8:$F$31)</f>
        <v>0.00791041096364658</v>
      </c>
      <c r="H20" s="45" t="n">
        <v>0.151717557251908</v>
      </c>
    </row>
    <row r="21" customFormat="false" ht="15" hidden="false" customHeight="false" outlineLevel="0" collapsed="false">
      <c r="A21" s="34" t="n">
        <v>6210</v>
      </c>
      <c r="B21" s="23" t="s">
        <v>357</v>
      </c>
      <c r="C21" s="23" t="s">
        <v>226</v>
      </c>
      <c r="D21" s="37" t="n">
        <v>1086</v>
      </c>
      <c r="E21" s="37" t="n">
        <v>9062846.61770001</v>
      </c>
      <c r="F21" s="37" t="n">
        <v>11948547.3411</v>
      </c>
      <c r="G21" s="39" t="n">
        <f aca="false">F21/SUM($F$8:$F$31)</f>
        <v>0.0236396893690191</v>
      </c>
      <c r="H21" s="45" t="n">
        <v>0.135359116022099</v>
      </c>
    </row>
    <row r="22" customFormat="false" ht="15" hidden="false" customHeight="false" outlineLevel="0" collapsed="false">
      <c r="A22" s="34" t="n">
        <v>6220</v>
      </c>
      <c r="B22" s="23" t="s">
        <v>358</v>
      </c>
      <c r="C22" s="23" t="s">
        <v>226</v>
      </c>
      <c r="D22" s="37" t="n">
        <v>1031</v>
      </c>
      <c r="E22" s="37" t="n">
        <v>10084193.3979</v>
      </c>
      <c r="F22" s="37" t="n">
        <v>14039197.1307</v>
      </c>
      <c r="G22" s="39" t="n">
        <f aca="false">F22/SUM($F$8:$F$31)</f>
        <v>0.0277759504721198</v>
      </c>
      <c r="H22" s="45" t="n">
        <v>0.135790494665373</v>
      </c>
    </row>
    <row r="23" customFormat="false" ht="15" hidden="false" customHeight="false" outlineLevel="0" collapsed="false">
      <c r="A23" s="34" t="n">
        <v>6230</v>
      </c>
      <c r="B23" s="23" t="s">
        <v>359</v>
      </c>
      <c r="C23" s="23" t="s">
        <v>226</v>
      </c>
      <c r="D23" s="37" t="n">
        <v>1092</v>
      </c>
      <c r="E23" s="37" t="n">
        <v>7324936.6385</v>
      </c>
      <c r="F23" s="37" t="n">
        <v>10529962.2539</v>
      </c>
      <c r="G23" s="39" t="n">
        <f aca="false">F23/SUM($F$8:$F$31)</f>
        <v>0.02083307950695</v>
      </c>
      <c r="H23" s="45" t="n">
        <v>0.153846153846154</v>
      </c>
    </row>
    <row r="24" customFormat="false" ht="15" hidden="false" customHeight="false" outlineLevel="0" collapsed="false">
      <c r="A24" s="34" t="n">
        <v>6240</v>
      </c>
      <c r="B24" s="23" t="s">
        <v>360</v>
      </c>
      <c r="C24" s="23" t="s">
        <v>226</v>
      </c>
      <c r="D24" s="37" t="n">
        <v>1131</v>
      </c>
      <c r="E24" s="37" t="n">
        <v>3849793.2054</v>
      </c>
      <c r="F24" s="37" t="n">
        <v>5139421.29880001</v>
      </c>
      <c r="G24" s="39" t="n">
        <f aca="false">F24/SUM($F$8:$F$31)</f>
        <v>0.0101681250089911</v>
      </c>
      <c r="H24" s="45" t="n">
        <v>0.123784261715296</v>
      </c>
    </row>
    <row r="25" customFormat="false" ht="15" hidden="false" customHeight="false" outlineLevel="0" collapsed="false">
      <c r="A25" s="34" t="n">
        <v>6250</v>
      </c>
      <c r="B25" s="23" t="s">
        <v>361</v>
      </c>
      <c r="C25" s="23" t="s">
        <v>226</v>
      </c>
      <c r="D25" s="37" t="n">
        <v>1079</v>
      </c>
      <c r="E25" s="37" t="n">
        <v>4769489.4146</v>
      </c>
      <c r="F25" s="37" t="n">
        <v>6779051.5956</v>
      </c>
      <c r="G25" s="39" t="n">
        <f aca="false">F25/SUM($F$8:$F$31)</f>
        <v>0.0134120633547897</v>
      </c>
      <c r="H25" s="45" t="n">
        <v>0.153846153846154</v>
      </c>
    </row>
    <row r="26" customFormat="false" ht="15" hidden="false" customHeight="false" outlineLevel="0" collapsed="false">
      <c r="A26" s="34" t="n">
        <v>6260</v>
      </c>
      <c r="B26" s="23" t="s">
        <v>362</v>
      </c>
      <c r="C26" s="23" t="s">
        <v>226</v>
      </c>
      <c r="D26" s="37" t="n">
        <v>1075</v>
      </c>
      <c r="E26" s="37" t="n">
        <v>3972998.5884</v>
      </c>
      <c r="F26" s="37" t="n">
        <v>5536685.9234</v>
      </c>
      <c r="G26" s="39" t="n">
        <f aca="false">F26/SUM($F$8:$F$31)</f>
        <v>0.0109540960609315</v>
      </c>
      <c r="H26" s="45" t="n">
        <v>0.141395348837209</v>
      </c>
    </row>
    <row r="27" customFormat="false" ht="15" hidden="false" customHeight="false" outlineLevel="0" collapsed="false">
      <c r="A27" s="34" t="n">
        <v>6270</v>
      </c>
      <c r="B27" s="23" t="s">
        <v>363</v>
      </c>
      <c r="C27" s="23" t="s">
        <v>226</v>
      </c>
      <c r="D27" s="37" t="n">
        <v>1103</v>
      </c>
      <c r="E27" s="37" t="n">
        <v>1930490.5782</v>
      </c>
      <c r="F27" s="37" t="n">
        <v>2747582.2714</v>
      </c>
      <c r="G27" s="39" t="n">
        <f aca="false">F27/SUM($F$8:$F$31)</f>
        <v>0.00543597389352105</v>
      </c>
      <c r="H27" s="45" t="n">
        <v>0.14777878513146</v>
      </c>
    </row>
    <row r="28" customFormat="false" ht="15" hidden="false" customHeight="false" outlineLevel="0" collapsed="false">
      <c r="A28" s="34" t="n">
        <v>6300</v>
      </c>
      <c r="B28" s="23" t="s">
        <v>364</v>
      </c>
      <c r="C28" s="23" t="s">
        <v>227</v>
      </c>
      <c r="D28" s="37" t="n">
        <v>345</v>
      </c>
      <c r="E28" s="37" t="n">
        <v>1841552.0637</v>
      </c>
      <c r="F28" s="37" t="n">
        <v>2432309.0115</v>
      </c>
      <c r="G28" s="39" t="n">
        <f aca="false">F28/SUM($F$8:$F$31)</f>
        <v>0.00481221924639689</v>
      </c>
      <c r="H28" s="45" t="n">
        <v>0.127536231884058</v>
      </c>
    </row>
    <row r="29" customFormat="false" ht="15" hidden="false" customHeight="false" outlineLevel="0" collapsed="false">
      <c r="A29" s="34" t="n">
        <v>7100</v>
      </c>
      <c r="B29" s="23" t="s">
        <v>365</v>
      </c>
      <c r="C29" s="23" t="s">
        <v>228</v>
      </c>
      <c r="D29" s="37" t="n">
        <v>343</v>
      </c>
      <c r="E29" s="37" t="n">
        <v>600976.6488</v>
      </c>
      <c r="F29" s="37" t="n">
        <v>818938.064400001</v>
      </c>
      <c r="G29" s="39" t="n">
        <f aca="false">F29/SUM($F$8:$F$31)</f>
        <v>0.00162023389975534</v>
      </c>
      <c r="H29" s="45" t="n">
        <v>0.134110787172012</v>
      </c>
    </row>
    <row r="30" customFormat="false" ht="15" hidden="false" customHeight="false" outlineLevel="0" collapsed="false">
      <c r="A30" s="34" t="n">
        <v>7200</v>
      </c>
      <c r="B30" s="23" t="s">
        <v>366</v>
      </c>
      <c r="C30" s="23" t="s">
        <v>228</v>
      </c>
      <c r="D30" s="37" t="n">
        <v>354</v>
      </c>
      <c r="E30" s="37" t="n">
        <v>-5057.7784</v>
      </c>
      <c r="F30" s="37" t="n">
        <v>265132.8276</v>
      </c>
      <c r="G30" s="39" t="n">
        <f aca="false">F30/SUM($F$8:$F$31)</f>
        <v>0.000524553948448153</v>
      </c>
      <c r="H30" s="45" t="n">
        <v>0.514124293785311</v>
      </c>
    </row>
    <row r="31" customFormat="false" ht="15" hidden="false" customHeight="false" outlineLevel="0" collapsed="false">
      <c r="A31" s="34" t="n">
        <v>8100</v>
      </c>
      <c r="B31" s="23" t="s">
        <v>367</v>
      </c>
      <c r="C31" s="23" t="s">
        <v>229</v>
      </c>
      <c r="D31" s="37" t="n">
        <v>357</v>
      </c>
      <c r="E31" s="37" t="n">
        <v>2751000.6627</v>
      </c>
      <c r="F31" s="37" t="n">
        <v>3786888.1417</v>
      </c>
      <c r="G31" s="39" t="n">
        <f aca="false">F31/SUM($F$8:$F$31)</f>
        <v>0.00749219606278671</v>
      </c>
      <c r="H31" s="45" t="n">
        <v>0.145658263305322</v>
      </c>
    </row>
    <row r="32" customFormat="false" ht="15" hidden="false" customHeight="false" outlineLevel="0" collapsed="false">
      <c r="A32" s="41" t="s">
        <v>377</v>
      </c>
      <c r="D32" s="42" t="n">
        <f aca="false">SUM($D$8:$D$31)</f>
        <v>58340</v>
      </c>
      <c r="E32" s="42" t="n">
        <f aca="false">SUM($E$8:$E$31)</f>
        <v>384167229.736701</v>
      </c>
      <c r="F32" s="42" t="n">
        <f aca="false">SUM($F$8:$F$31)</f>
        <v>505444346.3525</v>
      </c>
    </row>
    <row r="35" customFormat="false" ht="15" hidden="false" customHeight="false" outlineLevel="0" collapsed="false">
      <c r="A35" s="20" t="s">
        <v>378</v>
      </c>
      <c r="B35" s="21"/>
      <c r="C35" s="21"/>
      <c r="D35" s="21"/>
      <c r="E35" s="21"/>
      <c r="F35" s="21"/>
      <c r="G35" s="21"/>
      <c r="H35" s="21"/>
      <c r="I35" s="21"/>
      <c r="J35" s="21"/>
      <c r="K35" s="21"/>
      <c r="L35" s="21"/>
    </row>
    <row r="36" customFormat="false" ht="27.75" hidden="false" customHeight="true" outlineLevel="0" collapsed="false">
      <c r="A36" s="26" t="s">
        <v>379</v>
      </c>
      <c r="B36" s="26"/>
      <c r="C36" s="26"/>
      <c r="D36" s="26"/>
      <c r="E36" s="26"/>
      <c r="F36" s="26"/>
      <c r="G36" s="26"/>
      <c r="H36" s="26"/>
      <c r="I36" s="26"/>
      <c r="J36" s="26"/>
      <c r="K36" s="26"/>
      <c r="L36" s="26"/>
    </row>
    <row r="37" customFormat="false" ht="43.5" hidden="false" customHeight="true" outlineLevel="0" collapsed="false">
      <c r="A37" s="22" t="s">
        <v>380</v>
      </c>
      <c r="B37" s="22" t="s">
        <v>190</v>
      </c>
      <c r="C37" s="22" t="s">
        <v>191</v>
      </c>
      <c r="D37" s="22" t="s">
        <v>162</v>
      </c>
      <c r="E37" s="22" t="s">
        <v>142</v>
      </c>
      <c r="F37" s="22" t="s">
        <v>373</v>
      </c>
      <c r="G37" s="22" t="s">
        <v>374</v>
      </c>
      <c r="H37" s="22" t="s">
        <v>381</v>
      </c>
      <c r="I37" s="22" t="s">
        <v>382</v>
      </c>
    </row>
    <row r="38" customFormat="false" ht="15" hidden="false" customHeight="false" outlineLevel="0" collapsed="false">
      <c r="A38" s="34" t="n">
        <v>1</v>
      </c>
      <c r="B38" s="34" t="n">
        <v>5100</v>
      </c>
      <c r="C38" s="23" t="s">
        <v>198</v>
      </c>
      <c r="D38" s="23" t="s">
        <v>172</v>
      </c>
      <c r="E38" s="37" t="n">
        <v>10805</v>
      </c>
      <c r="F38" s="37" t="n">
        <v>66640643.7037002</v>
      </c>
      <c r="G38" s="37" t="n">
        <v>90575710.5568997</v>
      </c>
      <c r="H38" s="39" t="n">
        <f aca="false">G38/SUM($G$38:$G$54)</f>
        <v>0.368129820502867</v>
      </c>
      <c r="I38" s="39" t="n">
        <f aca="false">SUM($H$38:H38)</f>
        <v>0.368129820502867</v>
      </c>
    </row>
    <row r="39" customFormat="false" ht="15" hidden="false" customHeight="false" outlineLevel="0" collapsed="false">
      <c r="A39" s="34" t="n">
        <v>2</v>
      </c>
      <c r="B39" s="34" t="n">
        <v>6100</v>
      </c>
      <c r="C39" s="23" t="s">
        <v>203</v>
      </c>
      <c r="D39" s="23" t="s">
        <v>225</v>
      </c>
      <c r="E39" s="37" t="n">
        <v>1071</v>
      </c>
      <c r="F39" s="37" t="n">
        <v>27879880.4806001</v>
      </c>
      <c r="G39" s="37" t="n">
        <v>38887947.5946</v>
      </c>
      <c r="H39" s="39" t="n">
        <f aca="false">G39/SUM($G$38:$G$54)</f>
        <v>0.158053556297875</v>
      </c>
      <c r="I39" s="39" t="n">
        <f aca="false">SUM($H$38:H39)</f>
        <v>0.526183376800743</v>
      </c>
    </row>
    <row r="40" customFormat="false" ht="15" hidden="false" customHeight="false" outlineLevel="0" collapsed="false">
      <c r="A40" s="34" t="n">
        <v>3</v>
      </c>
      <c r="B40" s="34" t="n">
        <v>5200</v>
      </c>
      <c r="C40" s="23" t="s">
        <v>205</v>
      </c>
      <c r="D40" s="23" t="s">
        <v>172</v>
      </c>
      <c r="E40" s="37" t="n">
        <v>340</v>
      </c>
      <c r="F40" s="37" t="n">
        <v>11830633.0916</v>
      </c>
      <c r="G40" s="37" t="n">
        <v>15660731.5488</v>
      </c>
      <c r="H40" s="39" t="n">
        <f aca="false">G40/SUM($G$38:$G$54)</f>
        <v>0.063650423038985</v>
      </c>
      <c r="I40" s="39" t="n">
        <f aca="false">SUM($H$38:H40)</f>
        <v>0.589833799839728</v>
      </c>
    </row>
    <row r="41" customFormat="false" ht="15" hidden="false" customHeight="false" outlineLevel="0" collapsed="false">
      <c r="A41" s="34" t="n">
        <v>4</v>
      </c>
      <c r="B41" s="34" t="n">
        <v>6220</v>
      </c>
      <c r="C41" s="23" t="s">
        <v>358</v>
      </c>
      <c r="D41" s="23" t="s">
        <v>226</v>
      </c>
      <c r="E41" s="37" t="n">
        <v>1031</v>
      </c>
      <c r="F41" s="37" t="n">
        <v>10084193.3979</v>
      </c>
      <c r="G41" s="37" t="n">
        <v>14039197.1307</v>
      </c>
      <c r="H41" s="39" t="n">
        <f aca="false">G41/SUM($G$38:$G$54)</f>
        <v>0.0570599677104633</v>
      </c>
      <c r="I41" s="39" t="n">
        <f aca="false">SUM($H$38:H41)</f>
        <v>0.646893767550191</v>
      </c>
    </row>
    <row r="42" customFormat="false" ht="15" hidden="false" customHeight="false" outlineLevel="0" collapsed="false">
      <c r="A42" s="34" t="n">
        <v>5</v>
      </c>
      <c r="B42" s="34" t="n">
        <v>6210</v>
      </c>
      <c r="C42" s="23" t="s">
        <v>357</v>
      </c>
      <c r="D42" s="23" t="s">
        <v>226</v>
      </c>
      <c r="E42" s="37" t="n">
        <v>1086</v>
      </c>
      <c r="F42" s="37" t="n">
        <v>9062846.61770001</v>
      </c>
      <c r="G42" s="37" t="n">
        <v>11948547.3411</v>
      </c>
      <c r="H42" s="39" t="n">
        <f aca="false">G42/SUM($G$38:$G$54)</f>
        <v>0.0485628714464894</v>
      </c>
      <c r="I42" s="39" t="n">
        <f aca="false">SUM($H$38:H42)</f>
        <v>0.69545663899668</v>
      </c>
    </row>
    <row r="43" customFormat="false" ht="15" hidden="false" customHeight="false" outlineLevel="0" collapsed="false">
      <c r="A43" s="34" t="n">
        <v>6</v>
      </c>
      <c r="B43" s="34" t="n">
        <v>5300</v>
      </c>
      <c r="C43" s="23" t="s">
        <v>353</v>
      </c>
      <c r="D43" s="23" t="s">
        <v>172</v>
      </c>
      <c r="E43" s="37" t="n">
        <v>359</v>
      </c>
      <c r="F43" s="37" t="n">
        <v>7460090.4092</v>
      </c>
      <c r="G43" s="37" t="n">
        <v>11251448.9178</v>
      </c>
      <c r="H43" s="39" t="n">
        <f aca="false">G43/SUM($G$38:$G$54)</f>
        <v>0.0457296315429388</v>
      </c>
      <c r="I43" s="39" t="n">
        <f aca="false">SUM($H$38:H43)</f>
        <v>0.741186270539619</v>
      </c>
    </row>
    <row r="44" customFormat="false" ht="15" hidden="false" customHeight="false" outlineLevel="0" collapsed="false">
      <c r="A44" s="34" t="n">
        <v>7</v>
      </c>
      <c r="B44" s="34" t="n">
        <v>6230</v>
      </c>
      <c r="C44" s="23" t="s">
        <v>359</v>
      </c>
      <c r="D44" s="23" t="s">
        <v>226</v>
      </c>
      <c r="E44" s="37" t="n">
        <v>1092</v>
      </c>
      <c r="F44" s="37" t="n">
        <v>7324936.6385</v>
      </c>
      <c r="G44" s="37" t="n">
        <v>10529962.2539</v>
      </c>
      <c r="H44" s="39" t="n">
        <f aca="false">G44/SUM($G$38:$G$54)</f>
        <v>0.0427972697160904</v>
      </c>
      <c r="I44" s="39" t="n">
        <f aca="false">SUM($H$38:H44)</f>
        <v>0.783983540255709</v>
      </c>
    </row>
    <row r="45" customFormat="false" ht="15" hidden="false" customHeight="false" outlineLevel="0" collapsed="false">
      <c r="A45" s="34" t="n">
        <v>8</v>
      </c>
      <c r="B45" s="34" t="n">
        <v>6120</v>
      </c>
      <c r="C45" s="23" t="s">
        <v>355</v>
      </c>
      <c r="D45" s="23" t="s">
        <v>225</v>
      </c>
      <c r="E45" s="37" t="n">
        <v>1081</v>
      </c>
      <c r="F45" s="37" t="n">
        <v>6921711.57789999</v>
      </c>
      <c r="G45" s="37" t="n">
        <v>9375058.66009999</v>
      </c>
      <c r="H45" s="39" t="n">
        <f aca="false">G45/SUM($G$38:$G$54)</f>
        <v>0.0381033572966385</v>
      </c>
      <c r="I45" s="39" t="n">
        <f aca="false">SUM($H$38:H45)</f>
        <v>0.822086897552348</v>
      </c>
    </row>
    <row r="46" customFormat="false" ht="15" hidden="false" customHeight="false" outlineLevel="0" collapsed="false">
      <c r="A46" s="34" t="n">
        <v>9</v>
      </c>
      <c r="B46" s="34" t="n">
        <v>5110</v>
      </c>
      <c r="C46" s="23" t="s">
        <v>351</v>
      </c>
      <c r="D46" s="23" t="s">
        <v>172</v>
      </c>
      <c r="E46" s="37" t="n">
        <v>346</v>
      </c>
      <c r="F46" s="37" t="n">
        <v>5889399.2273</v>
      </c>
      <c r="G46" s="37" t="n">
        <v>7867824.5673</v>
      </c>
      <c r="H46" s="39" t="n">
        <f aca="false">G46/SUM($G$38:$G$54)</f>
        <v>0.0319774565156592</v>
      </c>
      <c r="I46" s="39" t="n">
        <f aca="false">SUM($H$38:H46)</f>
        <v>0.854064354068007</v>
      </c>
    </row>
    <row r="47" customFormat="false" ht="15" hidden="false" customHeight="false" outlineLevel="0" collapsed="false">
      <c r="A47" s="34" t="n">
        <v>10</v>
      </c>
      <c r="B47" s="34" t="n">
        <v>6250</v>
      </c>
      <c r="C47" s="23" t="s">
        <v>361</v>
      </c>
      <c r="D47" s="23" t="s">
        <v>226</v>
      </c>
      <c r="E47" s="37" t="n">
        <v>1079</v>
      </c>
      <c r="F47" s="37" t="n">
        <v>4769489.4146</v>
      </c>
      <c r="G47" s="37" t="n">
        <v>6779051.5956</v>
      </c>
      <c r="H47" s="39" t="n">
        <f aca="false">G47/SUM($G$38:$G$54)</f>
        <v>0.0275523209448098</v>
      </c>
      <c r="I47" s="39" t="n">
        <f aca="false">SUM($H$38:H47)</f>
        <v>0.881616675012817</v>
      </c>
    </row>
    <row r="48" customFormat="false" ht="15" hidden="false" customHeight="false" outlineLevel="0" collapsed="false">
      <c r="A48" s="34" t="n">
        <v>11</v>
      </c>
      <c r="B48" s="34" t="n">
        <v>6110</v>
      </c>
      <c r="C48" s="23" t="s">
        <v>354</v>
      </c>
      <c r="D48" s="23" t="s">
        <v>225</v>
      </c>
      <c r="E48" s="37" t="n">
        <v>1133</v>
      </c>
      <c r="F48" s="37" t="n">
        <v>4907347.24939999</v>
      </c>
      <c r="G48" s="37" t="n">
        <v>6629433.82559999</v>
      </c>
      <c r="H48" s="39" t="n">
        <f aca="false">G48/SUM($G$38:$G$54)</f>
        <v>0.0269442245525708</v>
      </c>
      <c r="I48" s="39" t="n">
        <f aca="false">SUM($H$38:H48)</f>
        <v>0.908560899565388</v>
      </c>
    </row>
    <row r="49" customFormat="false" ht="15" hidden="false" customHeight="false" outlineLevel="0" collapsed="false">
      <c r="A49" s="34" t="n">
        <v>12</v>
      </c>
      <c r="B49" s="34" t="n">
        <v>6260</v>
      </c>
      <c r="C49" s="23" t="s">
        <v>362</v>
      </c>
      <c r="D49" s="23" t="s">
        <v>226</v>
      </c>
      <c r="E49" s="37" t="n">
        <v>1075</v>
      </c>
      <c r="F49" s="37" t="n">
        <v>3972998.5884</v>
      </c>
      <c r="G49" s="37" t="n">
        <v>5536685.9234</v>
      </c>
      <c r="H49" s="39" t="n">
        <f aca="false">G49/SUM($G$38:$G$54)</f>
        <v>0.0225029335417864</v>
      </c>
      <c r="I49" s="39" t="n">
        <f aca="false">SUM($H$38:H49)</f>
        <v>0.931063833107174</v>
      </c>
    </row>
    <row r="50" customFormat="false" ht="15" hidden="false" customHeight="false" outlineLevel="0" collapsed="false">
      <c r="A50" s="34" t="n">
        <v>13</v>
      </c>
      <c r="B50" s="34" t="n">
        <v>6240</v>
      </c>
      <c r="C50" s="23" t="s">
        <v>360</v>
      </c>
      <c r="D50" s="23" t="s">
        <v>226</v>
      </c>
      <c r="E50" s="37" t="n">
        <v>1131</v>
      </c>
      <c r="F50" s="37" t="n">
        <v>3849793.2054</v>
      </c>
      <c r="G50" s="37" t="n">
        <v>5139421.29880001</v>
      </c>
      <c r="H50" s="39" t="n">
        <f aca="false">G50/SUM($G$38:$G$54)</f>
        <v>0.0208883179450999</v>
      </c>
      <c r="I50" s="39" t="n">
        <f aca="false">SUM($H$38:H50)</f>
        <v>0.951952151052274</v>
      </c>
    </row>
    <row r="51" customFormat="false" ht="15" hidden="false" customHeight="false" outlineLevel="0" collapsed="false">
      <c r="A51" s="34" t="n">
        <v>14</v>
      </c>
      <c r="B51" s="34" t="n">
        <v>6200</v>
      </c>
      <c r="C51" s="23" t="s">
        <v>356</v>
      </c>
      <c r="D51" s="23" t="s">
        <v>226</v>
      </c>
      <c r="E51" s="37" t="n">
        <v>1048</v>
      </c>
      <c r="F51" s="37" t="n">
        <v>2818050.3369</v>
      </c>
      <c r="G51" s="37" t="n">
        <v>3998272.4989</v>
      </c>
      <c r="H51" s="39" t="n">
        <f aca="false">G51/SUM($G$38:$G$54)</f>
        <v>0.0162503095840133</v>
      </c>
      <c r="I51" s="39" t="n">
        <f aca="false">SUM($H$38:H51)</f>
        <v>0.968202460636287</v>
      </c>
    </row>
    <row r="52" customFormat="false" ht="15" hidden="false" customHeight="false" outlineLevel="0" collapsed="false">
      <c r="A52" s="34" t="n">
        <v>15</v>
      </c>
      <c r="B52" s="34" t="n">
        <v>6270</v>
      </c>
      <c r="C52" s="23" t="s">
        <v>363</v>
      </c>
      <c r="D52" s="23" t="s">
        <v>226</v>
      </c>
      <c r="E52" s="37" t="n">
        <v>1103</v>
      </c>
      <c r="F52" s="37" t="n">
        <v>1930490.5782</v>
      </c>
      <c r="G52" s="37" t="n">
        <v>2747582.2714</v>
      </c>
      <c r="H52" s="39" t="n">
        <f aca="false">G52/SUM($G$38:$G$54)</f>
        <v>0.011167088418831</v>
      </c>
      <c r="I52" s="39" t="n">
        <f aca="false">SUM($H$38:H52)</f>
        <v>0.979369549055118</v>
      </c>
    </row>
    <row r="53" customFormat="false" ht="15" hidden="false" customHeight="false" outlineLevel="0" collapsed="false">
      <c r="A53" s="34" t="n">
        <v>16</v>
      </c>
      <c r="B53" s="34" t="n">
        <v>5120</v>
      </c>
      <c r="C53" s="23" t="s">
        <v>352</v>
      </c>
      <c r="D53" s="23" t="s">
        <v>172</v>
      </c>
      <c r="E53" s="37" t="n">
        <v>348</v>
      </c>
      <c r="F53" s="37" t="n">
        <v>987251.4704</v>
      </c>
      <c r="G53" s="37" t="n">
        <v>2643665.9554</v>
      </c>
      <c r="H53" s="39" t="n">
        <f aca="false">G53/SUM($G$38:$G$54)</f>
        <v>0.0107447379396441</v>
      </c>
      <c r="I53" s="39" t="n">
        <f aca="false">SUM($H$38:H53)</f>
        <v>0.990114286994762</v>
      </c>
    </row>
    <row r="54" customFormat="false" ht="15" hidden="false" customHeight="false" outlineLevel="0" collapsed="false">
      <c r="A54" s="34" t="n">
        <v>17</v>
      </c>
      <c r="B54" s="34" t="n">
        <v>6300</v>
      </c>
      <c r="C54" s="23" t="s">
        <v>364</v>
      </c>
      <c r="D54" s="23" t="s">
        <v>227</v>
      </c>
      <c r="E54" s="37" t="n">
        <v>345</v>
      </c>
      <c r="F54" s="37" t="n">
        <v>1841552.0637</v>
      </c>
      <c r="G54" s="37" t="n">
        <v>2432309.0115</v>
      </c>
      <c r="H54" s="39" t="n">
        <f aca="false">G54/SUM($G$38:$G$54)</f>
        <v>0.00988571300523782</v>
      </c>
      <c r="I54" s="39" t="n">
        <f aca="false">SUM($H$38:H54)</f>
        <v>1</v>
      </c>
    </row>
    <row r="57" customFormat="false" ht="15" hidden="false" customHeight="false" outlineLevel="0" collapsed="false">
      <c r="A57" s="20" t="s">
        <v>383</v>
      </c>
      <c r="B57" s="21"/>
      <c r="C57" s="21"/>
      <c r="D57" s="21"/>
      <c r="E57" s="21"/>
      <c r="F57" s="21"/>
      <c r="G57" s="21"/>
      <c r="H57" s="21"/>
      <c r="I57" s="21"/>
      <c r="J57" s="21"/>
      <c r="K57" s="21"/>
      <c r="L57" s="21"/>
    </row>
    <row r="58" customFormat="false" ht="13.5" hidden="false" customHeight="true" outlineLevel="0" collapsed="false">
      <c r="A58" s="26" t="s">
        <v>384</v>
      </c>
      <c r="B58" s="26"/>
      <c r="C58" s="26"/>
      <c r="D58" s="26"/>
      <c r="E58" s="26"/>
      <c r="F58" s="26"/>
      <c r="G58" s="26"/>
      <c r="H58" s="26"/>
      <c r="I58" s="26"/>
      <c r="J58" s="26"/>
      <c r="K58" s="26"/>
      <c r="L58" s="26"/>
    </row>
    <row r="59" customFormat="false" ht="43.5" hidden="false" customHeight="true" outlineLevel="0" collapsed="false">
      <c r="A59" s="22" t="s">
        <v>190</v>
      </c>
      <c r="B59" s="22" t="s">
        <v>191</v>
      </c>
      <c r="C59" s="22" t="s">
        <v>162</v>
      </c>
      <c r="D59" s="22" t="s">
        <v>163</v>
      </c>
      <c r="E59" s="22" t="s">
        <v>164</v>
      </c>
      <c r="F59" s="22" t="s">
        <v>192</v>
      </c>
      <c r="G59" s="22" t="s">
        <v>385</v>
      </c>
      <c r="H59" s="22" t="s">
        <v>188</v>
      </c>
    </row>
    <row r="60" customFormat="false" ht="15" hidden="false" customHeight="false" outlineLevel="0" collapsed="false">
      <c r="A60" s="34" t="n">
        <v>4100</v>
      </c>
      <c r="B60" s="23" t="s">
        <v>196</v>
      </c>
      <c r="C60" s="23" t="s">
        <v>224</v>
      </c>
      <c r="D60" s="38" t="n">
        <f aca="false">SUMIFS('Entity &amp; Division'!$G$150:$G$437,'Entity &amp; Division'!$D$150:$D$437,$A60,'Entity &amp; Division'!$A$150:$A$437,"Same-sign")</f>
        <v>163534099.1169</v>
      </c>
      <c r="E60" s="38" t="n">
        <f aca="false">SUMIFS('Entity &amp; Division'!$H$150:$H$437,'Entity &amp; Division'!$D$150:$D$437,$A60,'Entity &amp; Division'!$A$150:$A$437,"Same-sign")</f>
        <v>169446072.526</v>
      </c>
      <c r="F60" s="38" t="n">
        <f aca="false">D60-E60</f>
        <v>-5911973.40910023</v>
      </c>
      <c r="G60" s="39" t="n">
        <f aca="false">IF(E60&lt;&gt;0,F60/ABS(E60),"n/a")</f>
        <v>-0.0348899996380447</v>
      </c>
      <c r="H60" s="53" t="n">
        <f aca="false">SUMPRODUCT(--(ABS($F$60:$F$83)&gt;ABS(F60)))+1</f>
        <v>1</v>
      </c>
    </row>
    <row r="61" customFormat="false" ht="15" hidden="false" customHeight="false" outlineLevel="0" collapsed="false">
      <c r="A61" s="34" t="n">
        <v>4110</v>
      </c>
      <c r="B61" s="23" t="s">
        <v>204</v>
      </c>
      <c r="C61" s="23" t="s">
        <v>224</v>
      </c>
      <c r="D61" s="38" t="n">
        <f aca="false">SUMIFS('Entity &amp; Division'!$G$150:$G$437,'Entity &amp; Division'!$D$150:$D$437,$A61,'Entity &amp; Division'!$A$150:$A$437,"Same-sign")</f>
        <v>24380143.1713</v>
      </c>
      <c r="E61" s="38" t="n">
        <f aca="false">SUMIFS('Entity &amp; Division'!$H$150:$H$437,'Entity &amp; Division'!$D$150:$D$437,$A61,'Entity &amp; Division'!$A$150:$A$437,"Same-sign")</f>
        <v>25256760.6166</v>
      </c>
      <c r="F61" s="38" t="n">
        <f aca="false">D61-E61</f>
        <v>-876617.445300002</v>
      </c>
      <c r="G61" s="39" t="n">
        <f aca="false">IF(E61&lt;&gt;0,F61/ABS(E61),"n/a")</f>
        <v>-0.0347082295551333</v>
      </c>
      <c r="H61" s="53" t="n">
        <f aca="false">SUMPRODUCT(--(ABS($F$60:$F$83)&gt;ABS(F61)))+1</f>
        <v>4</v>
      </c>
    </row>
    <row r="62" customFormat="false" ht="15" hidden="false" customHeight="false" outlineLevel="0" collapsed="false">
      <c r="A62" s="34" t="n">
        <v>4120</v>
      </c>
      <c r="B62" s="23" t="s">
        <v>349</v>
      </c>
      <c r="C62" s="23" t="s">
        <v>224</v>
      </c>
      <c r="D62" s="38" t="n">
        <f aca="false">SUMIFS('Entity &amp; Division'!$G$150:$G$437,'Entity &amp; Division'!$D$150:$D$437,$A62,'Entity &amp; Division'!$A$150:$A$437,"Same-sign")</f>
        <v>4961401.2287</v>
      </c>
      <c r="E62" s="38" t="n">
        <f aca="false">SUMIFS('Entity &amp; Division'!$H$150:$H$437,'Entity &amp; Division'!$D$150:$D$437,$A62,'Entity &amp; Division'!$A$150:$A$437,"Same-sign")</f>
        <v>5135765.4046</v>
      </c>
      <c r="F62" s="38" t="n">
        <f aca="false">D62-E62</f>
        <v>-174364.1759</v>
      </c>
      <c r="G62" s="39" t="n">
        <f aca="false">IF(E62&lt;&gt;0,F62/ABS(E62),"n/a")</f>
        <v>-0.0339509619625199</v>
      </c>
      <c r="H62" s="53" t="n">
        <f aca="false">SUMPRODUCT(--(ABS($F$60:$F$83)&gt;ABS(F62)))+1</f>
        <v>16</v>
      </c>
    </row>
    <row r="63" customFormat="false" ht="15" hidden="false" customHeight="false" outlineLevel="0" collapsed="false">
      <c r="A63" s="34" t="n">
        <v>4190</v>
      </c>
      <c r="B63" s="23" t="s">
        <v>350</v>
      </c>
      <c r="C63" s="23" t="s">
        <v>224</v>
      </c>
      <c r="D63" s="38" t="n">
        <f aca="false">SUMIFS('Entity &amp; Division'!$G$150:$G$437,'Entity &amp; Division'!$D$150:$D$437,$A63,'Entity &amp; Division'!$A$150:$A$437,"Same-sign")</f>
        <v>-2478927.8883</v>
      </c>
      <c r="E63" s="38" t="n">
        <f aca="false">SUMIFS('Entity &amp; Division'!$H$150:$H$437,'Entity &amp; Division'!$D$150:$D$437,$A63,'Entity &amp; Division'!$A$150:$A$437,"Same-sign")</f>
        <v>-2418845.6571</v>
      </c>
      <c r="F63" s="38" t="n">
        <f aca="false">D63-E63</f>
        <v>-60082.2311999989</v>
      </c>
      <c r="G63" s="39" t="n">
        <f aca="false">IF(E63&lt;&gt;0,F63/ABS(E63),"n/a")</f>
        <v>-0.0248392166005468</v>
      </c>
      <c r="H63" s="53" t="n">
        <f aca="false">SUMPRODUCT(--(ABS($F$60:$F$83)&gt;ABS(F63)))+1</f>
        <v>21</v>
      </c>
    </row>
    <row r="64" customFormat="false" ht="15" hidden="false" customHeight="false" outlineLevel="0" collapsed="false">
      <c r="A64" s="34" t="n">
        <v>5100</v>
      </c>
      <c r="B64" s="23" t="s">
        <v>198</v>
      </c>
      <c r="C64" s="23" t="s">
        <v>172</v>
      </c>
      <c r="D64" s="38" t="n">
        <f aca="false">SUMIFS('Entity &amp; Division'!$G$150:$G$437,'Entity &amp; Division'!$D$150:$D$437,$A64,'Entity &amp; Division'!$A$150:$A$437,"Same-sign")</f>
        <v>62938256.5307</v>
      </c>
      <c r="E64" s="38" t="n">
        <f aca="false">SUMIFS('Entity &amp; Division'!$H$150:$H$437,'Entity &amp; Division'!$D$150:$D$437,$A64,'Entity &amp; Division'!$A$150:$A$437,"Same-sign")</f>
        <v>59137481.2896</v>
      </c>
      <c r="F64" s="38" t="n">
        <f aca="false">D64-E64</f>
        <v>3800775.24110001</v>
      </c>
      <c r="G64" s="39" t="n">
        <f aca="false">IF(E64&lt;&gt;0,F64/ABS(E64),"n/a")</f>
        <v>0.0642701575754872</v>
      </c>
      <c r="H64" s="53" t="n">
        <f aca="false">SUMPRODUCT(--(ABS($F$60:$F$83)&gt;ABS(F64)))+1</f>
        <v>2</v>
      </c>
    </row>
    <row r="65" customFormat="false" ht="15" hidden="false" customHeight="false" outlineLevel="0" collapsed="false">
      <c r="A65" s="34" t="n">
        <v>5110</v>
      </c>
      <c r="B65" s="23" t="s">
        <v>351</v>
      </c>
      <c r="C65" s="23" t="s">
        <v>172</v>
      </c>
      <c r="D65" s="38" t="n">
        <f aca="false">SUMIFS('Entity &amp; Division'!$G$150:$G$437,'Entity &amp; Division'!$D$150:$D$437,$A65,'Entity &amp; Division'!$A$150:$A$437,"Same-sign")</f>
        <v>5562764.0173</v>
      </c>
      <c r="E65" s="38" t="n">
        <f aca="false">SUMIFS('Entity &amp; Division'!$H$150:$H$437,'Entity &amp; Division'!$D$150:$D$437,$A65,'Entity &amp; Division'!$A$150:$A$437,"Same-sign")</f>
        <v>5231665.2438</v>
      </c>
      <c r="F65" s="38" t="n">
        <f aca="false">D65-E65</f>
        <v>331098.773499999</v>
      </c>
      <c r="G65" s="39" t="n">
        <f aca="false">IF(E65&lt;&gt;0,F65/ABS(E65),"n/a")</f>
        <v>0.0632874540075708</v>
      </c>
      <c r="H65" s="53" t="n">
        <f aca="false">SUMPRODUCT(--(ABS($F$60:$F$83)&gt;ABS(F65)))+1</f>
        <v>11</v>
      </c>
    </row>
    <row r="66" customFormat="false" ht="15" hidden="false" customHeight="false" outlineLevel="0" collapsed="false">
      <c r="A66" s="34" t="n">
        <v>5120</v>
      </c>
      <c r="B66" s="23" t="s">
        <v>352</v>
      </c>
      <c r="C66" s="23" t="s">
        <v>172</v>
      </c>
      <c r="D66" s="38" t="n">
        <f aca="false">SUMIFS('Entity &amp; Division'!$G$150:$G$437,'Entity &amp; Division'!$D$150:$D$437,$A66,'Entity &amp; Division'!$A$150:$A$437,"Same-sign")</f>
        <v>847357.131</v>
      </c>
      <c r="E66" s="38" t="n">
        <f aca="false">SUMIFS('Entity &amp; Division'!$H$150:$H$437,'Entity &amp; Division'!$D$150:$D$437,$A66,'Entity &amp; Division'!$A$150:$A$437,"Same-sign")</f>
        <v>801020.1135</v>
      </c>
      <c r="F66" s="38" t="n">
        <f aca="false">D66-E66</f>
        <v>46337.0175</v>
      </c>
      <c r="G66" s="39" t="n">
        <f aca="false">IF(E66&lt;&gt;0,F66/ABS(E66),"n/a")</f>
        <v>0.0578475080950635</v>
      </c>
      <c r="H66" s="53" t="n">
        <f aca="false">SUMPRODUCT(--(ABS($F$60:$F$83)&gt;ABS(F66)))+1</f>
        <v>22</v>
      </c>
    </row>
    <row r="67" customFormat="false" ht="15" hidden="false" customHeight="false" outlineLevel="0" collapsed="false">
      <c r="A67" s="34" t="n">
        <v>5200</v>
      </c>
      <c r="B67" s="23" t="s">
        <v>205</v>
      </c>
      <c r="C67" s="23" t="s">
        <v>172</v>
      </c>
      <c r="D67" s="38" t="n">
        <f aca="false">SUMIFS('Entity &amp; Division'!$G$150:$G$437,'Entity &amp; Division'!$D$150:$D$437,$A67,'Entity &amp; Division'!$A$150:$A$437,"Same-sign")</f>
        <v>11064145.816</v>
      </c>
      <c r="E67" s="38" t="n">
        <f aca="false">SUMIFS('Entity &amp; Division'!$H$150:$H$437,'Entity &amp; Division'!$D$150:$D$437,$A67,'Entity &amp; Division'!$A$150:$A$437,"Same-sign")</f>
        <v>10385747.1357</v>
      </c>
      <c r="F67" s="38" t="n">
        <f aca="false">D67-E67</f>
        <v>678398.680299999</v>
      </c>
      <c r="G67" s="39" t="n">
        <f aca="false">IF(E67&lt;&gt;0,F67/ABS(E67),"n/a")</f>
        <v>0.0653201615094276</v>
      </c>
      <c r="H67" s="53" t="n">
        <f aca="false">SUMPRODUCT(--(ABS($F$60:$F$83)&gt;ABS(F67)))+1</f>
        <v>5</v>
      </c>
    </row>
    <row r="68" customFormat="false" ht="15" hidden="false" customHeight="false" outlineLevel="0" collapsed="false">
      <c r="A68" s="34" t="n">
        <v>5300</v>
      </c>
      <c r="B68" s="23" t="s">
        <v>353</v>
      </c>
      <c r="C68" s="23" t="s">
        <v>172</v>
      </c>
      <c r="D68" s="38" t="n">
        <f aca="false">SUMIFS('Entity &amp; Division'!$G$150:$G$437,'Entity &amp; Division'!$D$150:$D$437,$A68,'Entity &amp; Division'!$A$150:$A$437,"Same-sign")</f>
        <v>7388802.2047</v>
      </c>
      <c r="E68" s="38" t="n">
        <f aca="false">SUMIFS('Entity &amp; Division'!$H$150:$H$437,'Entity &amp; Division'!$D$150:$D$437,$A68,'Entity &amp; Division'!$A$150:$A$437,"Same-sign")</f>
        <v>6949670.118</v>
      </c>
      <c r="F68" s="38" t="n">
        <f aca="false">D68-E68</f>
        <v>439132.0867</v>
      </c>
      <c r="G68" s="39" t="n">
        <f aca="false">IF(E68&lt;&gt;0,F68/ABS(E68),"n/a")</f>
        <v>0.0631874721021111</v>
      </c>
      <c r="H68" s="53" t="n">
        <f aca="false">SUMPRODUCT(--(ABS($F$60:$F$83)&gt;ABS(F68)))+1</f>
        <v>8</v>
      </c>
    </row>
    <row r="69" customFormat="false" ht="15" hidden="false" customHeight="false" outlineLevel="0" collapsed="false">
      <c r="A69" s="34" t="n">
        <v>6100</v>
      </c>
      <c r="B69" s="23" t="s">
        <v>203</v>
      </c>
      <c r="C69" s="23" t="s">
        <v>225</v>
      </c>
      <c r="D69" s="38" t="n">
        <f aca="false">SUMIFS('Entity &amp; Division'!$G$150:$G$437,'Entity &amp; Division'!$D$150:$D$437,$A69,'Entity &amp; Division'!$A$150:$A$437,"Same-sign")</f>
        <v>27116515.6877</v>
      </c>
      <c r="E69" s="38" t="n">
        <f aca="false">SUMIFS('Entity &amp; Division'!$H$150:$H$437,'Entity &amp; Division'!$D$150:$D$437,$A69,'Entity &amp; Division'!$A$150:$A$437,"Same-sign")</f>
        <v>25492056.5556</v>
      </c>
      <c r="F69" s="38" t="n">
        <f aca="false">D69-E69</f>
        <v>1624459.13209999</v>
      </c>
      <c r="G69" s="39" t="n">
        <f aca="false">IF(E69&lt;&gt;0,F69/ABS(E69),"n/a")</f>
        <v>0.0637241302425692</v>
      </c>
      <c r="H69" s="53" t="n">
        <f aca="false">SUMPRODUCT(--(ABS($F$60:$F$83)&gt;ABS(F69)))+1</f>
        <v>3</v>
      </c>
    </row>
    <row r="70" customFormat="false" ht="15" hidden="false" customHeight="false" outlineLevel="0" collapsed="false">
      <c r="A70" s="34" t="n">
        <v>6110</v>
      </c>
      <c r="B70" s="23" t="s">
        <v>354</v>
      </c>
      <c r="C70" s="23" t="s">
        <v>225</v>
      </c>
      <c r="D70" s="38" t="n">
        <f aca="false">SUMIFS('Entity &amp; Division'!$G$150:$G$437,'Entity &amp; Division'!$D$150:$D$437,$A70,'Entity &amp; Division'!$A$150:$A$437,"Same-sign")</f>
        <v>4586940.2403</v>
      </c>
      <c r="E70" s="38" t="n">
        <f aca="false">SUMIFS('Entity &amp; Division'!$H$150:$H$437,'Entity &amp; Division'!$D$150:$D$437,$A70,'Entity &amp; Division'!$A$150:$A$437,"Same-sign")</f>
        <v>4311097.1097</v>
      </c>
      <c r="F70" s="38" t="n">
        <f aca="false">D70-E70</f>
        <v>275843.130599999</v>
      </c>
      <c r="G70" s="39" t="n">
        <f aca="false">IF(E70&lt;&gt;0,F70/ABS(E70),"n/a")</f>
        <v>0.0639844391302042</v>
      </c>
      <c r="H70" s="53" t="n">
        <f aca="false">SUMPRODUCT(--(ABS($F$60:$F$83)&gt;ABS(F70)))+1</f>
        <v>12</v>
      </c>
    </row>
    <row r="71" customFormat="false" ht="15" hidden="false" customHeight="false" outlineLevel="0" collapsed="false">
      <c r="A71" s="34" t="n">
        <v>6120</v>
      </c>
      <c r="B71" s="23" t="s">
        <v>355</v>
      </c>
      <c r="C71" s="23" t="s">
        <v>225</v>
      </c>
      <c r="D71" s="38" t="n">
        <f aca="false">SUMIFS('Entity &amp; Division'!$G$150:$G$437,'Entity &amp; Division'!$D$150:$D$437,$A71,'Entity &amp; Division'!$A$150:$A$437,"Same-sign")</f>
        <v>6561184.2312</v>
      </c>
      <c r="E71" s="38" t="n">
        <f aca="false">SUMIFS('Entity &amp; Division'!$H$150:$H$437,'Entity &amp; Division'!$D$150:$D$437,$A71,'Entity &amp; Division'!$A$150:$A$437,"Same-sign")</f>
        <v>6168636.2488</v>
      </c>
      <c r="F71" s="38" t="n">
        <f aca="false">D71-E71</f>
        <v>392547.9824</v>
      </c>
      <c r="G71" s="39" t="n">
        <f aca="false">IF(E71&lt;&gt;0,F71/ABS(E71),"n/a")</f>
        <v>0.0636361047348777</v>
      </c>
      <c r="H71" s="53" t="n">
        <f aca="false">SUMPRODUCT(--(ABS($F$60:$F$83)&gt;ABS(F71)))+1</f>
        <v>10</v>
      </c>
    </row>
    <row r="72" customFormat="false" ht="15" hidden="false" customHeight="false" outlineLevel="0" collapsed="false">
      <c r="A72" s="34" t="n">
        <v>6200</v>
      </c>
      <c r="B72" s="23" t="s">
        <v>356</v>
      </c>
      <c r="C72" s="23" t="s">
        <v>226</v>
      </c>
      <c r="D72" s="38" t="n">
        <f aca="false">SUMIFS('Entity &amp; Division'!$G$150:$G$437,'Entity &amp; Division'!$D$150:$D$437,$A72,'Entity &amp; Division'!$A$150:$A$437,"Same-sign")</f>
        <v>2702881.7594</v>
      </c>
      <c r="E72" s="38" t="n">
        <f aca="false">SUMIFS('Entity &amp; Division'!$H$150:$H$437,'Entity &amp; Division'!$D$150:$D$437,$A72,'Entity &amp; Division'!$A$150:$A$437,"Same-sign")</f>
        <v>2534589.0437</v>
      </c>
      <c r="F72" s="38" t="n">
        <f aca="false">D72-E72</f>
        <v>168292.7157</v>
      </c>
      <c r="G72" s="39" t="n">
        <f aca="false">IF(E72&lt;&gt;0,F72/ABS(E72),"n/a")</f>
        <v>0.0663984230967579</v>
      </c>
      <c r="H72" s="53" t="n">
        <f aca="false">SUMPRODUCT(--(ABS($F$60:$F$83)&gt;ABS(F72)))+1</f>
        <v>17</v>
      </c>
    </row>
    <row r="73" customFormat="false" ht="15" hidden="false" customHeight="false" outlineLevel="0" collapsed="false">
      <c r="A73" s="34" t="n">
        <v>6210</v>
      </c>
      <c r="B73" s="23" t="s">
        <v>357</v>
      </c>
      <c r="C73" s="23" t="s">
        <v>226</v>
      </c>
      <c r="D73" s="38" t="n">
        <f aca="false">SUMIFS('Entity &amp; Division'!$G$150:$G$437,'Entity &amp; Division'!$D$150:$D$437,$A73,'Entity &amp; Division'!$A$150:$A$437,"Same-sign")</f>
        <v>8560170.6238</v>
      </c>
      <c r="E73" s="38" t="n">
        <f aca="false">SUMIFS('Entity &amp; Division'!$H$150:$H$437,'Entity &amp; Division'!$D$150:$D$437,$A73,'Entity &amp; Division'!$A$150:$A$437,"Same-sign")</f>
        <v>8057785.3663</v>
      </c>
      <c r="F73" s="38" t="n">
        <f aca="false">D73-E73</f>
        <v>502385.257500004</v>
      </c>
      <c r="G73" s="39" t="n">
        <f aca="false">IF(E73&lt;&gt;0,F73/ABS(E73),"n/a")</f>
        <v>0.0623478083197804</v>
      </c>
      <c r="H73" s="53" t="n">
        <f aca="false">SUMPRODUCT(--(ABS($F$60:$F$83)&gt;ABS(F73)))+1</f>
        <v>7</v>
      </c>
    </row>
    <row r="74" customFormat="false" ht="15" hidden="false" customHeight="false" outlineLevel="0" collapsed="false">
      <c r="A74" s="34" t="n">
        <v>6220</v>
      </c>
      <c r="B74" s="23" t="s">
        <v>358</v>
      </c>
      <c r="C74" s="23" t="s">
        <v>226</v>
      </c>
      <c r="D74" s="38" t="n">
        <f aca="false">SUMIFS('Entity &amp; Division'!$G$150:$G$437,'Entity &amp; Division'!$D$150:$D$437,$A74,'Entity &amp; Division'!$A$150:$A$437,"Same-sign")</f>
        <v>9719559.3936</v>
      </c>
      <c r="E74" s="38" t="n">
        <f aca="false">SUMIFS('Entity &amp; Division'!$H$150:$H$437,'Entity &amp; Division'!$D$150:$D$437,$A74,'Entity &amp; Division'!$A$150:$A$437,"Same-sign")</f>
        <v>9126441.2689</v>
      </c>
      <c r="F74" s="38" t="n">
        <f aca="false">D74-E74</f>
        <v>593118.124699999</v>
      </c>
      <c r="G74" s="39" t="n">
        <f aca="false">IF(E74&lt;&gt;0,F74/ABS(E74),"n/a")</f>
        <v>0.0649889817097882</v>
      </c>
      <c r="H74" s="53" t="n">
        <f aca="false">SUMPRODUCT(--(ABS($F$60:$F$83)&gt;ABS(F74)))+1</f>
        <v>6</v>
      </c>
    </row>
    <row r="75" customFormat="false" ht="15" hidden="false" customHeight="false" outlineLevel="0" collapsed="false">
      <c r="A75" s="34" t="n">
        <v>6230</v>
      </c>
      <c r="B75" s="23" t="s">
        <v>359</v>
      </c>
      <c r="C75" s="23" t="s">
        <v>226</v>
      </c>
      <c r="D75" s="38" t="n">
        <f aca="false">SUMIFS('Entity &amp; Division'!$G$150:$G$437,'Entity &amp; Division'!$D$150:$D$437,$A75,'Entity &amp; Division'!$A$150:$A$437,"Same-sign")</f>
        <v>6796695.3425</v>
      </c>
      <c r="E75" s="38" t="n">
        <f aca="false">SUMIFS('Entity &amp; Division'!$H$150:$H$437,'Entity &amp; Division'!$D$150:$D$437,$A75,'Entity &amp; Division'!$A$150:$A$437,"Same-sign")</f>
        <v>6392714.1204</v>
      </c>
      <c r="F75" s="38" t="n">
        <f aca="false">D75-E75</f>
        <v>403981.222100001</v>
      </c>
      <c r="G75" s="39" t="n">
        <f aca="false">IF(E75&lt;&gt;0,F75/ABS(E75),"n/a")</f>
        <v>0.0631940071918504</v>
      </c>
      <c r="H75" s="53" t="n">
        <f aca="false">SUMPRODUCT(--(ABS($F$60:$F$83)&gt;ABS(F75)))+1</f>
        <v>9</v>
      </c>
    </row>
    <row r="76" customFormat="false" ht="15" hidden="false" customHeight="false" outlineLevel="0" collapsed="false">
      <c r="A76" s="34" t="n">
        <v>6240</v>
      </c>
      <c r="B76" s="23" t="s">
        <v>360</v>
      </c>
      <c r="C76" s="23" t="s">
        <v>226</v>
      </c>
      <c r="D76" s="38" t="n">
        <f aca="false">SUMIFS('Entity &amp; Division'!$G$150:$G$437,'Entity &amp; Division'!$D$150:$D$437,$A76,'Entity &amp; Division'!$A$150:$A$437,"Same-sign")</f>
        <v>3737884.7278</v>
      </c>
      <c r="E76" s="38" t="n">
        <f aca="false">SUMIFS('Entity &amp; Division'!$H$150:$H$437,'Entity &amp; Division'!$D$150:$D$437,$A76,'Entity &amp; Division'!$A$150:$A$437,"Same-sign")</f>
        <v>3508809.7289</v>
      </c>
      <c r="F76" s="38" t="n">
        <f aca="false">D76-E76</f>
        <v>229074.9989</v>
      </c>
      <c r="G76" s="39" t="n">
        <f aca="false">IF(E76&lt;&gt;0,F76/ABS(E76),"n/a")</f>
        <v>0.0652856713811649</v>
      </c>
      <c r="H76" s="53" t="n">
        <f aca="false">SUMPRODUCT(--(ABS($F$60:$F$83)&gt;ABS(F76)))+1</f>
        <v>14</v>
      </c>
    </row>
    <row r="77" customFormat="false" ht="15" hidden="false" customHeight="false" outlineLevel="0" collapsed="false">
      <c r="A77" s="34" t="n">
        <v>6250</v>
      </c>
      <c r="B77" s="23" t="s">
        <v>361</v>
      </c>
      <c r="C77" s="23" t="s">
        <v>226</v>
      </c>
      <c r="D77" s="38" t="n">
        <f aca="false">SUMIFS('Entity &amp; Division'!$G$150:$G$437,'Entity &amp; Division'!$D$150:$D$437,$A77,'Entity &amp; Division'!$A$150:$A$437,"Same-sign")</f>
        <v>4454805.4347</v>
      </c>
      <c r="E77" s="38" t="n">
        <f aca="false">SUMIFS('Entity &amp; Division'!$H$150:$H$437,'Entity &amp; Division'!$D$150:$D$437,$A77,'Entity &amp; Division'!$A$150:$A$437,"Same-sign")</f>
        <v>4186539.2573</v>
      </c>
      <c r="F77" s="38" t="n">
        <f aca="false">D77-E77</f>
        <v>268266.177399999</v>
      </c>
      <c r="G77" s="39" t="n">
        <f aca="false">IF(E77&lt;&gt;0,F77/ABS(E77),"n/a")</f>
        <v>0.0640782662988835</v>
      </c>
      <c r="H77" s="53" t="n">
        <f aca="false">SUMPRODUCT(--(ABS($F$60:$F$83)&gt;ABS(F77)))+1</f>
        <v>13</v>
      </c>
    </row>
    <row r="78" customFormat="false" ht="15" hidden="false" customHeight="false" outlineLevel="0" collapsed="false">
      <c r="A78" s="34" t="n">
        <v>6260</v>
      </c>
      <c r="B78" s="23" t="s">
        <v>362</v>
      </c>
      <c r="C78" s="23" t="s">
        <v>226</v>
      </c>
      <c r="D78" s="38" t="n">
        <f aca="false">SUMIFS('Entity &amp; Division'!$G$150:$G$437,'Entity &amp; Division'!$D$150:$D$437,$A78,'Entity &amp; Division'!$A$150:$A$437,"Same-sign")</f>
        <v>3696434.9045</v>
      </c>
      <c r="E78" s="38" t="n">
        <f aca="false">SUMIFS('Entity &amp; Division'!$H$150:$H$437,'Entity &amp; Division'!$D$150:$D$437,$A78,'Entity &amp; Division'!$A$150:$A$437,"Same-sign")</f>
        <v>3471858.2198</v>
      </c>
      <c r="F78" s="38" t="n">
        <f aca="false">D78-E78</f>
        <v>224576.6847</v>
      </c>
      <c r="G78" s="39" t="n">
        <f aca="false">IF(E78&lt;&gt;0,F78/ABS(E78),"n/a")</f>
        <v>0.0646848662826263</v>
      </c>
      <c r="H78" s="53" t="n">
        <f aca="false">SUMPRODUCT(--(ABS($F$60:$F$83)&gt;ABS(F78)))+1</f>
        <v>15</v>
      </c>
    </row>
    <row r="79" customFormat="false" ht="15" hidden="false" customHeight="false" outlineLevel="0" collapsed="false">
      <c r="A79" s="34" t="n">
        <v>6270</v>
      </c>
      <c r="B79" s="23" t="s">
        <v>363</v>
      </c>
      <c r="C79" s="23" t="s">
        <v>226</v>
      </c>
      <c r="D79" s="38" t="n">
        <f aca="false">SUMIFS('Entity &amp; Division'!$G$150:$G$437,'Entity &amp; Division'!$D$150:$D$437,$A79,'Entity &amp; Division'!$A$150:$A$437,"Same-sign")</f>
        <v>1788915.9061</v>
      </c>
      <c r="E79" s="38" t="n">
        <f aca="false">SUMIFS('Entity &amp; Division'!$H$150:$H$437,'Entity &amp; Division'!$D$150:$D$437,$A79,'Entity &amp; Division'!$A$150:$A$437,"Same-sign")</f>
        <v>1680182.3461</v>
      </c>
      <c r="F79" s="38" t="n">
        <f aca="false">D79-E79</f>
        <v>108733.56</v>
      </c>
      <c r="G79" s="39" t="n">
        <f aca="false">IF(E79&lt;&gt;0,F79/ABS(E79),"n/a")</f>
        <v>0.0647153329829883</v>
      </c>
      <c r="H79" s="53" t="n">
        <f aca="false">SUMPRODUCT(--(ABS($F$60:$F$83)&gt;ABS(F79)))+1</f>
        <v>19</v>
      </c>
    </row>
    <row r="80" customFormat="false" ht="15" hidden="false" customHeight="false" outlineLevel="0" collapsed="false">
      <c r="A80" s="34" t="n">
        <v>6300</v>
      </c>
      <c r="B80" s="23" t="s">
        <v>364</v>
      </c>
      <c r="C80" s="23" t="s">
        <v>227</v>
      </c>
      <c r="D80" s="38" t="n">
        <f aca="false">SUMIFS('Entity &amp; Division'!$G$150:$G$437,'Entity &amp; Division'!$D$150:$D$437,$A80,'Entity &amp; Division'!$A$150:$A$437,"Same-sign")</f>
        <v>1742110.0938</v>
      </c>
      <c r="E80" s="38" t="n">
        <f aca="false">SUMIFS('Entity &amp; Division'!$H$150:$H$437,'Entity &amp; Division'!$D$150:$D$437,$A80,'Entity &amp; Division'!$A$150:$A$437,"Same-sign")</f>
        <v>1638237.8038</v>
      </c>
      <c r="F80" s="38" t="n">
        <f aca="false">D80-E80</f>
        <v>103872.29</v>
      </c>
      <c r="G80" s="39" t="n">
        <f aca="false">IF(E80&lt;&gt;0,F80/ABS(E80),"n/a")</f>
        <v>0.0634048913772234</v>
      </c>
      <c r="H80" s="53" t="n">
        <f aca="false">SUMPRODUCT(--(ABS($F$60:$F$83)&gt;ABS(F80)))+1</f>
        <v>20</v>
      </c>
    </row>
    <row r="81" customFormat="false" ht="15" hidden="false" customHeight="false" outlineLevel="0" collapsed="false">
      <c r="A81" s="34" t="n">
        <v>7100</v>
      </c>
      <c r="B81" s="23" t="s">
        <v>365</v>
      </c>
      <c r="C81" s="23" t="s">
        <v>228</v>
      </c>
      <c r="D81" s="38" t="n">
        <f aca="false">SUMIFS('Entity &amp; Division'!$G$150:$G$437,'Entity &amp; Division'!$D$150:$D$437,$A81,'Entity &amp; Division'!$A$150:$A$437,"Same-sign")</f>
        <v>542700.9996</v>
      </c>
      <c r="E81" s="38" t="n">
        <f aca="false">SUMIFS('Entity &amp; Division'!$H$150:$H$437,'Entity &amp; Division'!$D$150:$D$437,$A81,'Entity &amp; Division'!$A$150:$A$437,"Same-sign")</f>
        <v>510237.8588</v>
      </c>
      <c r="F81" s="38" t="n">
        <f aca="false">D81-E81</f>
        <v>32463.1407999999</v>
      </c>
      <c r="G81" s="39" t="n">
        <f aca="false">IF(E81&lt;&gt;0,F81/ABS(E81),"n/a")</f>
        <v>0.0636235438827456</v>
      </c>
      <c r="H81" s="53" t="n">
        <f aca="false">SUMPRODUCT(--(ABS($F$60:$F$83)&gt;ABS(F81)))+1</f>
        <v>23</v>
      </c>
    </row>
    <row r="82" customFormat="false" ht="15" hidden="false" customHeight="false" outlineLevel="0" collapsed="false">
      <c r="A82" s="34" t="n">
        <v>7200</v>
      </c>
      <c r="B82" s="23" t="s">
        <v>366</v>
      </c>
      <c r="C82" s="23" t="s">
        <v>228</v>
      </c>
      <c r="D82" s="38" t="n">
        <f aca="false">SUMIFS('Entity &amp; Division'!$G$150:$G$437,'Entity &amp; Division'!$D$150:$D$437,$A82,'Entity &amp; Division'!$A$150:$A$437,"Same-sign")</f>
        <v>-17626.5422</v>
      </c>
      <c r="E82" s="38" t="n">
        <f aca="false">SUMIFS('Entity &amp; Division'!$H$150:$H$437,'Entity &amp; Division'!$D$150:$D$437,$A82,'Entity &amp; Division'!$A$150:$A$437,"Same-sign")</f>
        <v>-16328.8436</v>
      </c>
      <c r="F82" s="38" t="n">
        <f aca="false">D82-E82</f>
        <v>-1297.69859999999</v>
      </c>
      <c r="G82" s="39" t="n">
        <f aca="false">IF(E82&lt;&gt;0,F82/ABS(E82),"n/a")</f>
        <v>-0.0794727803014776</v>
      </c>
      <c r="H82" s="53" t="n">
        <f aca="false">SUMPRODUCT(--(ABS($F$60:$F$83)&gt;ABS(F82)))+1</f>
        <v>24</v>
      </c>
    </row>
    <row r="83" customFormat="false" ht="15" hidden="false" customHeight="false" outlineLevel="0" collapsed="false">
      <c r="A83" s="34" t="n">
        <v>8100</v>
      </c>
      <c r="B83" s="23" t="s">
        <v>367</v>
      </c>
      <c r="C83" s="23" t="s">
        <v>229</v>
      </c>
      <c r="D83" s="38" t="n">
        <f aca="false">SUMIFS('Entity &amp; Division'!$G$150:$G$437,'Entity &amp; Division'!$D$150:$D$437,$A83,'Entity &amp; Division'!$A$150:$A$437,"Same-sign")</f>
        <v>2812303.9037</v>
      </c>
      <c r="E83" s="38" t="n">
        <f aca="false">SUMIFS('Entity &amp; Division'!$H$150:$H$437,'Entity &amp; Division'!$D$150:$D$437,$A83,'Entity &amp; Division'!$A$150:$A$437,"Same-sign")</f>
        <v>2645687.7164</v>
      </c>
      <c r="F83" s="38" t="n">
        <f aca="false">D83-E83</f>
        <v>166616.1873</v>
      </c>
      <c r="G83" s="39" t="n">
        <f aca="false">IF(E83&lt;&gt;0,F83/ABS(E83),"n/a")</f>
        <v>0.0629765131641142</v>
      </c>
      <c r="H83" s="53" t="n">
        <f aca="false">SUMPRODUCT(--(ABS($F$60:$F$83)&gt;ABS(F83)))+1</f>
        <v>18</v>
      </c>
    </row>
    <row r="84" customFormat="false" ht="15" hidden="false" customHeight="false" outlineLevel="0" collapsed="false">
      <c r="A84" s="2" t="s">
        <v>386</v>
      </c>
    </row>
    <row r="87" customFormat="false" ht="15" hidden="false" customHeight="false" outlineLevel="0" collapsed="false">
      <c r="A87" s="20" t="s">
        <v>387</v>
      </c>
      <c r="B87" s="21"/>
      <c r="C87" s="21"/>
      <c r="D87" s="21"/>
      <c r="E87" s="21"/>
      <c r="F87" s="21"/>
      <c r="G87" s="21"/>
      <c r="H87" s="21"/>
      <c r="I87" s="21"/>
      <c r="J87" s="21"/>
      <c r="K87" s="21"/>
      <c r="L87" s="21"/>
    </row>
    <row r="88" customFormat="false" ht="13.5" hidden="false" customHeight="true" outlineLevel="0" collapsed="false">
      <c r="A88" s="26" t="s">
        <v>388</v>
      </c>
      <c r="B88" s="26"/>
      <c r="C88" s="26"/>
      <c r="D88" s="26"/>
      <c r="E88" s="26"/>
      <c r="F88" s="26"/>
      <c r="G88" s="26"/>
      <c r="H88" s="26"/>
      <c r="I88" s="26"/>
      <c r="J88" s="26"/>
      <c r="K88" s="26"/>
      <c r="L88" s="26"/>
    </row>
    <row r="89" customFormat="false" ht="43.5" hidden="false" customHeight="true" outlineLevel="0" collapsed="false">
      <c r="A89" s="22" t="s">
        <v>106</v>
      </c>
      <c r="B89" s="22" t="s">
        <v>162</v>
      </c>
      <c r="C89" s="22" t="s">
        <v>374</v>
      </c>
      <c r="D89" s="22" t="s">
        <v>389</v>
      </c>
      <c r="E89" s="22" t="s">
        <v>390</v>
      </c>
      <c r="G89" s="22" t="s">
        <v>106</v>
      </c>
      <c r="H89" s="22" t="s">
        <v>391</v>
      </c>
      <c r="I89" s="22" t="s">
        <v>392</v>
      </c>
      <c r="J89" s="22" t="s">
        <v>393</v>
      </c>
      <c r="K89" s="22" t="s">
        <v>394</v>
      </c>
      <c r="L89" s="22" t="s">
        <v>395</v>
      </c>
      <c r="M89" s="22" t="s">
        <v>396</v>
      </c>
    </row>
    <row r="90" customFormat="false" ht="15" hidden="false" customHeight="false" outlineLevel="0" collapsed="false">
      <c r="A90" s="34" t="n">
        <v>2023</v>
      </c>
      <c r="B90" s="23" t="s">
        <v>172</v>
      </c>
      <c r="C90" s="37" t="n">
        <v>39921142.5761002</v>
      </c>
      <c r="D90" s="45" t="n">
        <v>0.517250568020535</v>
      </c>
      <c r="E90" s="37" t="n">
        <v>28820261.6473001</v>
      </c>
      <c r="G90" s="23" t="s">
        <v>280</v>
      </c>
      <c r="H90" s="45" t="n">
        <v>0.502884185815889</v>
      </c>
      <c r="I90" s="45" t="n">
        <v>0.215661511046173</v>
      </c>
      <c r="J90" s="45" t="n">
        <v>0.238551810641107</v>
      </c>
      <c r="K90" s="45" t="n">
        <v>0.45797421609062</v>
      </c>
      <c r="L90" s="45" t="n">
        <v>0.195949345351706</v>
      </c>
      <c r="M90" s="45" t="n">
        <v>0.216200417037802</v>
      </c>
    </row>
    <row r="91" customFormat="false" ht="15" hidden="false" customHeight="false" outlineLevel="0" collapsed="false">
      <c r="A91" s="34" t="n">
        <v>2023</v>
      </c>
      <c r="B91" s="23" t="s">
        <v>173</v>
      </c>
      <c r="C91" s="37" t="n">
        <v>18057209.881</v>
      </c>
      <c r="D91" s="45" t="n">
        <v>0.233963796251788</v>
      </c>
      <c r="E91" s="37" t="n">
        <v>13384753.5674</v>
      </c>
      <c r="G91" s="23" t="s">
        <v>109</v>
      </c>
      <c r="H91" s="45" t="n">
        <v>0.511867066354071</v>
      </c>
      <c r="I91" s="45" t="n">
        <v>0.231528720168964</v>
      </c>
      <c r="J91" s="45" t="n">
        <v>0.236907770311038</v>
      </c>
      <c r="K91" s="45" t="n">
        <v>0.47018459847303</v>
      </c>
      <c r="L91" s="45" t="n">
        <v>0.218363908654452</v>
      </c>
      <c r="M91" s="45" t="n">
        <v>0.219480792991709</v>
      </c>
    </row>
    <row r="92" customFormat="false" ht="15" hidden="false" customHeight="false" outlineLevel="0" collapsed="false">
      <c r="A92" s="34" t="n">
        <v>2023</v>
      </c>
      <c r="B92" s="23" t="s">
        <v>174</v>
      </c>
      <c r="C92" s="37" t="n">
        <v>18476728.6228</v>
      </c>
      <c r="D92" s="45" t="n">
        <v>0.239399419921066</v>
      </c>
      <c r="E92" s="37" t="n">
        <v>13453213.6976</v>
      </c>
      <c r="G92" s="23" t="s">
        <v>110</v>
      </c>
      <c r="H92" s="45" t="n">
        <v>0.493132673283133</v>
      </c>
      <c r="I92" s="45" t="n">
        <v>0.206367217868971</v>
      </c>
      <c r="J92" s="45" t="n">
        <v>0.24204613075977</v>
      </c>
      <c r="K92" s="45" t="n">
        <v>0.429823802316244</v>
      </c>
      <c r="L92" s="45" t="n">
        <v>0.189373010558779</v>
      </c>
      <c r="M92" s="45" t="n">
        <v>0.211697989292623</v>
      </c>
    </row>
    <row r="93" customFormat="false" ht="15" hidden="false" customHeight="false" outlineLevel="0" collapsed="false">
      <c r="A93" s="34" t="n">
        <v>2023</v>
      </c>
      <c r="B93" s="23" t="s">
        <v>175</v>
      </c>
      <c r="C93" s="37" t="n">
        <v>724423.4857</v>
      </c>
      <c r="D93" s="45" t="n">
        <v>0.00938621580661046</v>
      </c>
      <c r="E93" s="37" t="n">
        <v>557556.0461</v>
      </c>
      <c r="G93" s="23" t="s">
        <v>111</v>
      </c>
      <c r="H93" s="45" t="n">
        <v>0.504511399775447</v>
      </c>
      <c r="I93" s="45" t="n">
        <v>0.21086219212867</v>
      </c>
      <c r="J93" s="45" t="n">
        <v>0.236599798025718</v>
      </c>
      <c r="K93" s="45" t="n">
        <v>0.475332704289815</v>
      </c>
      <c r="L93" s="45" t="n">
        <v>0.183114061710342</v>
      </c>
      <c r="M93" s="45" t="n">
        <v>0.217830624820857</v>
      </c>
    </row>
    <row r="94" customFormat="false" ht="15" hidden="false" customHeight="false" outlineLevel="0" collapsed="false">
      <c r="A94" s="34" t="n">
        <v>2024</v>
      </c>
      <c r="B94" s="23" t="s">
        <v>172</v>
      </c>
      <c r="C94" s="37" t="n">
        <v>42811702.7378</v>
      </c>
      <c r="D94" s="45" t="n">
        <v>0.518615118649443</v>
      </c>
      <c r="E94" s="37" t="n">
        <v>30243513.2078</v>
      </c>
    </row>
    <row r="95" customFormat="false" ht="15" hidden="false" customHeight="false" outlineLevel="0" collapsed="false">
      <c r="A95" s="34" t="n">
        <v>2024</v>
      </c>
      <c r="B95" s="23" t="s">
        <v>173</v>
      </c>
      <c r="C95" s="37" t="n">
        <v>17915933.1046</v>
      </c>
      <c r="D95" s="45" t="n">
        <v>0.217031166213201</v>
      </c>
      <c r="E95" s="37" t="n">
        <v>13324774.28</v>
      </c>
    </row>
    <row r="96" customFormat="false" ht="15" hidden="false" customHeight="false" outlineLevel="0" collapsed="false">
      <c r="A96" s="34" t="n">
        <v>2024</v>
      </c>
      <c r="B96" s="23" t="s">
        <v>174</v>
      </c>
      <c r="C96" s="37" t="n">
        <v>21013426.1231001</v>
      </c>
      <c r="D96" s="45" t="n">
        <v>0.254553773504569</v>
      </c>
      <c r="E96" s="37" t="n">
        <v>14895617.4617</v>
      </c>
    </row>
    <row r="97" customFormat="false" ht="15" hidden="false" customHeight="false" outlineLevel="0" collapsed="false">
      <c r="A97" s="34" t="n">
        <v>2024</v>
      </c>
      <c r="B97" s="23" t="s">
        <v>175</v>
      </c>
      <c r="C97" s="37" t="n">
        <v>808985.6484</v>
      </c>
      <c r="D97" s="45" t="n">
        <v>0.0097999416327869</v>
      </c>
      <c r="E97" s="37" t="n">
        <v>584497.1884</v>
      </c>
    </row>
    <row r="98" customFormat="false" ht="15" hidden="false" customHeight="false" outlineLevel="0" collapsed="false">
      <c r="A98" s="34" t="n">
        <v>2025</v>
      </c>
      <c r="B98" s="23" t="s">
        <v>172</v>
      </c>
      <c r="C98" s="37" t="n">
        <v>45266536.2323001</v>
      </c>
      <c r="D98" s="45" t="n">
        <v>0.524444516385778</v>
      </c>
      <c r="E98" s="37" t="n">
        <v>33744243.0471001</v>
      </c>
    </row>
    <row r="99" customFormat="false" ht="15" hidden="false" customHeight="false" outlineLevel="0" collapsed="false">
      <c r="A99" s="34" t="n">
        <v>2025</v>
      </c>
      <c r="B99" s="23" t="s">
        <v>173</v>
      </c>
      <c r="C99" s="37" t="n">
        <v>18919297.0947</v>
      </c>
      <c r="D99" s="45" t="n">
        <v>0.219193303509466</v>
      </c>
      <c r="E99" s="37" t="n">
        <v>12999411.4605</v>
      </c>
    </row>
    <row r="100" customFormat="false" ht="15" hidden="false" customHeight="false" outlineLevel="0" collapsed="false">
      <c r="A100" s="34" t="n">
        <v>2025</v>
      </c>
      <c r="B100" s="23" t="s">
        <v>174</v>
      </c>
      <c r="C100" s="37" t="n">
        <v>21228565.5679</v>
      </c>
      <c r="D100" s="45" t="n">
        <v>0.245947795645052</v>
      </c>
      <c r="E100" s="37" t="n">
        <v>15463967.6183</v>
      </c>
    </row>
    <row r="101" customFormat="false" ht="15" hidden="false" customHeight="false" outlineLevel="0" collapsed="false">
      <c r="A101" s="34" t="n">
        <v>2025</v>
      </c>
      <c r="B101" s="23" t="s">
        <v>175</v>
      </c>
      <c r="C101" s="37" t="n">
        <v>898899.8774</v>
      </c>
      <c r="D101" s="45" t="n">
        <v>0.0104143844597036</v>
      </c>
      <c r="E101" s="37" t="n">
        <v>699498.8292</v>
      </c>
    </row>
    <row r="104" customFormat="false" ht="15" hidden="false" customHeight="false" outlineLevel="0" collapsed="false">
      <c r="A104" s="20" t="s">
        <v>397</v>
      </c>
      <c r="B104" s="21"/>
      <c r="C104" s="21"/>
      <c r="D104" s="21"/>
      <c r="E104" s="21"/>
      <c r="F104" s="21"/>
      <c r="G104" s="21"/>
      <c r="H104" s="21"/>
      <c r="I104" s="21"/>
      <c r="J104" s="21"/>
      <c r="K104" s="21"/>
      <c r="L104" s="21"/>
    </row>
    <row r="105" customFormat="false" ht="13.5" hidden="false" customHeight="true" outlineLevel="0" collapsed="false">
      <c r="A105" s="26" t="s">
        <v>398</v>
      </c>
      <c r="B105" s="26"/>
      <c r="C105" s="26"/>
      <c r="D105" s="26"/>
      <c r="E105" s="26"/>
      <c r="F105" s="26"/>
      <c r="G105" s="26"/>
      <c r="H105" s="26"/>
      <c r="I105" s="26"/>
      <c r="J105" s="26"/>
      <c r="K105" s="26"/>
      <c r="L105" s="26"/>
    </row>
    <row r="106" customFormat="false" ht="43.5" hidden="false" customHeight="true" outlineLevel="0" collapsed="false">
      <c r="A106" s="22" t="s">
        <v>399</v>
      </c>
      <c r="B106" s="22" t="s">
        <v>400</v>
      </c>
      <c r="C106" s="22" t="s">
        <v>401</v>
      </c>
      <c r="D106" s="22" t="s">
        <v>402</v>
      </c>
      <c r="E106" s="22" t="s">
        <v>403</v>
      </c>
      <c r="F106" s="22" t="s">
        <v>404</v>
      </c>
      <c r="G106" s="22" t="s">
        <v>405</v>
      </c>
    </row>
    <row r="107" customFormat="false" ht="15" hidden="false" customHeight="false" outlineLevel="0" collapsed="false">
      <c r="A107" s="23" t="s">
        <v>406</v>
      </c>
      <c r="B107" s="37" t="n">
        <v>17</v>
      </c>
      <c r="C107" s="23" t="s">
        <v>407</v>
      </c>
      <c r="D107" s="45" t="n">
        <v>0.368129820502867</v>
      </c>
      <c r="E107" s="45" t="n">
        <v>0.589833799839728</v>
      </c>
      <c r="F107" s="54" t="n">
        <v>0.179593067822949</v>
      </c>
      <c r="G107" s="54" t="n">
        <v>0.0588235294117647</v>
      </c>
    </row>
    <row r="108" customFormat="false" ht="15" hidden="false" customHeight="false" outlineLevel="0" collapsed="false">
      <c r="A108" s="23" t="s">
        <v>408</v>
      </c>
      <c r="B108" s="37" t="n">
        <v>6</v>
      </c>
      <c r="C108" s="23" t="s">
        <v>195</v>
      </c>
      <c r="D108" s="45" t="n">
        <v>0.257852440362221</v>
      </c>
      <c r="E108" s="45" t="n">
        <v>0.646697173429643</v>
      </c>
      <c r="F108" s="54" t="n">
        <v>0.18781712127427</v>
      </c>
      <c r="G108" s="54" t="n">
        <v>0.166666666666667</v>
      </c>
    </row>
    <row r="109" customFormat="false" ht="15" hidden="false" customHeight="false" outlineLevel="0" collapsed="false">
      <c r="A109" s="23" t="s">
        <v>409</v>
      </c>
      <c r="B109" s="37" t="n">
        <v>8</v>
      </c>
      <c r="C109" s="23" t="s">
        <v>410</v>
      </c>
      <c r="D109" s="45" t="n">
        <v>0.175483966179751</v>
      </c>
      <c r="E109" s="45" t="n">
        <v>0.52265220199004</v>
      </c>
      <c r="F109" s="54" t="n">
        <v>0.144980035233972</v>
      </c>
      <c r="G109" s="54" t="n">
        <v>0.125</v>
      </c>
    </row>
    <row r="110" customFormat="false" ht="15" hidden="false" customHeight="false" outlineLevel="0" collapsed="false">
      <c r="A110" s="23" t="s">
        <v>411</v>
      </c>
      <c r="B110" s="37" t="n">
        <v>5</v>
      </c>
      <c r="C110" s="23" t="s">
        <v>323</v>
      </c>
      <c r="D110" s="45" t="n">
        <v>0.360528637945174</v>
      </c>
      <c r="E110" s="45" t="n">
        <v>0.854449097728852</v>
      </c>
      <c r="F110" s="54" t="n">
        <v>0.265383750088919</v>
      </c>
      <c r="G110" s="54" t="n">
        <v>0.2</v>
      </c>
    </row>
    <row r="113" customFormat="false" ht="15" hidden="false" customHeight="false" outlineLevel="0" collapsed="false">
      <c r="A113" s="20" t="s">
        <v>412</v>
      </c>
      <c r="B113" s="21"/>
      <c r="C113" s="21"/>
      <c r="D113" s="21"/>
      <c r="E113" s="21"/>
      <c r="F113" s="21"/>
      <c r="G113" s="21"/>
      <c r="H113" s="21"/>
      <c r="I113" s="21"/>
      <c r="J113" s="21"/>
      <c r="K113" s="21"/>
      <c r="L113" s="21"/>
    </row>
    <row r="114" customFormat="false" ht="27.75" hidden="false" customHeight="true" outlineLevel="0" collapsed="false">
      <c r="A114" s="26" t="s">
        <v>413</v>
      </c>
      <c r="B114" s="26"/>
      <c r="C114" s="26"/>
      <c r="D114" s="26"/>
      <c r="E114" s="26"/>
      <c r="F114" s="26"/>
      <c r="G114" s="26"/>
      <c r="H114" s="26"/>
      <c r="I114" s="26"/>
      <c r="J114" s="26"/>
      <c r="K114" s="26"/>
      <c r="L114" s="26"/>
    </row>
    <row r="115" customFormat="false" ht="43.5" hidden="false" customHeight="true" outlineLevel="0" collapsed="false">
      <c r="A115" s="22" t="s">
        <v>189</v>
      </c>
      <c r="B115" s="22" t="s">
        <v>190</v>
      </c>
      <c r="C115" s="22" t="s">
        <v>191</v>
      </c>
      <c r="D115" s="22" t="s">
        <v>162</v>
      </c>
      <c r="E115" s="22" t="s">
        <v>414</v>
      </c>
      <c r="F115" s="22" t="s">
        <v>415</v>
      </c>
      <c r="G115" s="22" t="s">
        <v>416</v>
      </c>
      <c r="H115" s="22" t="s">
        <v>417</v>
      </c>
      <c r="I115" s="22" t="s">
        <v>192</v>
      </c>
      <c r="J115" s="22" t="s">
        <v>418</v>
      </c>
    </row>
    <row r="116" customFormat="false" ht="15" hidden="false" customHeight="false" outlineLevel="0" collapsed="false">
      <c r="A116" s="23" t="s">
        <v>201</v>
      </c>
      <c r="B116" s="34" t="n">
        <v>4100</v>
      </c>
      <c r="C116" s="23" t="s">
        <v>196</v>
      </c>
      <c r="D116" s="23" t="s">
        <v>224</v>
      </c>
      <c r="E116" s="37" t="n">
        <v>36</v>
      </c>
      <c r="F116" s="37" t="n">
        <v>0</v>
      </c>
      <c r="G116" s="37" t="n">
        <v>36</v>
      </c>
      <c r="H116" s="45" t="n">
        <v>1</v>
      </c>
      <c r="I116" s="37" t="n">
        <v>-601660.1281</v>
      </c>
      <c r="J116" s="45" t="n">
        <v>-0.0351499556017758</v>
      </c>
    </row>
    <row r="117" customFormat="false" ht="15" hidden="false" customHeight="false" outlineLevel="0" collapsed="false">
      <c r="A117" s="23" t="s">
        <v>201</v>
      </c>
      <c r="B117" s="34" t="n">
        <v>4110</v>
      </c>
      <c r="C117" s="23" t="s">
        <v>204</v>
      </c>
      <c r="D117" s="23" t="s">
        <v>224</v>
      </c>
      <c r="E117" s="37" t="n">
        <v>36</v>
      </c>
      <c r="F117" s="37" t="n">
        <v>0</v>
      </c>
      <c r="G117" s="37" t="n">
        <v>36</v>
      </c>
      <c r="H117" s="45" t="n">
        <v>1</v>
      </c>
      <c r="I117" s="37" t="n">
        <v>-92412.588</v>
      </c>
      <c r="J117" s="45" t="n">
        <v>-0.0346723008682525</v>
      </c>
    </row>
    <row r="118" customFormat="false" ht="15" hidden="false" customHeight="false" outlineLevel="0" collapsed="false">
      <c r="A118" s="23" t="s">
        <v>201</v>
      </c>
      <c r="B118" s="34" t="n">
        <v>4120</v>
      </c>
      <c r="C118" s="23" t="s">
        <v>349</v>
      </c>
      <c r="D118" s="23" t="s">
        <v>224</v>
      </c>
      <c r="E118" s="37" t="n">
        <v>30</v>
      </c>
      <c r="F118" s="37" t="n">
        <v>0</v>
      </c>
      <c r="G118" s="37" t="n">
        <v>30</v>
      </c>
      <c r="H118" s="45" t="n">
        <v>1</v>
      </c>
      <c r="I118" s="37" t="n">
        <v>-19264.4607</v>
      </c>
      <c r="J118" s="45" t="n">
        <v>-0.032333615290072</v>
      </c>
    </row>
    <row r="119" customFormat="false" ht="15" hidden="false" customHeight="false" outlineLevel="0" collapsed="false">
      <c r="A119" s="23" t="s">
        <v>201</v>
      </c>
      <c r="B119" s="34" t="n">
        <v>4190</v>
      </c>
      <c r="C119" s="23" t="s">
        <v>350</v>
      </c>
      <c r="D119" s="23" t="s">
        <v>224</v>
      </c>
      <c r="E119" s="37" t="n">
        <v>36</v>
      </c>
      <c r="F119" s="37" t="n">
        <v>16</v>
      </c>
      <c r="G119" s="37" t="n">
        <v>20</v>
      </c>
      <c r="H119" s="45" t="n">
        <v>0.555555555555556</v>
      </c>
      <c r="I119" s="37" t="n">
        <v>-2615.8276</v>
      </c>
      <c r="J119" s="45" t="n">
        <v>-0.0121852401002417</v>
      </c>
    </row>
    <row r="120" customFormat="false" ht="15" hidden="false" customHeight="false" outlineLevel="0" collapsed="false">
      <c r="A120" s="23" t="s">
        <v>201</v>
      </c>
      <c r="B120" s="34" t="n">
        <v>5100</v>
      </c>
      <c r="C120" s="23" t="s">
        <v>198</v>
      </c>
      <c r="D120" s="23" t="s">
        <v>172</v>
      </c>
      <c r="E120" s="37" t="n">
        <v>36</v>
      </c>
      <c r="F120" s="37" t="n">
        <v>36</v>
      </c>
      <c r="G120" s="37" t="n">
        <v>0</v>
      </c>
      <c r="H120" s="45" t="n">
        <v>1</v>
      </c>
      <c r="I120" s="37" t="n">
        <v>369549.8826</v>
      </c>
      <c r="J120" s="45" t="n">
        <v>0.0642507082086852</v>
      </c>
    </row>
    <row r="121" customFormat="false" ht="15" hidden="false" customHeight="false" outlineLevel="0" collapsed="false">
      <c r="A121" s="23" t="s">
        <v>201</v>
      </c>
      <c r="B121" s="34" t="n">
        <v>5110</v>
      </c>
      <c r="C121" s="23" t="s">
        <v>351</v>
      </c>
      <c r="D121" s="23" t="s">
        <v>172</v>
      </c>
      <c r="E121" s="37" t="n">
        <v>27</v>
      </c>
      <c r="F121" s="37" t="n">
        <v>26</v>
      </c>
      <c r="G121" s="37" t="n">
        <v>1</v>
      </c>
      <c r="H121" s="45" t="n">
        <v>0.962962962962963</v>
      </c>
      <c r="I121" s="37" t="n">
        <v>36436.6399</v>
      </c>
      <c r="J121" s="45" t="n">
        <v>0.0632895367732265</v>
      </c>
    </row>
    <row r="122" customFormat="false" ht="15" hidden="false" customHeight="false" outlineLevel="0" collapsed="false">
      <c r="A122" s="23" t="s">
        <v>201</v>
      </c>
      <c r="B122" s="34" t="n">
        <v>5120</v>
      </c>
      <c r="C122" s="23" t="s">
        <v>352</v>
      </c>
      <c r="D122" s="23" t="s">
        <v>172</v>
      </c>
      <c r="E122" s="37" t="n">
        <v>30</v>
      </c>
      <c r="F122" s="37" t="n">
        <v>17</v>
      </c>
      <c r="G122" s="37" t="n">
        <v>13</v>
      </c>
      <c r="H122" s="45" t="n">
        <v>0.566666666666667</v>
      </c>
      <c r="I122" s="37" t="n">
        <v>-574.9397</v>
      </c>
      <c r="J122" s="45"/>
    </row>
    <row r="123" customFormat="false" ht="15" hidden="false" customHeight="false" outlineLevel="0" collapsed="false">
      <c r="A123" s="23" t="s">
        <v>201</v>
      </c>
      <c r="B123" s="34" t="n">
        <v>5200</v>
      </c>
      <c r="C123" s="23" t="s">
        <v>205</v>
      </c>
      <c r="D123" s="23" t="s">
        <v>172</v>
      </c>
      <c r="E123" s="37" t="n">
        <v>30</v>
      </c>
      <c r="F123" s="37" t="n">
        <v>28</v>
      </c>
      <c r="G123" s="37" t="n">
        <v>2</v>
      </c>
      <c r="H123" s="45" t="n">
        <v>0.933333333333333</v>
      </c>
      <c r="I123" s="37" t="n">
        <v>68311.3928</v>
      </c>
      <c r="J123" s="45" t="n">
        <v>0.0650553753492477</v>
      </c>
    </row>
    <row r="124" customFormat="false" ht="15" hidden="false" customHeight="false" outlineLevel="0" collapsed="false">
      <c r="A124" s="23" t="s">
        <v>201</v>
      </c>
      <c r="B124" s="34" t="n">
        <v>5300</v>
      </c>
      <c r="C124" s="23" t="s">
        <v>353</v>
      </c>
      <c r="D124" s="23" t="s">
        <v>172</v>
      </c>
      <c r="E124" s="37" t="n">
        <v>34</v>
      </c>
      <c r="F124" s="37" t="n">
        <v>27</v>
      </c>
      <c r="G124" s="37" t="n">
        <v>7</v>
      </c>
      <c r="H124" s="45" t="n">
        <v>0.794117647058824</v>
      </c>
      <c r="I124" s="37" t="n">
        <v>33217.134</v>
      </c>
      <c r="J124" s="45" t="n">
        <v>0.071606379336135</v>
      </c>
    </row>
    <row r="125" customFormat="false" ht="15" hidden="false" customHeight="false" outlineLevel="0" collapsed="false">
      <c r="A125" s="23" t="s">
        <v>201</v>
      </c>
      <c r="B125" s="34" t="n">
        <v>6100</v>
      </c>
      <c r="C125" s="23" t="s">
        <v>203</v>
      </c>
      <c r="D125" s="23" t="s">
        <v>225</v>
      </c>
      <c r="E125" s="37" t="n">
        <v>35</v>
      </c>
      <c r="F125" s="37" t="n">
        <v>33</v>
      </c>
      <c r="G125" s="37" t="n">
        <v>2</v>
      </c>
      <c r="H125" s="45" t="n">
        <v>0.942857142857143</v>
      </c>
      <c r="I125" s="37" t="n">
        <v>156509.0518</v>
      </c>
      <c r="J125" s="45" t="n">
        <v>0.061725281591989</v>
      </c>
    </row>
    <row r="126" customFormat="false" ht="15" hidden="false" customHeight="false" outlineLevel="0" collapsed="false">
      <c r="A126" s="23" t="s">
        <v>201</v>
      </c>
      <c r="B126" s="34" t="n">
        <v>6110</v>
      </c>
      <c r="C126" s="23" t="s">
        <v>354</v>
      </c>
      <c r="D126" s="23" t="s">
        <v>225</v>
      </c>
      <c r="E126" s="37" t="n">
        <v>36</v>
      </c>
      <c r="F126" s="37" t="n">
        <v>34</v>
      </c>
      <c r="G126" s="37" t="n">
        <v>2</v>
      </c>
      <c r="H126" s="45" t="n">
        <v>0.944444444444444</v>
      </c>
      <c r="I126" s="37" t="n">
        <v>30753.9878</v>
      </c>
      <c r="J126" s="45" t="n">
        <v>0.0623727519756796</v>
      </c>
    </row>
    <row r="127" customFormat="false" ht="15" hidden="false" customHeight="false" outlineLevel="0" collapsed="false">
      <c r="A127" s="23" t="s">
        <v>201</v>
      </c>
      <c r="B127" s="34" t="n">
        <v>6120</v>
      </c>
      <c r="C127" s="23" t="s">
        <v>355</v>
      </c>
      <c r="D127" s="23" t="s">
        <v>225</v>
      </c>
      <c r="E127" s="37" t="n">
        <v>36</v>
      </c>
      <c r="F127" s="37" t="n">
        <v>35</v>
      </c>
      <c r="G127" s="37" t="n">
        <v>1</v>
      </c>
      <c r="H127" s="45" t="n">
        <v>0.972222222222222</v>
      </c>
      <c r="I127" s="37" t="n">
        <v>38562.5187</v>
      </c>
      <c r="J127" s="45" t="n">
        <v>0.0631757088178761</v>
      </c>
    </row>
    <row r="128" customFormat="false" ht="15" hidden="false" customHeight="false" outlineLevel="0" collapsed="false">
      <c r="A128" s="23" t="s">
        <v>201</v>
      </c>
      <c r="B128" s="34" t="n">
        <v>6200</v>
      </c>
      <c r="C128" s="23" t="s">
        <v>356</v>
      </c>
      <c r="D128" s="23" t="s">
        <v>226</v>
      </c>
      <c r="E128" s="37" t="n">
        <v>36</v>
      </c>
      <c r="F128" s="37" t="n">
        <v>34</v>
      </c>
      <c r="G128" s="37" t="n">
        <v>2</v>
      </c>
      <c r="H128" s="45" t="n">
        <v>0.944444444444444</v>
      </c>
      <c r="I128" s="37" t="n">
        <v>17400.2978</v>
      </c>
      <c r="J128" s="45" t="n">
        <v>0.0700687012340656</v>
      </c>
    </row>
    <row r="129" customFormat="false" ht="15" hidden="false" customHeight="false" outlineLevel="0" collapsed="false">
      <c r="A129" s="23" t="s">
        <v>201</v>
      </c>
      <c r="B129" s="34" t="n">
        <v>6210</v>
      </c>
      <c r="C129" s="23" t="s">
        <v>357</v>
      </c>
      <c r="D129" s="23" t="s">
        <v>226</v>
      </c>
      <c r="E129" s="37" t="n">
        <v>35</v>
      </c>
      <c r="F129" s="37" t="n">
        <v>35</v>
      </c>
      <c r="G129" s="37" t="n">
        <v>0</v>
      </c>
      <c r="H129" s="45" t="n">
        <v>1</v>
      </c>
      <c r="I129" s="37" t="n">
        <v>60109.4809</v>
      </c>
      <c r="J129" s="45" t="n">
        <v>0.0641430620462138</v>
      </c>
    </row>
    <row r="130" customFormat="false" ht="15" hidden="false" customHeight="false" outlineLevel="0" collapsed="false">
      <c r="A130" s="23" t="s">
        <v>201</v>
      </c>
      <c r="B130" s="34" t="n">
        <v>6220</v>
      </c>
      <c r="C130" s="23" t="s">
        <v>358</v>
      </c>
      <c r="D130" s="23" t="s">
        <v>226</v>
      </c>
      <c r="E130" s="37" t="n">
        <v>36</v>
      </c>
      <c r="F130" s="37" t="n">
        <v>35</v>
      </c>
      <c r="G130" s="37" t="n">
        <v>1</v>
      </c>
      <c r="H130" s="45" t="n">
        <v>0.972222222222222</v>
      </c>
      <c r="I130" s="37" t="n">
        <v>68364.4746</v>
      </c>
      <c r="J130" s="45" t="n">
        <v>0.0678003581749522</v>
      </c>
    </row>
    <row r="131" customFormat="false" ht="15" hidden="false" customHeight="false" outlineLevel="0" collapsed="false">
      <c r="A131" s="23" t="s">
        <v>201</v>
      </c>
      <c r="B131" s="34" t="n">
        <v>6230</v>
      </c>
      <c r="C131" s="23" t="s">
        <v>359</v>
      </c>
      <c r="D131" s="23" t="s">
        <v>226</v>
      </c>
      <c r="E131" s="37" t="n">
        <v>35</v>
      </c>
      <c r="F131" s="37" t="n">
        <v>33</v>
      </c>
      <c r="G131" s="37" t="n">
        <v>2</v>
      </c>
      <c r="H131" s="45" t="n">
        <v>0.942857142857143</v>
      </c>
      <c r="I131" s="37" t="n">
        <v>37786.9551</v>
      </c>
      <c r="J131" s="45" t="n">
        <v>0.0641008681467211</v>
      </c>
    </row>
    <row r="132" customFormat="false" ht="15" hidden="false" customHeight="false" outlineLevel="0" collapsed="false">
      <c r="A132" s="23" t="s">
        <v>201</v>
      </c>
      <c r="B132" s="34" t="n">
        <v>6240</v>
      </c>
      <c r="C132" s="23" t="s">
        <v>360</v>
      </c>
      <c r="D132" s="23" t="s">
        <v>226</v>
      </c>
      <c r="E132" s="37" t="n">
        <v>36</v>
      </c>
      <c r="F132" s="37" t="n">
        <v>33</v>
      </c>
      <c r="G132" s="37" t="n">
        <v>3</v>
      </c>
      <c r="H132" s="45" t="n">
        <v>0.916666666666667</v>
      </c>
      <c r="I132" s="37" t="n">
        <v>23056.8897</v>
      </c>
      <c r="J132" s="45" t="n">
        <v>0.0684217759645223</v>
      </c>
    </row>
    <row r="133" customFormat="false" ht="15" hidden="false" customHeight="false" outlineLevel="0" collapsed="false">
      <c r="A133" s="23" t="s">
        <v>201</v>
      </c>
      <c r="B133" s="34" t="n">
        <v>6250</v>
      </c>
      <c r="C133" s="23" t="s">
        <v>361</v>
      </c>
      <c r="D133" s="23" t="s">
        <v>226</v>
      </c>
      <c r="E133" s="37" t="n">
        <v>36</v>
      </c>
      <c r="F133" s="37" t="n">
        <v>33</v>
      </c>
      <c r="G133" s="37" t="n">
        <v>3</v>
      </c>
      <c r="H133" s="45" t="n">
        <v>0.916666666666667</v>
      </c>
      <c r="I133" s="37" t="n">
        <v>21395.2898</v>
      </c>
      <c r="J133" s="45" t="n">
        <v>0.0638358097781292</v>
      </c>
    </row>
    <row r="134" customFormat="false" ht="15" hidden="false" customHeight="false" outlineLevel="0" collapsed="false">
      <c r="A134" s="23" t="s">
        <v>201</v>
      </c>
      <c r="B134" s="34" t="n">
        <v>6260</v>
      </c>
      <c r="C134" s="23" t="s">
        <v>362</v>
      </c>
      <c r="D134" s="23" t="s">
        <v>226</v>
      </c>
      <c r="E134" s="37" t="n">
        <v>36</v>
      </c>
      <c r="F134" s="37" t="n">
        <v>36</v>
      </c>
      <c r="G134" s="37" t="n">
        <v>0</v>
      </c>
      <c r="H134" s="45" t="n">
        <v>1</v>
      </c>
      <c r="I134" s="37" t="n">
        <v>25638.7248</v>
      </c>
      <c r="J134" s="45" t="n">
        <v>0.0656680610713704</v>
      </c>
    </row>
    <row r="135" customFormat="false" ht="15" hidden="false" customHeight="false" outlineLevel="0" collapsed="false">
      <c r="A135" s="23" t="s">
        <v>201</v>
      </c>
      <c r="B135" s="34" t="n">
        <v>6270</v>
      </c>
      <c r="C135" s="23" t="s">
        <v>363</v>
      </c>
      <c r="D135" s="23" t="s">
        <v>226</v>
      </c>
      <c r="E135" s="37" t="n">
        <v>36</v>
      </c>
      <c r="F135" s="37" t="n">
        <v>31</v>
      </c>
      <c r="G135" s="37" t="n">
        <v>5</v>
      </c>
      <c r="H135" s="45" t="n">
        <v>0.861111111111111</v>
      </c>
      <c r="I135" s="37" t="n">
        <v>11400.2809</v>
      </c>
      <c r="J135" s="45" t="n">
        <v>0.0644019154140053</v>
      </c>
    </row>
    <row r="136" customFormat="false" ht="15" hidden="false" customHeight="false" outlineLevel="0" collapsed="false">
      <c r="A136" s="23" t="s">
        <v>201</v>
      </c>
      <c r="B136" s="34" t="n">
        <v>6300</v>
      </c>
      <c r="C136" s="23" t="s">
        <v>364</v>
      </c>
      <c r="D136" s="23" t="s">
        <v>227</v>
      </c>
      <c r="E136" s="37" t="n">
        <v>32</v>
      </c>
      <c r="F136" s="37" t="n">
        <v>29</v>
      </c>
      <c r="G136" s="37" t="n">
        <v>3</v>
      </c>
      <c r="H136" s="45" t="n">
        <v>0.90625</v>
      </c>
      <c r="I136" s="37" t="n">
        <v>10247.9059</v>
      </c>
      <c r="J136" s="45" t="n">
        <v>0.0537816056703118</v>
      </c>
    </row>
    <row r="137" customFormat="false" ht="15" hidden="false" customHeight="false" outlineLevel="0" collapsed="false">
      <c r="A137" s="23" t="s">
        <v>201</v>
      </c>
      <c r="B137" s="34" t="n">
        <v>7100</v>
      </c>
      <c r="C137" s="23" t="s">
        <v>365</v>
      </c>
      <c r="D137" s="23" t="s">
        <v>228</v>
      </c>
      <c r="E137" s="37" t="n">
        <v>28</v>
      </c>
      <c r="F137" s="37" t="n">
        <v>28</v>
      </c>
      <c r="G137" s="37" t="n">
        <v>0</v>
      </c>
      <c r="H137" s="45" t="n">
        <v>1</v>
      </c>
      <c r="I137" s="37" t="n">
        <v>4917.8096</v>
      </c>
      <c r="J137" s="45" t="n">
        <v>0.067979650688343</v>
      </c>
    </row>
    <row r="138" customFormat="false" ht="15" hidden="false" customHeight="false" outlineLevel="0" collapsed="false">
      <c r="A138" s="23" t="s">
        <v>201</v>
      </c>
      <c r="B138" s="34" t="n">
        <v>7200</v>
      </c>
      <c r="C138" s="23" t="s">
        <v>366</v>
      </c>
      <c r="D138" s="23" t="s">
        <v>228</v>
      </c>
      <c r="E138" s="37" t="n">
        <v>29</v>
      </c>
      <c r="F138" s="37" t="n">
        <v>11</v>
      </c>
      <c r="G138" s="37" t="n">
        <v>18</v>
      </c>
      <c r="H138" s="45" t="n">
        <v>0.620689655172414</v>
      </c>
      <c r="I138" s="37" t="n">
        <v>104.6917</v>
      </c>
      <c r="J138" s="45"/>
    </row>
    <row r="139" customFormat="false" ht="15" hidden="false" customHeight="false" outlineLevel="0" collapsed="false">
      <c r="A139" s="23" t="s">
        <v>201</v>
      </c>
      <c r="B139" s="34" t="n">
        <v>8100</v>
      </c>
      <c r="C139" s="23" t="s">
        <v>367</v>
      </c>
      <c r="D139" s="23" t="s">
        <v>229</v>
      </c>
      <c r="E139" s="37" t="n">
        <v>31</v>
      </c>
      <c r="F139" s="37" t="n">
        <v>29</v>
      </c>
      <c r="G139" s="37" t="n">
        <v>2</v>
      </c>
      <c r="H139" s="45" t="n">
        <v>0.935483870967742</v>
      </c>
      <c r="I139" s="37" t="n">
        <v>18873.1043</v>
      </c>
      <c r="J139" s="45" t="n">
        <v>0.0646505404895763</v>
      </c>
    </row>
    <row r="140" customFormat="false" ht="15" hidden="false" customHeight="false" outlineLevel="0" collapsed="false">
      <c r="A140" s="23" t="s">
        <v>200</v>
      </c>
      <c r="B140" s="34" t="n">
        <v>4100</v>
      </c>
      <c r="C140" s="23" t="s">
        <v>196</v>
      </c>
      <c r="D140" s="23" t="s">
        <v>224</v>
      </c>
      <c r="E140" s="37" t="n">
        <v>36</v>
      </c>
      <c r="F140" s="37" t="n">
        <v>0</v>
      </c>
      <c r="G140" s="37" t="n">
        <v>36</v>
      </c>
      <c r="H140" s="45" t="n">
        <v>1</v>
      </c>
      <c r="I140" s="37" t="n">
        <v>-857884.8461</v>
      </c>
      <c r="J140" s="45" t="n">
        <v>-0.0351734926303892</v>
      </c>
    </row>
    <row r="141" customFormat="false" ht="15" hidden="false" customHeight="false" outlineLevel="0" collapsed="false">
      <c r="A141" s="23" t="s">
        <v>200</v>
      </c>
      <c r="B141" s="34" t="n">
        <v>4110</v>
      </c>
      <c r="C141" s="23" t="s">
        <v>204</v>
      </c>
      <c r="D141" s="23" t="s">
        <v>224</v>
      </c>
      <c r="E141" s="37" t="n">
        <v>36</v>
      </c>
      <c r="F141" s="37" t="n">
        <v>0</v>
      </c>
      <c r="G141" s="37" t="n">
        <v>36</v>
      </c>
      <c r="H141" s="45" t="n">
        <v>1</v>
      </c>
      <c r="I141" s="37" t="n">
        <v>-135484.8298</v>
      </c>
      <c r="J141" s="45" t="n">
        <v>-0.0358804864895589</v>
      </c>
    </row>
    <row r="142" customFormat="false" ht="15" hidden="false" customHeight="false" outlineLevel="0" collapsed="false">
      <c r="A142" s="23" t="s">
        <v>200</v>
      </c>
      <c r="B142" s="34" t="n">
        <v>4120</v>
      </c>
      <c r="C142" s="23" t="s">
        <v>349</v>
      </c>
      <c r="D142" s="23" t="s">
        <v>224</v>
      </c>
      <c r="E142" s="37" t="n">
        <v>31</v>
      </c>
      <c r="F142" s="37" t="n">
        <v>0</v>
      </c>
      <c r="G142" s="37" t="n">
        <v>31</v>
      </c>
      <c r="H142" s="45" t="n">
        <v>1</v>
      </c>
      <c r="I142" s="37" t="n">
        <v>-28177.2705</v>
      </c>
      <c r="J142" s="45" t="n">
        <v>-0.0313507845950476</v>
      </c>
    </row>
    <row r="143" customFormat="false" ht="15" hidden="false" customHeight="false" outlineLevel="0" collapsed="false">
      <c r="A143" s="23" t="s">
        <v>200</v>
      </c>
      <c r="B143" s="34" t="n">
        <v>4190</v>
      </c>
      <c r="C143" s="23" t="s">
        <v>350</v>
      </c>
      <c r="D143" s="23" t="s">
        <v>224</v>
      </c>
      <c r="E143" s="37" t="n">
        <v>36</v>
      </c>
      <c r="F143" s="37" t="n">
        <v>13</v>
      </c>
      <c r="G143" s="37" t="n">
        <v>23</v>
      </c>
      <c r="H143" s="45" t="n">
        <v>0.638888888888889</v>
      </c>
      <c r="I143" s="37" t="n">
        <v>-7205.35450000001</v>
      </c>
      <c r="J143" s="45" t="n">
        <v>-0.0243483390937019</v>
      </c>
    </row>
    <row r="144" customFormat="false" ht="15" hidden="false" customHeight="false" outlineLevel="0" collapsed="false">
      <c r="A144" s="23" t="s">
        <v>200</v>
      </c>
      <c r="B144" s="34" t="n">
        <v>5100</v>
      </c>
      <c r="C144" s="23" t="s">
        <v>198</v>
      </c>
      <c r="D144" s="23" t="s">
        <v>172</v>
      </c>
      <c r="E144" s="37" t="n">
        <v>36</v>
      </c>
      <c r="F144" s="37" t="n">
        <v>36</v>
      </c>
      <c r="G144" s="37" t="n">
        <v>0</v>
      </c>
      <c r="H144" s="45" t="n">
        <v>1</v>
      </c>
      <c r="I144" s="37" t="n">
        <v>604716.7338</v>
      </c>
      <c r="J144" s="45" t="n">
        <v>0.0644772156953659</v>
      </c>
    </row>
    <row r="145" customFormat="false" ht="15" hidden="false" customHeight="false" outlineLevel="0" collapsed="false">
      <c r="A145" s="23" t="s">
        <v>200</v>
      </c>
      <c r="B145" s="34" t="n">
        <v>5110</v>
      </c>
      <c r="C145" s="23" t="s">
        <v>351</v>
      </c>
      <c r="D145" s="23" t="s">
        <v>172</v>
      </c>
      <c r="E145" s="37" t="n">
        <v>28</v>
      </c>
      <c r="F145" s="37" t="n">
        <v>27</v>
      </c>
      <c r="G145" s="37" t="n">
        <v>1</v>
      </c>
      <c r="H145" s="45" t="n">
        <v>0.964285714285714</v>
      </c>
      <c r="I145" s="37" t="n">
        <v>53718.4429</v>
      </c>
      <c r="J145" s="45" t="n">
        <v>0.0691690392124505</v>
      </c>
    </row>
    <row r="146" customFormat="false" ht="15" hidden="false" customHeight="false" outlineLevel="0" collapsed="false">
      <c r="A146" s="23" t="s">
        <v>200</v>
      </c>
      <c r="B146" s="34" t="n">
        <v>5120</v>
      </c>
      <c r="C146" s="23" t="s">
        <v>352</v>
      </c>
      <c r="D146" s="23" t="s">
        <v>172</v>
      </c>
      <c r="E146" s="37" t="n">
        <v>32</v>
      </c>
      <c r="F146" s="37" t="n">
        <v>17</v>
      </c>
      <c r="G146" s="37" t="n">
        <v>15</v>
      </c>
      <c r="H146" s="45" t="n">
        <v>0.53125</v>
      </c>
      <c r="I146" s="37" t="n">
        <v>1946.2285</v>
      </c>
      <c r="J146" s="45"/>
    </row>
    <row r="147" customFormat="false" ht="15" hidden="false" customHeight="false" outlineLevel="0" collapsed="false">
      <c r="A147" s="23" t="s">
        <v>200</v>
      </c>
      <c r="B147" s="34" t="n">
        <v>5200</v>
      </c>
      <c r="C147" s="23" t="s">
        <v>205</v>
      </c>
      <c r="D147" s="23" t="s">
        <v>172</v>
      </c>
      <c r="E147" s="37" t="n">
        <v>26</v>
      </c>
      <c r="F147" s="37" t="n">
        <v>24</v>
      </c>
      <c r="G147" s="37" t="n">
        <v>2</v>
      </c>
      <c r="H147" s="45" t="n">
        <v>0.923076923076923</v>
      </c>
      <c r="I147" s="37" t="n">
        <v>89542.7055</v>
      </c>
      <c r="J147" s="45" t="n">
        <v>0.0615960085829063</v>
      </c>
    </row>
    <row r="148" customFormat="false" ht="15" hidden="false" customHeight="false" outlineLevel="0" collapsed="false">
      <c r="A148" s="23" t="s">
        <v>200</v>
      </c>
      <c r="B148" s="34" t="n">
        <v>5300</v>
      </c>
      <c r="C148" s="23" t="s">
        <v>353</v>
      </c>
      <c r="D148" s="23" t="s">
        <v>172</v>
      </c>
      <c r="E148" s="37" t="n">
        <v>33</v>
      </c>
      <c r="F148" s="37" t="n">
        <v>32</v>
      </c>
      <c r="G148" s="37" t="n">
        <v>1</v>
      </c>
      <c r="H148" s="45" t="n">
        <v>0.96969696969697</v>
      </c>
      <c r="I148" s="37" t="n">
        <v>99758.9533</v>
      </c>
      <c r="J148" s="45" t="n">
        <v>0.064044892845491</v>
      </c>
    </row>
    <row r="149" customFormat="false" ht="15" hidden="false" customHeight="false" outlineLevel="0" collapsed="false">
      <c r="A149" s="23" t="s">
        <v>200</v>
      </c>
      <c r="B149" s="34" t="n">
        <v>6100</v>
      </c>
      <c r="C149" s="23" t="s">
        <v>203</v>
      </c>
      <c r="D149" s="23" t="s">
        <v>225</v>
      </c>
      <c r="E149" s="37" t="n">
        <v>36</v>
      </c>
      <c r="F149" s="37" t="n">
        <v>35</v>
      </c>
      <c r="G149" s="37" t="n">
        <v>1</v>
      </c>
      <c r="H149" s="45" t="n">
        <v>0.972222222222222</v>
      </c>
      <c r="I149" s="37" t="n">
        <v>296677.0703</v>
      </c>
      <c r="J149" s="45" t="n">
        <v>0.0665427709708525</v>
      </c>
    </row>
    <row r="150" customFormat="false" ht="15" hidden="false" customHeight="false" outlineLevel="0" collapsed="false">
      <c r="A150" s="23" t="s">
        <v>200</v>
      </c>
      <c r="B150" s="34" t="n">
        <v>6110</v>
      </c>
      <c r="C150" s="23" t="s">
        <v>354</v>
      </c>
      <c r="D150" s="23" t="s">
        <v>225</v>
      </c>
      <c r="E150" s="37" t="n">
        <v>36</v>
      </c>
      <c r="F150" s="37" t="n">
        <v>36</v>
      </c>
      <c r="G150" s="37" t="n">
        <v>0</v>
      </c>
      <c r="H150" s="45" t="n">
        <v>1</v>
      </c>
      <c r="I150" s="37" t="n">
        <v>43587.6809</v>
      </c>
      <c r="J150" s="45" t="n">
        <v>0.0627921034572299</v>
      </c>
    </row>
    <row r="151" customFormat="false" ht="15" hidden="false" customHeight="false" outlineLevel="0" collapsed="false">
      <c r="A151" s="23" t="s">
        <v>200</v>
      </c>
      <c r="B151" s="34" t="n">
        <v>6120</v>
      </c>
      <c r="C151" s="23" t="s">
        <v>355</v>
      </c>
      <c r="D151" s="23" t="s">
        <v>225</v>
      </c>
      <c r="E151" s="37" t="n">
        <v>35</v>
      </c>
      <c r="F151" s="37" t="n">
        <v>33</v>
      </c>
      <c r="G151" s="37" t="n">
        <v>2</v>
      </c>
      <c r="H151" s="45" t="n">
        <v>0.942857142857143</v>
      </c>
      <c r="I151" s="37" t="n">
        <v>60889.1192</v>
      </c>
      <c r="J151" s="45" t="n">
        <v>0.0659103889836243</v>
      </c>
    </row>
    <row r="152" customFormat="false" ht="15" hidden="false" customHeight="false" outlineLevel="0" collapsed="false">
      <c r="A152" s="23" t="s">
        <v>200</v>
      </c>
      <c r="B152" s="34" t="n">
        <v>6200</v>
      </c>
      <c r="C152" s="23" t="s">
        <v>356</v>
      </c>
      <c r="D152" s="23" t="s">
        <v>226</v>
      </c>
      <c r="E152" s="37" t="n">
        <v>36</v>
      </c>
      <c r="F152" s="37" t="n">
        <v>33</v>
      </c>
      <c r="G152" s="37" t="n">
        <v>3</v>
      </c>
      <c r="H152" s="45" t="n">
        <v>0.916666666666667</v>
      </c>
      <c r="I152" s="37" t="n">
        <v>25848.786</v>
      </c>
      <c r="J152" s="45" t="n">
        <v>0.0655919693461811</v>
      </c>
    </row>
    <row r="153" customFormat="false" ht="15" hidden="false" customHeight="false" outlineLevel="0" collapsed="false">
      <c r="A153" s="23" t="s">
        <v>200</v>
      </c>
      <c r="B153" s="34" t="n">
        <v>6210</v>
      </c>
      <c r="C153" s="23" t="s">
        <v>357</v>
      </c>
      <c r="D153" s="23" t="s">
        <v>226</v>
      </c>
      <c r="E153" s="37" t="n">
        <v>36</v>
      </c>
      <c r="F153" s="37" t="n">
        <v>36</v>
      </c>
      <c r="G153" s="37" t="n">
        <v>0</v>
      </c>
      <c r="H153" s="45" t="n">
        <v>1</v>
      </c>
      <c r="I153" s="37" t="n">
        <v>78768.9902</v>
      </c>
      <c r="J153" s="45" t="n">
        <v>0.0598606838631119</v>
      </c>
    </row>
    <row r="154" customFormat="false" ht="15" hidden="false" customHeight="false" outlineLevel="0" collapsed="false">
      <c r="A154" s="23" t="s">
        <v>200</v>
      </c>
      <c r="B154" s="34" t="n">
        <v>6220</v>
      </c>
      <c r="C154" s="23" t="s">
        <v>358</v>
      </c>
      <c r="D154" s="23" t="s">
        <v>226</v>
      </c>
      <c r="E154" s="37" t="n">
        <v>36</v>
      </c>
      <c r="F154" s="37" t="n">
        <v>36</v>
      </c>
      <c r="G154" s="37" t="n">
        <v>0</v>
      </c>
      <c r="H154" s="45" t="n">
        <v>1</v>
      </c>
      <c r="I154" s="37" t="n">
        <v>85486.663</v>
      </c>
      <c r="J154" s="45" t="n">
        <v>0.063085182596438</v>
      </c>
    </row>
    <row r="155" customFormat="false" ht="15" hidden="false" customHeight="false" outlineLevel="0" collapsed="false">
      <c r="A155" s="23" t="s">
        <v>200</v>
      </c>
      <c r="B155" s="34" t="n">
        <v>6230</v>
      </c>
      <c r="C155" s="23" t="s">
        <v>359</v>
      </c>
      <c r="D155" s="23" t="s">
        <v>226</v>
      </c>
      <c r="E155" s="37" t="n">
        <v>36</v>
      </c>
      <c r="F155" s="37" t="n">
        <v>35</v>
      </c>
      <c r="G155" s="37" t="n">
        <v>1</v>
      </c>
      <c r="H155" s="45" t="n">
        <v>0.972222222222222</v>
      </c>
      <c r="I155" s="37" t="n">
        <v>74665.0386</v>
      </c>
      <c r="J155" s="45" t="n">
        <v>0.0676255872097475</v>
      </c>
    </row>
    <row r="156" customFormat="false" ht="15" hidden="false" customHeight="false" outlineLevel="0" collapsed="false">
      <c r="A156" s="23" t="s">
        <v>200</v>
      </c>
      <c r="B156" s="34" t="n">
        <v>6240</v>
      </c>
      <c r="C156" s="23" t="s">
        <v>360</v>
      </c>
      <c r="D156" s="23" t="s">
        <v>226</v>
      </c>
      <c r="E156" s="37" t="n">
        <v>35</v>
      </c>
      <c r="F156" s="37" t="n">
        <v>34</v>
      </c>
      <c r="G156" s="37" t="n">
        <v>1</v>
      </c>
      <c r="H156" s="45" t="n">
        <v>0.971428571428571</v>
      </c>
      <c r="I156" s="37" t="n">
        <v>32709.7307</v>
      </c>
      <c r="J156" s="45" t="n">
        <v>0.0666466933446619</v>
      </c>
    </row>
    <row r="157" customFormat="false" ht="15" hidden="false" customHeight="false" outlineLevel="0" collapsed="false">
      <c r="A157" s="23" t="s">
        <v>200</v>
      </c>
      <c r="B157" s="34" t="n">
        <v>6250</v>
      </c>
      <c r="C157" s="23" t="s">
        <v>361</v>
      </c>
      <c r="D157" s="23" t="s">
        <v>226</v>
      </c>
      <c r="E157" s="37" t="n">
        <v>35</v>
      </c>
      <c r="F157" s="37" t="n">
        <v>34</v>
      </c>
      <c r="G157" s="37" t="n">
        <v>1</v>
      </c>
      <c r="H157" s="45" t="n">
        <v>0.971428571428571</v>
      </c>
      <c r="I157" s="37" t="n">
        <v>37420.2456</v>
      </c>
      <c r="J157" s="45" t="n">
        <v>0.0612777675673126</v>
      </c>
    </row>
    <row r="158" customFormat="false" ht="15" hidden="false" customHeight="false" outlineLevel="0" collapsed="false">
      <c r="A158" s="23" t="s">
        <v>200</v>
      </c>
      <c r="B158" s="34" t="n">
        <v>6260</v>
      </c>
      <c r="C158" s="23" t="s">
        <v>362</v>
      </c>
      <c r="D158" s="23" t="s">
        <v>226</v>
      </c>
      <c r="E158" s="37" t="n">
        <v>36</v>
      </c>
      <c r="F158" s="37" t="n">
        <v>34</v>
      </c>
      <c r="G158" s="37" t="n">
        <v>2</v>
      </c>
      <c r="H158" s="45" t="n">
        <v>0.944444444444444</v>
      </c>
      <c r="I158" s="37" t="n">
        <v>35137.5732</v>
      </c>
      <c r="J158" s="45" t="n">
        <v>0.0647120796379723</v>
      </c>
    </row>
    <row r="159" customFormat="false" ht="15" hidden="false" customHeight="false" outlineLevel="0" collapsed="false">
      <c r="A159" s="23" t="s">
        <v>200</v>
      </c>
      <c r="B159" s="34" t="n">
        <v>6270</v>
      </c>
      <c r="C159" s="23" t="s">
        <v>363</v>
      </c>
      <c r="D159" s="23" t="s">
        <v>226</v>
      </c>
      <c r="E159" s="37" t="n">
        <v>36</v>
      </c>
      <c r="F159" s="37" t="n">
        <v>35</v>
      </c>
      <c r="G159" s="37" t="n">
        <v>1</v>
      </c>
      <c r="H159" s="45" t="n">
        <v>0.972222222222222</v>
      </c>
      <c r="I159" s="37" t="n">
        <v>19306.1882</v>
      </c>
      <c r="J159" s="45" t="n">
        <v>0.0708238748238683</v>
      </c>
    </row>
    <row r="160" customFormat="false" ht="15" hidden="false" customHeight="false" outlineLevel="0" collapsed="false">
      <c r="A160" s="23" t="s">
        <v>200</v>
      </c>
      <c r="B160" s="34" t="n">
        <v>6300</v>
      </c>
      <c r="C160" s="23" t="s">
        <v>364</v>
      </c>
      <c r="D160" s="23" t="s">
        <v>227</v>
      </c>
      <c r="E160" s="37" t="n">
        <v>30</v>
      </c>
      <c r="F160" s="37" t="n">
        <v>29</v>
      </c>
      <c r="G160" s="37" t="n">
        <v>1</v>
      </c>
      <c r="H160" s="45" t="n">
        <v>0.966666666666667</v>
      </c>
      <c r="I160" s="37" t="n">
        <v>20746.9582</v>
      </c>
      <c r="J160" s="45" t="n">
        <v>0.0655841168945129</v>
      </c>
    </row>
    <row r="161" customFormat="false" ht="15" hidden="false" customHeight="false" outlineLevel="0" collapsed="false">
      <c r="A161" s="23" t="s">
        <v>200</v>
      </c>
      <c r="B161" s="34" t="n">
        <v>7100</v>
      </c>
      <c r="C161" s="23" t="s">
        <v>365</v>
      </c>
      <c r="D161" s="23" t="s">
        <v>228</v>
      </c>
      <c r="E161" s="37" t="n">
        <v>26</v>
      </c>
      <c r="F161" s="37" t="n">
        <v>25</v>
      </c>
      <c r="G161" s="37" t="n">
        <v>1</v>
      </c>
      <c r="H161" s="45" t="n">
        <v>0.961538461538462</v>
      </c>
      <c r="I161" s="37" t="n">
        <v>4210.8154</v>
      </c>
      <c r="J161" s="45" t="n">
        <v>0.0557198101247098</v>
      </c>
    </row>
    <row r="162" customFormat="false" ht="15" hidden="false" customHeight="false" outlineLevel="0" collapsed="false">
      <c r="A162" s="23" t="s">
        <v>200</v>
      </c>
      <c r="B162" s="34" t="n">
        <v>7200</v>
      </c>
      <c r="C162" s="23" t="s">
        <v>366</v>
      </c>
      <c r="D162" s="23" t="s">
        <v>228</v>
      </c>
      <c r="E162" s="37" t="n">
        <v>25</v>
      </c>
      <c r="F162" s="37" t="n">
        <v>11</v>
      </c>
      <c r="G162" s="37" t="n">
        <v>14</v>
      </c>
      <c r="H162" s="45" t="n">
        <v>0.56</v>
      </c>
      <c r="I162" s="37" t="n">
        <v>234.6751</v>
      </c>
      <c r="J162" s="45"/>
    </row>
    <row r="163" customFormat="false" ht="15" hidden="false" customHeight="false" outlineLevel="0" collapsed="false">
      <c r="A163" s="23" t="s">
        <v>200</v>
      </c>
      <c r="B163" s="34" t="n">
        <v>8100</v>
      </c>
      <c r="C163" s="23" t="s">
        <v>367</v>
      </c>
      <c r="D163" s="23" t="s">
        <v>229</v>
      </c>
      <c r="E163" s="37" t="n">
        <v>24</v>
      </c>
      <c r="F163" s="37" t="n">
        <v>24</v>
      </c>
      <c r="G163" s="37" t="n">
        <v>0</v>
      </c>
      <c r="H163" s="45" t="n">
        <v>1</v>
      </c>
      <c r="I163" s="37" t="n">
        <v>22120.002</v>
      </c>
      <c r="J163" s="45" t="n">
        <v>0.0588905662392606</v>
      </c>
    </row>
    <row r="164" customFormat="false" ht="15" hidden="false" customHeight="false" outlineLevel="0" collapsed="false">
      <c r="A164" s="23" t="s">
        <v>202</v>
      </c>
      <c r="B164" s="34" t="n">
        <v>4100</v>
      </c>
      <c r="C164" s="23" t="s">
        <v>196</v>
      </c>
      <c r="D164" s="23" t="s">
        <v>224</v>
      </c>
      <c r="E164" s="37" t="n">
        <v>36</v>
      </c>
      <c r="F164" s="37" t="n">
        <v>0</v>
      </c>
      <c r="G164" s="37" t="n">
        <v>36</v>
      </c>
      <c r="H164" s="45" t="n">
        <v>1</v>
      </c>
      <c r="I164" s="37" t="n">
        <v>-586204.9082</v>
      </c>
      <c r="J164" s="45" t="n">
        <v>-0.0345545630527608</v>
      </c>
    </row>
    <row r="165" customFormat="false" ht="15" hidden="false" customHeight="false" outlineLevel="0" collapsed="false">
      <c r="A165" s="23" t="s">
        <v>202</v>
      </c>
      <c r="B165" s="34" t="n">
        <v>4110</v>
      </c>
      <c r="C165" s="23" t="s">
        <v>204</v>
      </c>
      <c r="D165" s="23" t="s">
        <v>224</v>
      </c>
      <c r="E165" s="37" t="n">
        <v>36</v>
      </c>
      <c r="F165" s="37" t="n">
        <v>0</v>
      </c>
      <c r="G165" s="37" t="n">
        <v>36</v>
      </c>
      <c r="H165" s="45" t="n">
        <v>1</v>
      </c>
      <c r="I165" s="37" t="n">
        <v>-83043.6197</v>
      </c>
      <c r="J165" s="45" t="n">
        <v>-0.0333865562091762</v>
      </c>
    </row>
    <row r="166" customFormat="false" ht="15" hidden="false" customHeight="false" outlineLevel="0" collapsed="false">
      <c r="A166" s="23" t="s">
        <v>202</v>
      </c>
      <c r="B166" s="34" t="n">
        <v>4120</v>
      </c>
      <c r="C166" s="23" t="s">
        <v>349</v>
      </c>
      <c r="D166" s="23" t="s">
        <v>224</v>
      </c>
      <c r="E166" s="37" t="n">
        <v>31</v>
      </c>
      <c r="F166" s="37" t="n">
        <v>0</v>
      </c>
      <c r="G166" s="37" t="n">
        <v>31</v>
      </c>
      <c r="H166" s="45" t="n">
        <v>1</v>
      </c>
      <c r="I166" s="37" t="n">
        <v>-19773.3647</v>
      </c>
      <c r="J166" s="45" t="n">
        <v>-0.0382372471216451</v>
      </c>
    </row>
    <row r="167" customFormat="false" ht="15" hidden="false" customHeight="false" outlineLevel="0" collapsed="false">
      <c r="A167" s="23" t="s">
        <v>202</v>
      </c>
      <c r="B167" s="34" t="n">
        <v>4190</v>
      </c>
      <c r="C167" s="23" t="s">
        <v>350</v>
      </c>
      <c r="D167" s="23" t="s">
        <v>224</v>
      </c>
      <c r="E167" s="37" t="n">
        <v>36</v>
      </c>
      <c r="F167" s="37" t="n">
        <v>15</v>
      </c>
      <c r="G167" s="37" t="n">
        <v>21</v>
      </c>
      <c r="H167" s="45" t="n">
        <v>0.583333333333333</v>
      </c>
      <c r="I167" s="37" t="n">
        <v>-3872.0249</v>
      </c>
      <c r="J167" s="45" t="n">
        <v>-0.0157465857382061</v>
      </c>
    </row>
    <row r="168" customFormat="false" ht="15" hidden="false" customHeight="false" outlineLevel="0" collapsed="false">
      <c r="A168" s="23" t="s">
        <v>202</v>
      </c>
      <c r="B168" s="34" t="n">
        <v>5100</v>
      </c>
      <c r="C168" s="23" t="s">
        <v>198</v>
      </c>
      <c r="D168" s="23" t="s">
        <v>172</v>
      </c>
      <c r="E168" s="37" t="n">
        <v>36</v>
      </c>
      <c r="F168" s="37" t="n">
        <v>36</v>
      </c>
      <c r="G168" s="37" t="n">
        <v>0</v>
      </c>
      <c r="H168" s="45" t="n">
        <v>1</v>
      </c>
      <c r="I168" s="37" t="n">
        <v>392733.3148</v>
      </c>
      <c r="J168" s="45" t="n">
        <v>0.0655279818402645</v>
      </c>
    </row>
    <row r="169" customFormat="false" ht="15" hidden="false" customHeight="false" outlineLevel="0" collapsed="false">
      <c r="A169" s="23" t="s">
        <v>202</v>
      </c>
      <c r="B169" s="34" t="n">
        <v>5110</v>
      </c>
      <c r="C169" s="23" t="s">
        <v>351</v>
      </c>
      <c r="D169" s="23" t="s">
        <v>172</v>
      </c>
      <c r="E169" s="37" t="n">
        <v>25</v>
      </c>
      <c r="F169" s="37" t="n">
        <v>24</v>
      </c>
      <c r="G169" s="37" t="n">
        <v>1</v>
      </c>
      <c r="H169" s="45" t="n">
        <v>0.96</v>
      </c>
      <c r="I169" s="37" t="n">
        <v>32429.5286</v>
      </c>
      <c r="J169" s="45" t="n">
        <v>0.0682760752067871</v>
      </c>
    </row>
    <row r="170" customFormat="false" ht="15" hidden="false" customHeight="false" outlineLevel="0" collapsed="false">
      <c r="A170" s="23" t="s">
        <v>202</v>
      </c>
      <c r="B170" s="34" t="n">
        <v>5120</v>
      </c>
      <c r="C170" s="23" t="s">
        <v>352</v>
      </c>
      <c r="D170" s="23" t="s">
        <v>172</v>
      </c>
      <c r="E170" s="37" t="n">
        <v>25</v>
      </c>
      <c r="F170" s="37" t="n">
        <v>18</v>
      </c>
      <c r="G170" s="37" t="n">
        <v>7</v>
      </c>
      <c r="H170" s="45" t="n">
        <v>0.72</v>
      </c>
      <c r="I170" s="37" t="n">
        <v>2818.2696</v>
      </c>
      <c r="J170" s="45"/>
    </row>
    <row r="171" customFormat="false" ht="15" hidden="false" customHeight="false" outlineLevel="0" collapsed="false">
      <c r="A171" s="23" t="s">
        <v>202</v>
      </c>
      <c r="B171" s="34" t="n">
        <v>5200</v>
      </c>
      <c r="C171" s="23" t="s">
        <v>205</v>
      </c>
      <c r="D171" s="23" t="s">
        <v>172</v>
      </c>
      <c r="E171" s="37" t="n">
        <v>30</v>
      </c>
      <c r="F171" s="37" t="n">
        <v>30</v>
      </c>
      <c r="G171" s="37" t="n">
        <v>0</v>
      </c>
      <c r="H171" s="45" t="n">
        <v>1</v>
      </c>
      <c r="I171" s="37" t="n">
        <v>72424.1866</v>
      </c>
      <c r="J171" s="45" t="n">
        <v>0.0583992654535707</v>
      </c>
    </row>
    <row r="172" customFormat="false" ht="15" hidden="false" customHeight="false" outlineLevel="0" collapsed="false">
      <c r="A172" s="23" t="s">
        <v>202</v>
      </c>
      <c r="B172" s="34" t="n">
        <v>5300</v>
      </c>
      <c r="C172" s="23" t="s">
        <v>353</v>
      </c>
      <c r="D172" s="23" t="s">
        <v>172</v>
      </c>
      <c r="E172" s="37" t="n">
        <v>31</v>
      </c>
      <c r="F172" s="37" t="n">
        <v>25</v>
      </c>
      <c r="G172" s="37" t="n">
        <v>6</v>
      </c>
      <c r="H172" s="45" t="n">
        <v>0.806451612903226</v>
      </c>
      <c r="I172" s="37" t="n">
        <v>51033.4048</v>
      </c>
      <c r="J172" s="45" t="n">
        <v>0.058069397274888</v>
      </c>
    </row>
    <row r="173" customFormat="false" ht="15" hidden="false" customHeight="false" outlineLevel="0" collapsed="false">
      <c r="A173" s="23" t="s">
        <v>202</v>
      </c>
      <c r="B173" s="34" t="n">
        <v>6100</v>
      </c>
      <c r="C173" s="23" t="s">
        <v>203</v>
      </c>
      <c r="D173" s="23" t="s">
        <v>225</v>
      </c>
      <c r="E173" s="37" t="n">
        <v>35</v>
      </c>
      <c r="F173" s="37" t="n">
        <v>34</v>
      </c>
      <c r="G173" s="37" t="n">
        <v>1</v>
      </c>
      <c r="H173" s="45" t="n">
        <v>0.971428571428571</v>
      </c>
      <c r="I173" s="37" t="n">
        <v>167673.5215</v>
      </c>
      <c r="J173" s="45" t="n">
        <v>0.0592082889386766</v>
      </c>
    </row>
    <row r="174" customFormat="false" ht="15" hidden="false" customHeight="false" outlineLevel="0" collapsed="false">
      <c r="A174" s="23" t="s">
        <v>202</v>
      </c>
      <c r="B174" s="34" t="n">
        <v>6110</v>
      </c>
      <c r="C174" s="23" t="s">
        <v>354</v>
      </c>
      <c r="D174" s="23" t="s">
        <v>225</v>
      </c>
      <c r="E174" s="37" t="n">
        <v>36</v>
      </c>
      <c r="F174" s="37" t="n">
        <v>36</v>
      </c>
      <c r="G174" s="37" t="n">
        <v>0</v>
      </c>
      <c r="H174" s="45" t="n">
        <v>1</v>
      </c>
      <c r="I174" s="37" t="n">
        <v>33498.152</v>
      </c>
      <c r="J174" s="45" t="n">
        <v>0.0641253777862882</v>
      </c>
    </row>
    <row r="175" customFormat="false" ht="15" hidden="false" customHeight="false" outlineLevel="0" collapsed="false">
      <c r="A175" s="23" t="s">
        <v>202</v>
      </c>
      <c r="B175" s="34" t="n">
        <v>6120</v>
      </c>
      <c r="C175" s="23" t="s">
        <v>355</v>
      </c>
      <c r="D175" s="23" t="s">
        <v>225</v>
      </c>
      <c r="E175" s="37" t="n">
        <v>36</v>
      </c>
      <c r="F175" s="37" t="n">
        <v>35</v>
      </c>
      <c r="G175" s="37" t="n">
        <v>1</v>
      </c>
      <c r="H175" s="45" t="n">
        <v>0.972222222222222</v>
      </c>
      <c r="I175" s="37" t="n">
        <v>42217.4235</v>
      </c>
      <c r="J175" s="45" t="n">
        <v>0.0643316206153265</v>
      </c>
    </row>
    <row r="176" customFormat="false" ht="15" hidden="false" customHeight="false" outlineLevel="0" collapsed="false">
      <c r="A176" s="23" t="s">
        <v>202</v>
      </c>
      <c r="B176" s="34" t="n">
        <v>6200</v>
      </c>
      <c r="C176" s="23" t="s">
        <v>356</v>
      </c>
      <c r="D176" s="23" t="s">
        <v>226</v>
      </c>
      <c r="E176" s="37" t="n">
        <v>36</v>
      </c>
      <c r="F176" s="37" t="n">
        <v>35</v>
      </c>
      <c r="G176" s="37" t="n">
        <v>1</v>
      </c>
      <c r="H176" s="45" t="n">
        <v>0.972222222222222</v>
      </c>
      <c r="I176" s="37" t="n">
        <v>14659.7827</v>
      </c>
      <c r="J176" s="45" t="n">
        <v>0.066643130352277</v>
      </c>
    </row>
    <row r="177" customFormat="false" ht="15" hidden="false" customHeight="false" outlineLevel="0" collapsed="false">
      <c r="A177" s="23" t="s">
        <v>202</v>
      </c>
      <c r="B177" s="34" t="n">
        <v>6210</v>
      </c>
      <c r="C177" s="23" t="s">
        <v>357</v>
      </c>
      <c r="D177" s="23" t="s">
        <v>226</v>
      </c>
      <c r="E177" s="37" t="n">
        <v>35</v>
      </c>
      <c r="F177" s="37" t="n">
        <v>32</v>
      </c>
      <c r="G177" s="37" t="n">
        <v>3</v>
      </c>
      <c r="H177" s="45" t="n">
        <v>0.914285714285714</v>
      </c>
      <c r="I177" s="37" t="n">
        <v>44370.7291</v>
      </c>
      <c r="J177" s="45" t="n">
        <v>0.0645137097434054</v>
      </c>
    </row>
    <row r="178" customFormat="false" ht="15" hidden="false" customHeight="false" outlineLevel="0" collapsed="false">
      <c r="A178" s="23" t="s">
        <v>202</v>
      </c>
      <c r="B178" s="34" t="n">
        <v>6220</v>
      </c>
      <c r="C178" s="23" t="s">
        <v>358</v>
      </c>
      <c r="D178" s="23" t="s">
        <v>226</v>
      </c>
      <c r="E178" s="37" t="n">
        <v>35</v>
      </c>
      <c r="F178" s="37" t="n">
        <v>34</v>
      </c>
      <c r="G178" s="37" t="n">
        <v>1</v>
      </c>
      <c r="H178" s="45" t="n">
        <v>0.971428571428571</v>
      </c>
      <c r="I178" s="37" t="n">
        <v>62528.309</v>
      </c>
      <c r="J178" s="45" t="n">
        <v>0.0681171447754271</v>
      </c>
    </row>
    <row r="179" customFormat="false" ht="15" hidden="false" customHeight="false" outlineLevel="0" collapsed="false">
      <c r="A179" s="23" t="s">
        <v>202</v>
      </c>
      <c r="B179" s="34" t="n">
        <v>6230</v>
      </c>
      <c r="C179" s="23" t="s">
        <v>359</v>
      </c>
      <c r="D179" s="23" t="s">
        <v>226</v>
      </c>
      <c r="E179" s="37" t="n">
        <v>36</v>
      </c>
      <c r="F179" s="37" t="n">
        <v>34</v>
      </c>
      <c r="G179" s="37" t="n">
        <v>2</v>
      </c>
      <c r="H179" s="45" t="n">
        <v>0.944444444444444</v>
      </c>
      <c r="I179" s="37" t="n">
        <v>40890.5518</v>
      </c>
      <c r="J179" s="45" t="n">
        <v>0.0652257234179521</v>
      </c>
    </row>
    <row r="180" customFormat="false" ht="15" hidden="false" customHeight="false" outlineLevel="0" collapsed="false">
      <c r="A180" s="23" t="s">
        <v>202</v>
      </c>
      <c r="B180" s="34" t="n">
        <v>6240</v>
      </c>
      <c r="C180" s="23" t="s">
        <v>360</v>
      </c>
      <c r="D180" s="23" t="s">
        <v>226</v>
      </c>
      <c r="E180" s="37" t="n">
        <v>36</v>
      </c>
      <c r="F180" s="37" t="n">
        <v>36</v>
      </c>
      <c r="G180" s="37" t="n">
        <v>0</v>
      </c>
      <c r="H180" s="45" t="n">
        <v>1</v>
      </c>
      <c r="I180" s="37" t="n">
        <v>22888.1728</v>
      </c>
      <c r="J180" s="45" t="n">
        <v>0.061801690803352</v>
      </c>
    </row>
    <row r="181" customFormat="false" ht="15" hidden="false" customHeight="false" outlineLevel="0" collapsed="false">
      <c r="A181" s="23" t="s">
        <v>202</v>
      </c>
      <c r="B181" s="34" t="n">
        <v>6250</v>
      </c>
      <c r="C181" s="23" t="s">
        <v>361</v>
      </c>
      <c r="D181" s="23" t="s">
        <v>226</v>
      </c>
      <c r="E181" s="37" t="n">
        <v>36</v>
      </c>
      <c r="F181" s="37" t="n">
        <v>36</v>
      </c>
      <c r="G181" s="37" t="n">
        <v>0</v>
      </c>
      <c r="H181" s="45" t="n">
        <v>1</v>
      </c>
      <c r="I181" s="37" t="n">
        <v>27198.7606</v>
      </c>
      <c r="J181" s="45" t="n">
        <v>0.0668980451153171</v>
      </c>
    </row>
    <row r="182" customFormat="false" ht="15" hidden="false" customHeight="false" outlineLevel="0" collapsed="false">
      <c r="A182" s="23" t="s">
        <v>202</v>
      </c>
      <c r="B182" s="34" t="n">
        <v>6260</v>
      </c>
      <c r="C182" s="23" t="s">
        <v>362</v>
      </c>
      <c r="D182" s="23" t="s">
        <v>226</v>
      </c>
      <c r="E182" s="37" t="n">
        <v>36</v>
      </c>
      <c r="F182" s="37" t="n">
        <v>35</v>
      </c>
      <c r="G182" s="37" t="n">
        <v>1</v>
      </c>
      <c r="H182" s="45" t="n">
        <v>0.972222222222222</v>
      </c>
      <c r="I182" s="37" t="n">
        <v>23452.6966</v>
      </c>
      <c r="J182" s="45" t="n">
        <v>0.0617290711000391</v>
      </c>
    </row>
    <row r="183" customFormat="false" ht="15" hidden="false" customHeight="false" outlineLevel="0" collapsed="false">
      <c r="A183" s="23" t="s">
        <v>202</v>
      </c>
      <c r="B183" s="34" t="n">
        <v>6270</v>
      </c>
      <c r="C183" s="23" t="s">
        <v>363</v>
      </c>
      <c r="D183" s="23" t="s">
        <v>226</v>
      </c>
      <c r="E183" s="37" t="n">
        <v>36</v>
      </c>
      <c r="F183" s="37" t="n">
        <v>34</v>
      </c>
      <c r="G183" s="37" t="n">
        <v>2</v>
      </c>
      <c r="H183" s="45" t="n">
        <v>0.944444444444444</v>
      </c>
      <c r="I183" s="37" t="n">
        <v>12177.7912</v>
      </c>
      <c r="J183" s="45" t="n">
        <v>0.0627644901432651</v>
      </c>
    </row>
    <row r="184" customFormat="false" ht="15" hidden="false" customHeight="false" outlineLevel="0" collapsed="false">
      <c r="A184" s="23" t="s">
        <v>202</v>
      </c>
      <c r="B184" s="34" t="n">
        <v>6300</v>
      </c>
      <c r="C184" s="23" t="s">
        <v>364</v>
      </c>
      <c r="D184" s="23" t="s">
        <v>227</v>
      </c>
      <c r="E184" s="37" t="n">
        <v>31</v>
      </c>
      <c r="F184" s="37" t="n">
        <v>25</v>
      </c>
      <c r="G184" s="37" t="n">
        <v>6</v>
      </c>
      <c r="H184" s="45" t="n">
        <v>0.806451612903226</v>
      </c>
      <c r="I184" s="37" t="n">
        <v>8626.0946</v>
      </c>
      <c r="J184" s="45" t="n">
        <v>0.070545137739805</v>
      </c>
    </row>
    <row r="185" customFormat="false" ht="15" hidden="false" customHeight="false" outlineLevel="0" collapsed="false">
      <c r="A185" s="23" t="s">
        <v>202</v>
      </c>
      <c r="B185" s="34" t="n">
        <v>7100</v>
      </c>
      <c r="C185" s="23" t="s">
        <v>365</v>
      </c>
      <c r="D185" s="23" t="s">
        <v>228</v>
      </c>
      <c r="E185" s="37" t="n">
        <v>31</v>
      </c>
      <c r="F185" s="37" t="n">
        <v>31</v>
      </c>
      <c r="G185" s="37" t="n">
        <v>0</v>
      </c>
      <c r="H185" s="45" t="n">
        <v>1</v>
      </c>
      <c r="I185" s="37" t="n">
        <v>4114.7988</v>
      </c>
      <c r="J185" s="45" t="n">
        <v>0.0686300701142066</v>
      </c>
    </row>
    <row r="186" customFormat="false" ht="15" hidden="false" customHeight="false" outlineLevel="0" collapsed="false">
      <c r="A186" s="23" t="s">
        <v>202</v>
      </c>
      <c r="B186" s="34" t="n">
        <v>7200</v>
      </c>
      <c r="C186" s="23" t="s">
        <v>366</v>
      </c>
      <c r="D186" s="23" t="s">
        <v>228</v>
      </c>
      <c r="E186" s="37" t="n">
        <v>24</v>
      </c>
      <c r="F186" s="37" t="n">
        <v>18</v>
      </c>
      <c r="G186" s="37" t="n">
        <v>6</v>
      </c>
      <c r="H186" s="45" t="n">
        <v>0.75</v>
      </c>
      <c r="I186" s="37" t="n">
        <v>275.3542</v>
      </c>
      <c r="J186" s="45"/>
    </row>
    <row r="187" customFormat="false" ht="15" hidden="false" customHeight="false" outlineLevel="0" collapsed="false">
      <c r="A187" s="23" t="s">
        <v>202</v>
      </c>
      <c r="B187" s="34" t="n">
        <v>8100</v>
      </c>
      <c r="C187" s="23" t="s">
        <v>367</v>
      </c>
      <c r="D187" s="23" t="s">
        <v>229</v>
      </c>
      <c r="E187" s="37" t="n">
        <v>31</v>
      </c>
      <c r="F187" s="37" t="n">
        <v>29</v>
      </c>
      <c r="G187" s="37" t="n">
        <v>2</v>
      </c>
      <c r="H187" s="45" t="n">
        <v>0.935483870967742</v>
      </c>
      <c r="I187" s="37" t="n">
        <v>16516.4099</v>
      </c>
      <c r="J187" s="45" t="n">
        <v>0.0695722682041969</v>
      </c>
    </row>
    <row r="188" customFormat="false" ht="15" hidden="false" customHeight="false" outlineLevel="0" collapsed="false">
      <c r="A188" s="23" t="s">
        <v>197</v>
      </c>
      <c r="B188" s="34" t="n">
        <v>4100</v>
      </c>
      <c r="C188" s="23" t="s">
        <v>196</v>
      </c>
      <c r="D188" s="23" t="s">
        <v>224</v>
      </c>
      <c r="E188" s="37" t="n">
        <v>36</v>
      </c>
      <c r="F188" s="37" t="n">
        <v>0</v>
      </c>
      <c r="G188" s="37" t="n">
        <v>36</v>
      </c>
      <c r="H188" s="45" t="n">
        <v>1</v>
      </c>
      <c r="I188" s="37" t="n">
        <v>-1368891.5191</v>
      </c>
      <c r="J188" s="45" t="n">
        <v>-0.0338573001432045</v>
      </c>
    </row>
    <row r="189" customFormat="false" ht="15" hidden="false" customHeight="false" outlineLevel="0" collapsed="false">
      <c r="A189" s="23" t="s">
        <v>197</v>
      </c>
      <c r="B189" s="34" t="n">
        <v>4110</v>
      </c>
      <c r="C189" s="23" t="s">
        <v>204</v>
      </c>
      <c r="D189" s="23" t="s">
        <v>224</v>
      </c>
      <c r="E189" s="37" t="n">
        <v>36</v>
      </c>
      <c r="F189" s="37" t="n">
        <v>0</v>
      </c>
      <c r="G189" s="37" t="n">
        <v>36</v>
      </c>
      <c r="H189" s="45" t="n">
        <v>1</v>
      </c>
      <c r="I189" s="37" t="n">
        <v>-205545.6872</v>
      </c>
      <c r="J189" s="45" t="n">
        <v>-0.0347622109915301</v>
      </c>
    </row>
    <row r="190" customFormat="false" ht="15" hidden="false" customHeight="false" outlineLevel="0" collapsed="false">
      <c r="A190" s="23" t="s">
        <v>197</v>
      </c>
      <c r="B190" s="34" t="n">
        <v>4120</v>
      </c>
      <c r="C190" s="23" t="s">
        <v>349</v>
      </c>
      <c r="D190" s="23" t="s">
        <v>224</v>
      </c>
      <c r="E190" s="37" t="n">
        <v>31</v>
      </c>
      <c r="F190" s="37" t="n">
        <v>0</v>
      </c>
      <c r="G190" s="37" t="n">
        <v>31</v>
      </c>
      <c r="H190" s="45" t="n">
        <v>1</v>
      </c>
      <c r="I190" s="37" t="n">
        <v>-42497.1594</v>
      </c>
      <c r="J190" s="45" t="n">
        <v>-0.0338313739369055</v>
      </c>
    </row>
    <row r="191" customFormat="false" ht="15" hidden="false" customHeight="false" outlineLevel="0" collapsed="false">
      <c r="A191" s="23" t="s">
        <v>197</v>
      </c>
      <c r="B191" s="34" t="n">
        <v>4190</v>
      </c>
      <c r="C191" s="23" t="s">
        <v>350</v>
      </c>
      <c r="D191" s="23" t="s">
        <v>224</v>
      </c>
      <c r="E191" s="37" t="n">
        <v>36</v>
      </c>
      <c r="F191" s="37" t="n">
        <v>8</v>
      </c>
      <c r="G191" s="37" t="n">
        <v>28</v>
      </c>
      <c r="H191" s="45" t="n">
        <v>0.777777777777778</v>
      </c>
      <c r="I191" s="37" t="n">
        <v>-22088.7771</v>
      </c>
      <c r="J191" s="45" t="n">
        <v>-0.0365159310746539</v>
      </c>
    </row>
    <row r="192" customFormat="false" ht="15" hidden="false" customHeight="false" outlineLevel="0" collapsed="false">
      <c r="A192" s="23" t="s">
        <v>197</v>
      </c>
      <c r="B192" s="34" t="n">
        <v>5100</v>
      </c>
      <c r="C192" s="23" t="s">
        <v>198</v>
      </c>
      <c r="D192" s="23" t="s">
        <v>172</v>
      </c>
      <c r="E192" s="37" t="n">
        <v>36</v>
      </c>
      <c r="F192" s="37" t="n">
        <v>36</v>
      </c>
      <c r="G192" s="37" t="n">
        <v>0</v>
      </c>
      <c r="H192" s="45" t="n">
        <v>1</v>
      </c>
      <c r="I192" s="37" t="n">
        <v>864403.3323</v>
      </c>
      <c r="J192" s="45" t="n">
        <v>0.063151741797335</v>
      </c>
    </row>
    <row r="193" customFormat="false" ht="15" hidden="false" customHeight="false" outlineLevel="0" collapsed="false">
      <c r="A193" s="23" t="s">
        <v>197</v>
      </c>
      <c r="B193" s="34" t="n">
        <v>5110</v>
      </c>
      <c r="C193" s="23" t="s">
        <v>351</v>
      </c>
      <c r="D193" s="23" t="s">
        <v>172</v>
      </c>
      <c r="E193" s="37" t="n">
        <v>30</v>
      </c>
      <c r="F193" s="37" t="n">
        <v>29</v>
      </c>
      <c r="G193" s="37" t="n">
        <v>1</v>
      </c>
      <c r="H193" s="45" t="n">
        <v>0.966666666666667</v>
      </c>
      <c r="I193" s="37" t="n">
        <v>104527.093</v>
      </c>
      <c r="J193" s="45" t="n">
        <v>0.0605942780359909</v>
      </c>
    </row>
    <row r="194" customFormat="false" ht="15" hidden="false" customHeight="false" outlineLevel="0" collapsed="false">
      <c r="A194" s="23" t="s">
        <v>197</v>
      </c>
      <c r="B194" s="34" t="n">
        <v>5120</v>
      </c>
      <c r="C194" s="23" t="s">
        <v>352</v>
      </c>
      <c r="D194" s="23" t="s">
        <v>172</v>
      </c>
      <c r="E194" s="37" t="n">
        <v>29</v>
      </c>
      <c r="F194" s="37" t="n">
        <v>22</v>
      </c>
      <c r="G194" s="37" t="n">
        <v>7</v>
      </c>
      <c r="H194" s="45" t="n">
        <v>0.758620689655172</v>
      </c>
      <c r="I194" s="37" t="n">
        <v>16203.3505</v>
      </c>
      <c r="J194" s="45" t="n">
        <v>0.0577913648267212</v>
      </c>
    </row>
    <row r="195" customFormat="false" ht="15" hidden="false" customHeight="false" outlineLevel="0" collapsed="false">
      <c r="A195" s="23" t="s">
        <v>197</v>
      </c>
      <c r="B195" s="34" t="n">
        <v>5200</v>
      </c>
      <c r="C195" s="23" t="s">
        <v>205</v>
      </c>
      <c r="D195" s="23" t="s">
        <v>172</v>
      </c>
      <c r="E195" s="37" t="n">
        <v>29</v>
      </c>
      <c r="F195" s="37" t="n">
        <v>25</v>
      </c>
      <c r="G195" s="37" t="n">
        <v>4</v>
      </c>
      <c r="H195" s="45" t="n">
        <v>0.862068965517241</v>
      </c>
      <c r="I195" s="37" t="n">
        <v>116897.819</v>
      </c>
      <c r="J195" s="45" t="n">
        <v>0.0627198509950274</v>
      </c>
    </row>
    <row r="196" customFormat="false" ht="15" hidden="false" customHeight="false" outlineLevel="0" collapsed="false">
      <c r="A196" s="23" t="s">
        <v>197</v>
      </c>
      <c r="B196" s="34" t="n">
        <v>5300</v>
      </c>
      <c r="C196" s="23" t="s">
        <v>353</v>
      </c>
      <c r="D196" s="23" t="s">
        <v>172</v>
      </c>
      <c r="E196" s="37" t="n">
        <v>29</v>
      </c>
      <c r="F196" s="37" t="n">
        <v>28</v>
      </c>
      <c r="G196" s="37" t="n">
        <v>1</v>
      </c>
      <c r="H196" s="45" t="n">
        <v>0.96551724137931</v>
      </c>
      <c r="I196" s="37" t="n">
        <v>93744.2073</v>
      </c>
      <c r="J196" s="45" t="n">
        <v>0.0604132368356961</v>
      </c>
    </row>
    <row r="197" customFormat="false" ht="15" hidden="false" customHeight="false" outlineLevel="0" collapsed="false">
      <c r="A197" s="23" t="s">
        <v>197</v>
      </c>
      <c r="B197" s="34" t="n">
        <v>6100</v>
      </c>
      <c r="C197" s="23" t="s">
        <v>203</v>
      </c>
      <c r="D197" s="23" t="s">
        <v>225</v>
      </c>
      <c r="E197" s="37" t="n">
        <v>35</v>
      </c>
      <c r="F197" s="37" t="n">
        <v>33</v>
      </c>
      <c r="G197" s="37" t="n">
        <v>2</v>
      </c>
      <c r="H197" s="45" t="n">
        <v>0.942857142857143</v>
      </c>
      <c r="I197" s="37" t="n">
        <v>374240.4253</v>
      </c>
      <c r="J197" s="45" t="n">
        <v>0.066265328902438</v>
      </c>
    </row>
    <row r="198" customFormat="false" ht="15" hidden="false" customHeight="false" outlineLevel="0" collapsed="false">
      <c r="A198" s="23" t="s">
        <v>197</v>
      </c>
      <c r="B198" s="34" t="n">
        <v>6110</v>
      </c>
      <c r="C198" s="23" t="s">
        <v>354</v>
      </c>
      <c r="D198" s="23" t="s">
        <v>225</v>
      </c>
      <c r="E198" s="37" t="n">
        <v>35</v>
      </c>
      <c r="F198" s="37" t="n">
        <v>33</v>
      </c>
      <c r="G198" s="37" t="n">
        <v>2</v>
      </c>
      <c r="H198" s="45" t="n">
        <v>0.942857142857143</v>
      </c>
      <c r="I198" s="37" t="n">
        <v>58977.3014</v>
      </c>
      <c r="J198" s="45" t="n">
        <v>0.0641895901865754</v>
      </c>
    </row>
    <row r="199" customFormat="false" ht="15" hidden="false" customHeight="false" outlineLevel="0" collapsed="false">
      <c r="A199" s="23" t="s">
        <v>197</v>
      </c>
      <c r="B199" s="34" t="n">
        <v>6120</v>
      </c>
      <c r="C199" s="23" t="s">
        <v>355</v>
      </c>
      <c r="D199" s="23" t="s">
        <v>225</v>
      </c>
      <c r="E199" s="37" t="n">
        <v>36</v>
      </c>
      <c r="F199" s="37" t="n">
        <v>33</v>
      </c>
      <c r="G199" s="37" t="n">
        <v>3</v>
      </c>
      <c r="H199" s="45" t="n">
        <v>0.916666666666667</v>
      </c>
      <c r="I199" s="37" t="n">
        <v>95350.7863</v>
      </c>
      <c r="J199" s="45" t="n">
        <v>0.0646247871494457</v>
      </c>
    </row>
    <row r="200" customFormat="false" ht="15" hidden="false" customHeight="false" outlineLevel="0" collapsed="false">
      <c r="A200" s="23" t="s">
        <v>197</v>
      </c>
      <c r="B200" s="34" t="n">
        <v>6200</v>
      </c>
      <c r="C200" s="23" t="s">
        <v>356</v>
      </c>
      <c r="D200" s="23" t="s">
        <v>226</v>
      </c>
      <c r="E200" s="37" t="n">
        <v>36</v>
      </c>
      <c r="F200" s="37" t="n">
        <v>35</v>
      </c>
      <c r="G200" s="37" t="n">
        <v>1</v>
      </c>
      <c r="H200" s="45" t="n">
        <v>0.972222222222222</v>
      </c>
      <c r="I200" s="37" t="n">
        <v>33729.7309</v>
      </c>
      <c r="J200" s="45" t="n">
        <v>0.0628506934679322</v>
      </c>
    </row>
    <row r="201" customFormat="false" ht="15" hidden="false" customHeight="false" outlineLevel="0" collapsed="false">
      <c r="A201" s="23" t="s">
        <v>197</v>
      </c>
      <c r="B201" s="34" t="n">
        <v>6210</v>
      </c>
      <c r="C201" s="23" t="s">
        <v>357</v>
      </c>
      <c r="D201" s="23" t="s">
        <v>226</v>
      </c>
      <c r="E201" s="37" t="n">
        <v>35</v>
      </c>
      <c r="F201" s="37" t="n">
        <v>34</v>
      </c>
      <c r="G201" s="37" t="n">
        <v>1</v>
      </c>
      <c r="H201" s="45" t="n">
        <v>0.971428571428571</v>
      </c>
      <c r="I201" s="37" t="n">
        <v>113524.9706</v>
      </c>
      <c r="J201" s="45" t="n">
        <v>0.0662390162564622</v>
      </c>
    </row>
    <row r="202" customFormat="false" ht="15" hidden="false" customHeight="false" outlineLevel="0" collapsed="false">
      <c r="A202" s="23" t="s">
        <v>197</v>
      </c>
      <c r="B202" s="34" t="n">
        <v>6220</v>
      </c>
      <c r="C202" s="23" t="s">
        <v>358</v>
      </c>
      <c r="D202" s="23" t="s">
        <v>226</v>
      </c>
      <c r="E202" s="37" t="n">
        <v>36</v>
      </c>
      <c r="F202" s="37" t="n">
        <v>35</v>
      </c>
      <c r="G202" s="37" t="n">
        <v>1</v>
      </c>
      <c r="H202" s="45" t="n">
        <v>0.972222222222222</v>
      </c>
      <c r="I202" s="37" t="n">
        <v>142366.5485</v>
      </c>
      <c r="J202" s="45" t="n">
        <v>0.0640409551225972</v>
      </c>
    </row>
    <row r="203" customFormat="false" ht="15" hidden="false" customHeight="false" outlineLevel="0" collapsed="false">
      <c r="A203" s="23" t="s">
        <v>197</v>
      </c>
      <c r="B203" s="34" t="n">
        <v>6230</v>
      </c>
      <c r="C203" s="23" t="s">
        <v>359</v>
      </c>
      <c r="D203" s="23" t="s">
        <v>226</v>
      </c>
      <c r="E203" s="37" t="n">
        <v>35</v>
      </c>
      <c r="F203" s="37" t="n">
        <v>32</v>
      </c>
      <c r="G203" s="37" t="n">
        <v>3</v>
      </c>
      <c r="H203" s="45" t="n">
        <v>0.914285714285714</v>
      </c>
      <c r="I203" s="37" t="n">
        <v>78785.9364</v>
      </c>
      <c r="J203" s="45" t="n">
        <v>0.059905512684427</v>
      </c>
    </row>
    <row r="204" customFormat="false" ht="15" hidden="false" customHeight="false" outlineLevel="0" collapsed="false">
      <c r="A204" s="23" t="s">
        <v>197</v>
      </c>
      <c r="B204" s="34" t="n">
        <v>6240</v>
      </c>
      <c r="C204" s="23" t="s">
        <v>360</v>
      </c>
      <c r="D204" s="23" t="s">
        <v>226</v>
      </c>
      <c r="E204" s="37" t="n">
        <v>36</v>
      </c>
      <c r="F204" s="37" t="n">
        <v>36</v>
      </c>
      <c r="G204" s="37" t="n">
        <v>0</v>
      </c>
      <c r="H204" s="45" t="n">
        <v>1</v>
      </c>
      <c r="I204" s="37" t="n">
        <v>61850.1349</v>
      </c>
      <c r="J204" s="45" t="n">
        <v>0.0674265413151049</v>
      </c>
    </row>
    <row r="205" customFormat="false" ht="15" hidden="false" customHeight="false" outlineLevel="0" collapsed="false">
      <c r="A205" s="23" t="s">
        <v>197</v>
      </c>
      <c r="B205" s="34" t="n">
        <v>6250</v>
      </c>
      <c r="C205" s="23" t="s">
        <v>361</v>
      </c>
      <c r="D205" s="23" t="s">
        <v>226</v>
      </c>
      <c r="E205" s="37" t="n">
        <v>36</v>
      </c>
      <c r="F205" s="37" t="n">
        <v>36</v>
      </c>
      <c r="G205" s="37" t="n">
        <v>0</v>
      </c>
      <c r="H205" s="45" t="n">
        <v>1</v>
      </c>
      <c r="I205" s="37" t="n">
        <v>68515.3957</v>
      </c>
      <c r="J205" s="45" t="n">
        <v>0.0640189503811731</v>
      </c>
    </row>
    <row r="206" customFormat="false" ht="15" hidden="false" customHeight="false" outlineLevel="0" collapsed="false">
      <c r="A206" s="23" t="s">
        <v>197</v>
      </c>
      <c r="B206" s="34" t="n">
        <v>6260</v>
      </c>
      <c r="C206" s="23" t="s">
        <v>362</v>
      </c>
      <c r="D206" s="23" t="s">
        <v>226</v>
      </c>
      <c r="E206" s="37" t="n">
        <v>36</v>
      </c>
      <c r="F206" s="37" t="n">
        <v>34</v>
      </c>
      <c r="G206" s="37" t="n">
        <v>2</v>
      </c>
      <c r="H206" s="45" t="n">
        <v>0.944444444444444</v>
      </c>
      <c r="I206" s="37" t="n">
        <v>46219.9058</v>
      </c>
      <c r="J206" s="45" t="n">
        <v>0.0639685464526859</v>
      </c>
    </row>
    <row r="207" customFormat="false" ht="15" hidden="false" customHeight="false" outlineLevel="0" collapsed="false">
      <c r="A207" s="23" t="s">
        <v>197</v>
      </c>
      <c r="B207" s="34" t="n">
        <v>6270</v>
      </c>
      <c r="C207" s="23" t="s">
        <v>363</v>
      </c>
      <c r="D207" s="23" t="s">
        <v>226</v>
      </c>
      <c r="E207" s="37" t="n">
        <v>36</v>
      </c>
      <c r="F207" s="37" t="n">
        <v>35</v>
      </c>
      <c r="G207" s="37" t="n">
        <v>0</v>
      </c>
      <c r="H207" s="45" t="n">
        <v>0.972222222222222</v>
      </c>
      <c r="I207" s="37" t="n">
        <v>21642.84</v>
      </c>
      <c r="J207" s="45" t="n">
        <v>0.0638968768973225</v>
      </c>
    </row>
    <row r="208" customFormat="false" ht="15" hidden="false" customHeight="false" outlineLevel="0" collapsed="false">
      <c r="A208" s="23" t="s">
        <v>197</v>
      </c>
      <c r="B208" s="34" t="n">
        <v>6300</v>
      </c>
      <c r="C208" s="23" t="s">
        <v>364</v>
      </c>
      <c r="D208" s="23" t="s">
        <v>227</v>
      </c>
      <c r="E208" s="37" t="n">
        <v>30</v>
      </c>
      <c r="F208" s="37" t="n">
        <v>29</v>
      </c>
      <c r="G208" s="37" t="n">
        <v>1</v>
      </c>
      <c r="H208" s="45" t="n">
        <v>0.966666666666667</v>
      </c>
      <c r="I208" s="37" t="n">
        <v>25683.3696</v>
      </c>
      <c r="J208" s="45" t="n">
        <v>0.0639829223007202</v>
      </c>
    </row>
    <row r="209" customFormat="false" ht="15" hidden="false" customHeight="false" outlineLevel="0" collapsed="false">
      <c r="A209" s="23" t="s">
        <v>197</v>
      </c>
      <c r="B209" s="34" t="n">
        <v>7100</v>
      </c>
      <c r="C209" s="23" t="s">
        <v>365</v>
      </c>
      <c r="D209" s="23" t="s">
        <v>228</v>
      </c>
      <c r="E209" s="37" t="n">
        <v>22</v>
      </c>
      <c r="F209" s="37" t="n">
        <v>21</v>
      </c>
      <c r="G209" s="37" t="n">
        <v>1</v>
      </c>
      <c r="H209" s="45" t="n">
        <v>0.954545454545455</v>
      </c>
      <c r="I209" s="37" t="n">
        <v>6068.8073</v>
      </c>
      <c r="J209" s="45" t="n">
        <v>0.0600361786195607</v>
      </c>
    </row>
    <row r="210" customFormat="false" ht="15" hidden="false" customHeight="false" outlineLevel="0" collapsed="false">
      <c r="A210" s="23" t="s">
        <v>197</v>
      </c>
      <c r="B210" s="34" t="n">
        <v>7200</v>
      </c>
      <c r="C210" s="23" t="s">
        <v>366</v>
      </c>
      <c r="D210" s="23" t="s">
        <v>228</v>
      </c>
      <c r="E210" s="37" t="n">
        <v>27</v>
      </c>
      <c r="F210" s="37" t="n">
        <v>14</v>
      </c>
      <c r="G210" s="37" t="n">
        <v>13</v>
      </c>
      <c r="H210" s="45" t="n">
        <v>0.518518518518519</v>
      </c>
      <c r="I210" s="37" t="n">
        <v>-472.789900000001</v>
      </c>
      <c r="J210" s="45"/>
    </row>
    <row r="211" customFormat="false" ht="15" hidden="false" customHeight="false" outlineLevel="0" collapsed="false">
      <c r="A211" s="23" t="s">
        <v>197</v>
      </c>
      <c r="B211" s="34" t="n">
        <v>8100</v>
      </c>
      <c r="C211" s="23" t="s">
        <v>367</v>
      </c>
      <c r="D211" s="23" t="s">
        <v>229</v>
      </c>
      <c r="E211" s="37" t="n">
        <v>29</v>
      </c>
      <c r="F211" s="37" t="n">
        <v>26</v>
      </c>
      <c r="G211" s="37" t="n">
        <v>3</v>
      </c>
      <c r="H211" s="45" t="n">
        <v>0.896551724137931</v>
      </c>
      <c r="I211" s="37" t="n">
        <v>36933.7026</v>
      </c>
      <c r="J211" s="45" t="n">
        <v>0.0602580220269222</v>
      </c>
    </row>
    <row r="212" customFormat="false" ht="15" hidden="false" customHeight="false" outlineLevel="0" collapsed="false">
      <c r="A212" s="23" t="s">
        <v>199</v>
      </c>
      <c r="B212" s="34" t="n">
        <v>4100</v>
      </c>
      <c r="C212" s="23" t="s">
        <v>196</v>
      </c>
      <c r="D212" s="23" t="s">
        <v>224</v>
      </c>
      <c r="E212" s="37" t="n">
        <v>36</v>
      </c>
      <c r="F212" s="37" t="n">
        <v>0</v>
      </c>
      <c r="G212" s="37" t="n">
        <v>36</v>
      </c>
      <c r="H212" s="45" t="n">
        <v>1</v>
      </c>
      <c r="I212" s="37" t="n">
        <v>-861430.448</v>
      </c>
      <c r="J212" s="45" t="n">
        <v>-0.0362805093535788</v>
      </c>
    </row>
    <row r="213" customFormat="false" ht="15" hidden="false" customHeight="false" outlineLevel="0" collapsed="false">
      <c r="A213" s="23" t="s">
        <v>199</v>
      </c>
      <c r="B213" s="34" t="n">
        <v>4110</v>
      </c>
      <c r="C213" s="23" t="s">
        <v>204</v>
      </c>
      <c r="D213" s="23" t="s">
        <v>224</v>
      </c>
      <c r="E213" s="37" t="n">
        <v>36</v>
      </c>
      <c r="F213" s="37" t="n">
        <v>0</v>
      </c>
      <c r="G213" s="37" t="n">
        <v>36</v>
      </c>
      <c r="H213" s="45" t="n">
        <v>1</v>
      </c>
      <c r="I213" s="37" t="n">
        <v>-124237.9208</v>
      </c>
      <c r="J213" s="45" t="n">
        <v>-0.0345277806845785</v>
      </c>
    </row>
    <row r="214" customFormat="false" ht="15" hidden="false" customHeight="false" outlineLevel="0" collapsed="false">
      <c r="A214" s="23" t="s">
        <v>199</v>
      </c>
      <c r="B214" s="34" t="n">
        <v>4120</v>
      </c>
      <c r="C214" s="23" t="s">
        <v>349</v>
      </c>
      <c r="D214" s="23" t="s">
        <v>224</v>
      </c>
      <c r="E214" s="37" t="n">
        <v>29</v>
      </c>
      <c r="F214" s="37" t="n">
        <v>0</v>
      </c>
      <c r="G214" s="37" t="n">
        <v>29</v>
      </c>
      <c r="H214" s="45" t="n">
        <v>1</v>
      </c>
      <c r="I214" s="37" t="n">
        <v>-22143.9521</v>
      </c>
      <c r="J214" s="45" t="n">
        <v>-0.0343078365288904</v>
      </c>
    </row>
    <row r="215" customFormat="false" ht="15" hidden="false" customHeight="false" outlineLevel="0" collapsed="false">
      <c r="A215" s="23" t="s">
        <v>199</v>
      </c>
      <c r="B215" s="34" t="n">
        <v>4190</v>
      </c>
      <c r="C215" s="23" t="s">
        <v>350</v>
      </c>
      <c r="D215" s="23" t="s">
        <v>224</v>
      </c>
      <c r="E215" s="37" t="n">
        <v>36</v>
      </c>
      <c r="F215" s="37" t="n">
        <v>10</v>
      </c>
      <c r="G215" s="37" t="n">
        <v>26</v>
      </c>
      <c r="H215" s="45" t="n">
        <v>0.722222222222222</v>
      </c>
      <c r="I215" s="37" t="n">
        <v>-10336.7552</v>
      </c>
      <c r="J215" s="45" t="n">
        <v>-0.0257218863972964</v>
      </c>
    </row>
    <row r="216" customFormat="false" ht="15" hidden="false" customHeight="false" outlineLevel="0" collapsed="false">
      <c r="A216" s="23" t="s">
        <v>199</v>
      </c>
      <c r="B216" s="34" t="n">
        <v>5100</v>
      </c>
      <c r="C216" s="23" t="s">
        <v>198</v>
      </c>
      <c r="D216" s="23" t="s">
        <v>172</v>
      </c>
      <c r="E216" s="37" t="n">
        <v>36</v>
      </c>
      <c r="F216" s="37" t="n">
        <v>36</v>
      </c>
      <c r="G216" s="37" t="n">
        <v>0</v>
      </c>
      <c r="H216" s="45" t="n">
        <v>1</v>
      </c>
      <c r="I216" s="37" t="n">
        <v>559685.418</v>
      </c>
      <c r="J216" s="45" t="n">
        <v>0.0654547041278479</v>
      </c>
    </row>
    <row r="217" customFormat="false" ht="15" hidden="false" customHeight="false" outlineLevel="0" collapsed="false">
      <c r="A217" s="23" t="s">
        <v>199</v>
      </c>
      <c r="B217" s="34" t="n">
        <v>5110</v>
      </c>
      <c r="C217" s="23" t="s">
        <v>351</v>
      </c>
      <c r="D217" s="23" t="s">
        <v>172</v>
      </c>
      <c r="E217" s="37" t="n">
        <v>24</v>
      </c>
      <c r="F217" s="37" t="n">
        <v>23</v>
      </c>
      <c r="G217" s="37" t="n">
        <v>1</v>
      </c>
      <c r="H217" s="45" t="n">
        <v>0.958333333333333</v>
      </c>
      <c r="I217" s="37" t="n">
        <v>35592.9985</v>
      </c>
      <c r="J217" s="45" t="n">
        <v>0.0527142054651343</v>
      </c>
    </row>
    <row r="218" customFormat="false" ht="15" hidden="false" customHeight="false" outlineLevel="0" collapsed="false">
      <c r="A218" s="23" t="s">
        <v>199</v>
      </c>
      <c r="B218" s="34" t="n">
        <v>5120</v>
      </c>
      <c r="C218" s="23" t="s">
        <v>352</v>
      </c>
      <c r="D218" s="23" t="s">
        <v>172</v>
      </c>
      <c r="E218" s="37" t="n">
        <v>27</v>
      </c>
      <c r="F218" s="37" t="n">
        <v>20</v>
      </c>
      <c r="G218" s="37" t="n">
        <v>7</v>
      </c>
      <c r="H218" s="45" t="n">
        <v>0.740740740740741</v>
      </c>
      <c r="I218" s="37" t="n">
        <v>5822.8126</v>
      </c>
      <c r="J218" s="45" t="n">
        <v>0.0528644778400987</v>
      </c>
    </row>
    <row r="219" customFormat="false" ht="15" hidden="false" customHeight="false" outlineLevel="0" collapsed="false">
      <c r="A219" s="23" t="s">
        <v>199</v>
      </c>
      <c r="B219" s="34" t="n">
        <v>5200</v>
      </c>
      <c r="C219" s="23" t="s">
        <v>205</v>
      </c>
      <c r="D219" s="23" t="s">
        <v>172</v>
      </c>
      <c r="E219" s="37" t="n">
        <v>31</v>
      </c>
      <c r="F219" s="37" t="n">
        <v>30</v>
      </c>
      <c r="G219" s="37" t="n">
        <v>1</v>
      </c>
      <c r="H219" s="45" t="n">
        <v>0.967741935483871</v>
      </c>
      <c r="I219" s="37" t="n">
        <v>105580.6939</v>
      </c>
      <c r="J219" s="45" t="n">
        <v>0.062337595081691</v>
      </c>
    </row>
    <row r="220" customFormat="false" ht="15" hidden="false" customHeight="false" outlineLevel="0" collapsed="false">
      <c r="A220" s="23" t="s">
        <v>199</v>
      </c>
      <c r="B220" s="34" t="n">
        <v>5300</v>
      </c>
      <c r="C220" s="23" t="s">
        <v>353</v>
      </c>
      <c r="D220" s="23" t="s">
        <v>172</v>
      </c>
      <c r="E220" s="37" t="n">
        <v>25</v>
      </c>
      <c r="F220" s="37" t="n">
        <v>22</v>
      </c>
      <c r="G220" s="37" t="n">
        <v>3</v>
      </c>
      <c r="H220" s="45" t="n">
        <v>0.88</v>
      </c>
      <c r="I220" s="37" t="n">
        <v>60641.2278</v>
      </c>
      <c r="J220" s="45" t="n">
        <v>0.0669288858182661</v>
      </c>
    </row>
    <row r="221" customFormat="false" ht="15" hidden="false" customHeight="false" outlineLevel="0" collapsed="false">
      <c r="A221" s="23" t="s">
        <v>199</v>
      </c>
      <c r="B221" s="34" t="n">
        <v>6100</v>
      </c>
      <c r="C221" s="23" t="s">
        <v>203</v>
      </c>
      <c r="D221" s="23" t="s">
        <v>225</v>
      </c>
      <c r="E221" s="37" t="n">
        <v>36</v>
      </c>
      <c r="F221" s="37" t="n">
        <v>36</v>
      </c>
      <c r="G221" s="37" t="n">
        <v>0</v>
      </c>
      <c r="H221" s="45" t="n">
        <v>1</v>
      </c>
      <c r="I221" s="37" t="n">
        <v>247494.9395</v>
      </c>
      <c r="J221" s="45" t="n">
        <v>0.0607549831481645</v>
      </c>
    </row>
    <row r="222" customFormat="false" ht="15" hidden="false" customHeight="false" outlineLevel="0" collapsed="false">
      <c r="A222" s="23" t="s">
        <v>199</v>
      </c>
      <c r="B222" s="34" t="n">
        <v>6110</v>
      </c>
      <c r="C222" s="23" t="s">
        <v>354</v>
      </c>
      <c r="D222" s="23" t="s">
        <v>225</v>
      </c>
      <c r="E222" s="37" t="n">
        <v>36</v>
      </c>
      <c r="F222" s="37" t="n">
        <v>35</v>
      </c>
      <c r="G222" s="37" t="n">
        <v>1</v>
      </c>
      <c r="H222" s="45" t="n">
        <v>0.972222222222222</v>
      </c>
      <c r="I222" s="37" t="n">
        <v>40920.4777</v>
      </c>
      <c r="J222" s="45" t="n">
        <v>0.0615330618613252</v>
      </c>
    </row>
    <row r="223" customFormat="false" ht="15" hidden="false" customHeight="false" outlineLevel="0" collapsed="false">
      <c r="A223" s="23" t="s">
        <v>199</v>
      </c>
      <c r="B223" s="34" t="n">
        <v>6120</v>
      </c>
      <c r="C223" s="23" t="s">
        <v>355</v>
      </c>
      <c r="D223" s="23" t="s">
        <v>225</v>
      </c>
      <c r="E223" s="37" t="n">
        <v>36</v>
      </c>
      <c r="F223" s="37" t="n">
        <v>35</v>
      </c>
      <c r="G223" s="37" t="n">
        <v>1</v>
      </c>
      <c r="H223" s="45" t="n">
        <v>0.972222222222222</v>
      </c>
      <c r="I223" s="37" t="n">
        <v>54851.9604</v>
      </c>
      <c r="J223" s="45" t="n">
        <v>0.0639505688952432</v>
      </c>
    </row>
    <row r="224" customFormat="false" ht="15" hidden="false" customHeight="false" outlineLevel="0" collapsed="false">
      <c r="A224" s="23" t="s">
        <v>199</v>
      </c>
      <c r="B224" s="34" t="n">
        <v>6200</v>
      </c>
      <c r="C224" s="23" t="s">
        <v>356</v>
      </c>
      <c r="D224" s="23" t="s">
        <v>226</v>
      </c>
      <c r="E224" s="37" t="n">
        <v>36</v>
      </c>
      <c r="F224" s="37" t="n">
        <v>36</v>
      </c>
      <c r="G224" s="37" t="n">
        <v>0</v>
      </c>
      <c r="H224" s="45" t="n">
        <v>1</v>
      </c>
      <c r="I224" s="37" t="n">
        <v>27408.4316</v>
      </c>
      <c r="J224" s="45" t="n">
        <v>0.0656660685505537</v>
      </c>
    </row>
    <row r="225" customFormat="false" ht="15" hidden="false" customHeight="false" outlineLevel="0" collapsed="false">
      <c r="A225" s="23" t="s">
        <v>199</v>
      </c>
      <c r="B225" s="34" t="n">
        <v>6210</v>
      </c>
      <c r="C225" s="23" t="s">
        <v>357</v>
      </c>
      <c r="D225" s="23" t="s">
        <v>226</v>
      </c>
      <c r="E225" s="37" t="n">
        <v>36</v>
      </c>
      <c r="F225" s="37" t="n">
        <v>35</v>
      </c>
      <c r="G225" s="37" t="n">
        <v>1</v>
      </c>
      <c r="H225" s="45" t="n">
        <v>0.972222222222222</v>
      </c>
      <c r="I225" s="37" t="n">
        <v>77113.6756</v>
      </c>
      <c r="J225" s="45" t="n">
        <v>0.0622809137043159</v>
      </c>
    </row>
    <row r="226" customFormat="false" ht="15" hidden="false" customHeight="false" outlineLevel="0" collapsed="false">
      <c r="A226" s="23" t="s">
        <v>199</v>
      </c>
      <c r="B226" s="34" t="n">
        <v>6220</v>
      </c>
      <c r="C226" s="23" t="s">
        <v>358</v>
      </c>
      <c r="D226" s="23" t="s">
        <v>226</v>
      </c>
      <c r="E226" s="37" t="n">
        <v>36</v>
      </c>
      <c r="F226" s="37" t="n">
        <v>31</v>
      </c>
      <c r="G226" s="37" t="n">
        <v>5</v>
      </c>
      <c r="H226" s="45" t="n">
        <v>0.861111111111111</v>
      </c>
      <c r="I226" s="37" t="n">
        <v>84146.4358</v>
      </c>
      <c r="J226" s="45" t="n">
        <v>0.0670486052017018</v>
      </c>
    </row>
    <row r="227" customFormat="false" ht="15" hidden="false" customHeight="false" outlineLevel="0" collapsed="false">
      <c r="A227" s="23" t="s">
        <v>199</v>
      </c>
      <c r="B227" s="34" t="n">
        <v>6230</v>
      </c>
      <c r="C227" s="23" t="s">
        <v>359</v>
      </c>
      <c r="D227" s="23" t="s">
        <v>226</v>
      </c>
      <c r="E227" s="37" t="n">
        <v>36</v>
      </c>
      <c r="F227" s="37" t="n">
        <v>35</v>
      </c>
      <c r="G227" s="37" t="n">
        <v>1</v>
      </c>
      <c r="H227" s="45" t="n">
        <v>0.972222222222222</v>
      </c>
      <c r="I227" s="37" t="n">
        <v>60574.5119</v>
      </c>
      <c r="J227" s="45" t="n">
        <v>0.0586362750347927</v>
      </c>
    </row>
    <row r="228" customFormat="false" ht="15" hidden="false" customHeight="false" outlineLevel="0" collapsed="false">
      <c r="A228" s="23" t="s">
        <v>199</v>
      </c>
      <c r="B228" s="34" t="n">
        <v>6240</v>
      </c>
      <c r="C228" s="23" t="s">
        <v>360</v>
      </c>
      <c r="D228" s="23" t="s">
        <v>226</v>
      </c>
      <c r="E228" s="37" t="n">
        <v>36</v>
      </c>
      <c r="F228" s="37" t="n">
        <v>34</v>
      </c>
      <c r="G228" s="37" t="n">
        <v>2</v>
      </c>
      <c r="H228" s="45" t="n">
        <v>0.944444444444444</v>
      </c>
      <c r="I228" s="37" t="n">
        <v>26595.5938</v>
      </c>
      <c r="J228" s="45" t="n">
        <v>0.0601924146823342</v>
      </c>
    </row>
    <row r="229" customFormat="false" ht="15" hidden="false" customHeight="false" outlineLevel="0" collapsed="false">
      <c r="A229" s="23" t="s">
        <v>199</v>
      </c>
      <c r="B229" s="34" t="n">
        <v>6250</v>
      </c>
      <c r="C229" s="23" t="s">
        <v>361</v>
      </c>
      <c r="D229" s="23" t="s">
        <v>226</v>
      </c>
      <c r="E229" s="37" t="n">
        <v>36</v>
      </c>
      <c r="F229" s="37" t="n">
        <v>35</v>
      </c>
      <c r="G229" s="37" t="n">
        <v>1</v>
      </c>
      <c r="H229" s="45" t="n">
        <v>0.972222222222222</v>
      </c>
      <c r="I229" s="37" t="n">
        <v>40224.257</v>
      </c>
      <c r="J229" s="45" t="n">
        <v>0.0635831706609994</v>
      </c>
    </row>
    <row r="230" customFormat="false" ht="15" hidden="false" customHeight="false" outlineLevel="0" collapsed="false">
      <c r="A230" s="23" t="s">
        <v>199</v>
      </c>
      <c r="B230" s="34" t="n">
        <v>6260</v>
      </c>
      <c r="C230" s="23" t="s">
        <v>362</v>
      </c>
      <c r="D230" s="23" t="s">
        <v>226</v>
      </c>
      <c r="E230" s="37" t="n">
        <v>36</v>
      </c>
      <c r="F230" s="37" t="n">
        <v>36</v>
      </c>
      <c r="G230" s="37" t="n">
        <v>0</v>
      </c>
      <c r="H230" s="45" t="n">
        <v>1</v>
      </c>
      <c r="I230" s="37" t="n">
        <v>41855.3337</v>
      </c>
      <c r="J230" s="45" t="n">
        <v>0.0671586436642498</v>
      </c>
    </row>
    <row r="231" customFormat="false" ht="15" hidden="false" customHeight="false" outlineLevel="0" collapsed="false">
      <c r="A231" s="23" t="s">
        <v>199</v>
      </c>
      <c r="B231" s="34" t="n">
        <v>6270</v>
      </c>
      <c r="C231" s="23" t="s">
        <v>363</v>
      </c>
      <c r="D231" s="23" t="s">
        <v>226</v>
      </c>
      <c r="E231" s="37" t="n">
        <v>35</v>
      </c>
      <c r="F231" s="37" t="n">
        <v>34</v>
      </c>
      <c r="G231" s="37" t="n">
        <v>1</v>
      </c>
      <c r="H231" s="45" t="n">
        <v>0.971428571428571</v>
      </c>
      <c r="I231" s="37" t="n">
        <v>15718.8838</v>
      </c>
      <c r="J231" s="45" t="n">
        <v>0.0622484362365593</v>
      </c>
    </row>
    <row r="232" customFormat="false" ht="15" hidden="false" customHeight="false" outlineLevel="0" collapsed="false">
      <c r="A232" s="23" t="s">
        <v>199</v>
      </c>
      <c r="B232" s="34" t="n">
        <v>6300</v>
      </c>
      <c r="C232" s="23" t="s">
        <v>364</v>
      </c>
      <c r="D232" s="23" t="s">
        <v>227</v>
      </c>
      <c r="E232" s="37" t="n">
        <v>21</v>
      </c>
      <c r="F232" s="37" t="n">
        <v>18</v>
      </c>
      <c r="G232" s="37" t="n">
        <v>3</v>
      </c>
      <c r="H232" s="45" t="n">
        <v>0.857142857142857</v>
      </c>
      <c r="I232" s="37" t="n">
        <v>9021.0151</v>
      </c>
      <c r="J232" s="45" t="n">
        <v>0.0630320184118418</v>
      </c>
    </row>
    <row r="233" customFormat="false" ht="15" hidden="false" customHeight="false" outlineLevel="0" collapsed="false">
      <c r="A233" s="23" t="s">
        <v>199</v>
      </c>
      <c r="B233" s="34" t="n">
        <v>7100</v>
      </c>
      <c r="C233" s="23" t="s">
        <v>365</v>
      </c>
      <c r="D233" s="23" t="s">
        <v>228</v>
      </c>
      <c r="E233" s="37" t="n">
        <v>29</v>
      </c>
      <c r="F233" s="37" t="n">
        <v>27</v>
      </c>
      <c r="G233" s="37" t="n">
        <v>2</v>
      </c>
      <c r="H233" s="45" t="n">
        <v>0.931034482758621</v>
      </c>
      <c r="I233" s="37" t="n">
        <v>5200.3353</v>
      </c>
      <c r="J233" s="45" t="n">
        <v>0.0671950729112761</v>
      </c>
    </row>
    <row r="234" customFormat="false" ht="15" hidden="false" customHeight="false" outlineLevel="0" collapsed="false">
      <c r="A234" s="23" t="s">
        <v>199</v>
      </c>
      <c r="B234" s="34" t="n">
        <v>7200</v>
      </c>
      <c r="C234" s="23" t="s">
        <v>366</v>
      </c>
      <c r="D234" s="23" t="s">
        <v>228</v>
      </c>
      <c r="E234" s="37" t="n">
        <v>29</v>
      </c>
      <c r="F234" s="37" t="n">
        <v>9</v>
      </c>
      <c r="G234" s="37" t="n">
        <v>20</v>
      </c>
      <c r="H234" s="45" t="n">
        <v>0.689655172413793</v>
      </c>
      <c r="I234" s="37" t="n">
        <v>-685.8327</v>
      </c>
      <c r="J234" s="45"/>
    </row>
    <row r="235" customFormat="false" ht="15" hidden="false" customHeight="false" outlineLevel="0" collapsed="false">
      <c r="A235" s="23" t="s">
        <v>199</v>
      </c>
      <c r="B235" s="34" t="n">
        <v>8100</v>
      </c>
      <c r="C235" s="23" t="s">
        <v>367</v>
      </c>
      <c r="D235" s="23" t="s">
        <v>229</v>
      </c>
      <c r="E235" s="37" t="n">
        <v>30</v>
      </c>
      <c r="F235" s="37" t="n">
        <v>26</v>
      </c>
      <c r="G235" s="37" t="n">
        <v>4</v>
      </c>
      <c r="H235" s="45" t="n">
        <v>0.866666666666667</v>
      </c>
      <c r="I235" s="37" t="n">
        <v>20856.0339</v>
      </c>
      <c r="J235" s="45" t="n">
        <v>0.0637112192262649</v>
      </c>
    </row>
    <row r="236" customFormat="false" ht="15" hidden="false" customHeight="false" outlineLevel="0" collapsed="false">
      <c r="A236" s="23" t="s">
        <v>195</v>
      </c>
      <c r="B236" s="34" t="n">
        <v>4100</v>
      </c>
      <c r="C236" s="23" t="s">
        <v>196</v>
      </c>
      <c r="D236" s="23" t="s">
        <v>224</v>
      </c>
      <c r="E236" s="37" t="n">
        <v>36</v>
      </c>
      <c r="F236" s="37" t="n">
        <v>0</v>
      </c>
      <c r="G236" s="37" t="n">
        <v>36</v>
      </c>
      <c r="H236" s="45" t="n">
        <v>1</v>
      </c>
      <c r="I236" s="37" t="n">
        <v>-1635901.5596</v>
      </c>
      <c r="J236" s="45" t="n">
        <v>-0.0349554711108037</v>
      </c>
    </row>
    <row r="237" customFormat="false" ht="15" hidden="false" customHeight="false" outlineLevel="0" collapsed="false">
      <c r="A237" s="23" t="s">
        <v>195</v>
      </c>
      <c r="B237" s="34" t="n">
        <v>4110</v>
      </c>
      <c r="C237" s="23" t="s">
        <v>204</v>
      </c>
      <c r="D237" s="23" t="s">
        <v>224</v>
      </c>
      <c r="E237" s="37" t="n">
        <v>36</v>
      </c>
      <c r="F237" s="37" t="n">
        <v>0</v>
      </c>
      <c r="G237" s="37" t="n">
        <v>36</v>
      </c>
      <c r="H237" s="45" t="n">
        <v>1</v>
      </c>
      <c r="I237" s="37" t="n">
        <v>-235892.7998</v>
      </c>
      <c r="J237" s="45" t="n">
        <v>-0.0346036185234409</v>
      </c>
    </row>
    <row r="238" customFormat="false" ht="15" hidden="false" customHeight="false" outlineLevel="0" collapsed="false">
      <c r="A238" s="23" t="s">
        <v>195</v>
      </c>
      <c r="B238" s="34" t="n">
        <v>4120</v>
      </c>
      <c r="C238" s="23" t="s">
        <v>349</v>
      </c>
      <c r="D238" s="23" t="s">
        <v>224</v>
      </c>
      <c r="E238" s="37" t="n">
        <v>29</v>
      </c>
      <c r="F238" s="37" t="n">
        <v>0</v>
      </c>
      <c r="G238" s="37" t="n">
        <v>29</v>
      </c>
      <c r="H238" s="45" t="n">
        <v>1</v>
      </c>
      <c r="I238" s="37" t="n">
        <v>-42507.9685</v>
      </c>
      <c r="J238" s="45" t="n">
        <v>-0.0347721928547603</v>
      </c>
    </row>
    <row r="239" customFormat="false" ht="15" hidden="false" customHeight="false" outlineLevel="0" collapsed="false">
      <c r="A239" s="23" t="s">
        <v>195</v>
      </c>
      <c r="B239" s="34" t="n">
        <v>4190</v>
      </c>
      <c r="C239" s="23" t="s">
        <v>350</v>
      </c>
      <c r="D239" s="23" t="s">
        <v>224</v>
      </c>
      <c r="E239" s="37" t="n">
        <v>36</v>
      </c>
      <c r="F239" s="37" t="n">
        <v>11</v>
      </c>
      <c r="G239" s="37" t="n">
        <v>25</v>
      </c>
      <c r="H239" s="45" t="n">
        <v>0.694444444444444</v>
      </c>
      <c r="I239" s="37" t="n">
        <v>-13963.4919</v>
      </c>
      <c r="J239" s="45" t="n">
        <v>-0.0212995897420695</v>
      </c>
    </row>
    <row r="240" customFormat="false" ht="15" hidden="false" customHeight="false" outlineLevel="0" collapsed="false">
      <c r="A240" s="23" t="s">
        <v>195</v>
      </c>
      <c r="B240" s="34" t="n">
        <v>5100</v>
      </c>
      <c r="C240" s="23" t="s">
        <v>198</v>
      </c>
      <c r="D240" s="23" t="s">
        <v>172</v>
      </c>
      <c r="E240" s="37" t="n">
        <v>36</v>
      </c>
      <c r="F240" s="37" t="n">
        <v>36</v>
      </c>
      <c r="G240" s="37" t="n">
        <v>0</v>
      </c>
      <c r="H240" s="45" t="n">
        <v>1</v>
      </c>
      <c r="I240" s="37" t="n">
        <v>1009686.5596</v>
      </c>
      <c r="J240" s="45" t="n">
        <v>0.0640046231858232</v>
      </c>
    </row>
    <row r="241" customFormat="false" ht="15" hidden="false" customHeight="false" outlineLevel="0" collapsed="false">
      <c r="A241" s="23" t="s">
        <v>195</v>
      </c>
      <c r="B241" s="34" t="n">
        <v>5110</v>
      </c>
      <c r="C241" s="23" t="s">
        <v>351</v>
      </c>
      <c r="D241" s="23" t="s">
        <v>172</v>
      </c>
      <c r="E241" s="37" t="n">
        <v>28</v>
      </c>
      <c r="F241" s="37" t="n">
        <v>26</v>
      </c>
      <c r="G241" s="37" t="n">
        <v>2</v>
      </c>
      <c r="H241" s="45" t="n">
        <v>0.928571428571429</v>
      </c>
      <c r="I241" s="37" t="n">
        <v>68394.0706</v>
      </c>
      <c r="J241" s="45" t="n">
        <v>0.0681140954437992</v>
      </c>
    </row>
    <row r="242" customFormat="false" ht="15" hidden="false" customHeight="false" outlineLevel="0" collapsed="false">
      <c r="A242" s="23" t="s">
        <v>195</v>
      </c>
      <c r="B242" s="34" t="n">
        <v>5120</v>
      </c>
      <c r="C242" s="23" t="s">
        <v>352</v>
      </c>
      <c r="D242" s="23" t="s">
        <v>172</v>
      </c>
      <c r="E242" s="37" t="n">
        <v>31</v>
      </c>
      <c r="F242" s="37" t="n">
        <v>22</v>
      </c>
      <c r="G242" s="37" t="n">
        <v>9</v>
      </c>
      <c r="H242" s="45" t="n">
        <v>0.709677419354839</v>
      </c>
      <c r="I242" s="37" t="n">
        <v>20121.296</v>
      </c>
      <c r="J242" s="45"/>
    </row>
    <row r="243" customFormat="false" ht="15" hidden="false" customHeight="false" outlineLevel="0" collapsed="false">
      <c r="A243" s="23" t="s">
        <v>195</v>
      </c>
      <c r="B243" s="34" t="n">
        <v>5200</v>
      </c>
      <c r="C243" s="23" t="s">
        <v>205</v>
      </c>
      <c r="D243" s="23" t="s">
        <v>172</v>
      </c>
      <c r="E243" s="37" t="n">
        <v>29</v>
      </c>
      <c r="F243" s="37" t="n">
        <v>27</v>
      </c>
      <c r="G243" s="37" t="n">
        <v>2</v>
      </c>
      <c r="H243" s="45" t="n">
        <v>0.931034482758621</v>
      </c>
      <c r="I243" s="37" t="n">
        <v>225641.8825</v>
      </c>
      <c r="J243" s="45" t="n">
        <v>0.073157484199952</v>
      </c>
    </row>
    <row r="244" customFormat="false" ht="15" hidden="false" customHeight="false" outlineLevel="0" collapsed="false">
      <c r="A244" s="23" t="s">
        <v>195</v>
      </c>
      <c r="B244" s="34" t="n">
        <v>5300</v>
      </c>
      <c r="C244" s="23" t="s">
        <v>353</v>
      </c>
      <c r="D244" s="23" t="s">
        <v>172</v>
      </c>
      <c r="E244" s="37" t="n">
        <v>29</v>
      </c>
      <c r="F244" s="37" t="n">
        <v>26</v>
      </c>
      <c r="G244" s="37" t="n">
        <v>3</v>
      </c>
      <c r="H244" s="45" t="n">
        <v>0.896551724137931</v>
      </c>
      <c r="I244" s="37" t="n">
        <v>100737.1595</v>
      </c>
      <c r="J244" s="45" t="n">
        <v>0.0632954704297518</v>
      </c>
    </row>
    <row r="245" customFormat="false" ht="15" hidden="false" customHeight="false" outlineLevel="0" collapsed="false">
      <c r="A245" s="23" t="s">
        <v>195</v>
      </c>
      <c r="B245" s="34" t="n">
        <v>6100</v>
      </c>
      <c r="C245" s="23" t="s">
        <v>203</v>
      </c>
      <c r="D245" s="23" t="s">
        <v>225</v>
      </c>
      <c r="E245" s="37" t="n">
        <v>36</v>
      </c>
      <c r="F245" s="37" t="n">
        <v>33</v>
      </c>
      <c r="G245" s="37" t="n">
        <v>3</v>
      </c>
      <c r="H245" s="45" t="n">
        <v>0.916666666666667</v>
      </c>
      <c r="I245" s="37" t="n">
        <v>381864.1237</v>
      </c>
      <c r="J245" s="45" t="n">
        <v>0.0642344227498528</v>
      </c>
    </row>
    <row r="246" customFormat="false" ht="15" hidden="false" customHeight="false" outlineLevel="0" collapsed="false">
      <c r="A246" s="23" t="s">
        <v>195</v>
      </c>
      <c r="B246" s="34" t="n">
        <v>6110</v>
      </c>
      <c r="C246" s="23" t="s">
        <v>354</v>
      </c>
      <c r="D246" s="23" t="s">
        <v>225</v>
      </c>
      <c r="E246" s="37" t="n">
        <v>36</v>
      </c>
      <c r="F246" s="37" t="n">
        <v>32</v>
      </c>
      <c r="G246" s="37" t="n">
        <v>4</v>
      </c>
      <c r="H246" s="45" t="n">
        <v>0.888888888888889</v>
      </c>
      <c r="I246" s="37" t="n">
        <v>68105.5308</v>
      </c>
      <c r="J246" s="45" t="n">
        <v>0.0669229427136767</v>
      </c>
    </row>
    <row r="247" customFormat="false" ht="15" hidden="false" customHeight="false" outlineLevel="0" collapsed="false">
      <c r="A247" s="23" t="s">
        <v>195</v>
      </c>
      <c r="B247" s="34" t="n">
        <v>6120</v>
      </c>
      <c r="C247" s="23" t="s">
        <v>355</v>
      </c>
      <c r="D247" s="23" t="s">
        <v>225</v>
      </c>
      <c r="E247" s="37" t="n">
        <v>35</v>
      </c>
      <c r="F247" s="37" t="n">
        <v>35</v>
      </c>
      <c r="G247" s="37" t="n">
        <v>0</v>
      </c>
      <c r="H247" s="45" t="n">
        <v>1</v>
      </c>
      <c r="I247" s="37" t="n">
        <v>100676.1743</v>
      </c>
      <c r="J247" s="45" t="n">
        <v>0.0612015059143428</v>
      </c>
    </row>
    <row r="248" customFormat="false" ht="15" hidden="false" customHeight="false" outlineLevel="0" collapsed="false">
      <c r="A248" s="23" t="s">
        <v>195</v>
      </c>
      <c r="B248" s="34" t="n">
        <v>6200</v>
      </c>
      <c r="C248" s="23" t="s">
        <v>356</v>
      </c>
      <c r="D248" s="23" t="s">
        <v>226</v>
      </c>
      <c r="E248" s="37" t="n">
        <v>35</v>
      </c>
      <c r="F248" s="37" t="n">
        <v>35</v>
      </c>
      <c r="G248" s="37" t="n">
        <v>0</v>
      </c>
      <c r="H248" s="45" t="n">
        <v>1</v>
      </c>
      <c r="I248" s="37" t="n">
        <v>49245.6867</v>
      </c>
      <c r="J248" s="45" t="n">
        <v>0.0685736915212261</v>
      </c>
    </row>
    <row r="249" customFormat="false" ht="15" hidden="false" customHeight="false" outlineLevel="0" collapsed="false">
      <c r="A249" s="23" t="s">
        <v>195</v>
      </c>
      <c r="B249" s="34" t="n">
        <v>6210</v>
      </c>
      <c r="C249" s="23" t="s">
        <v>357</v>
      </c>
      <c r="D249" s="23" t="s">
        <v>226</v>
      </c>
      <c r="E249" s="37" t="n">
        <v>35</v>
      </c>
      <c r="F249" s="37" t="n">
        <v>32</v>
      </c>
      <c r="G249" s="37" t="n">
        <v>3</v>
      </c>
      <c r="H249" s="45" t="n">
        <v>0.914285714285714</v>
      </c>
      <c r="I249" s="37" t="n">
        <v>128497.4111</v>
      </c>
      <c r="J249" s="45" t="n">
        <v>0.0593522104347628</v>
      </c>
    </row>
    <row r="250" customFormat="false" ht="15" hidden="false" customHeight="false" outlineLevel="0" collapsed="false">
      <c r="A250" s="23" t="s">
        <v>195</v>
      </c>
      <c r="B250" s="34" t="n">
        <v>6220</v>
      </c>
      <c r="C250" s="23" t="s">
        <v>358</v>
      </c>
      <c r="D250" s="23" t="s">
        <v>226</v>
      </c>
      <c r="E250" s="37" t="n">
        <v>36</v>
      </c>
      <c r="F250" s="37" t="n">
        <v>35</v>
      </c>
      <c r="G250" s="37" t="n">
        <v>1</v>
      </c>
      <c r="H250" s="45" t="n">
        <v>0.972222222222222</v>
      </c>
      <c r="I250" s="37" t="n">
        <v>150225.6938</v>
      </c>
      <c r="J250" s="45" t="n">
        <v>0.0634664847145403</v>
      </c>
    </row>
    <row r="251" customFormat="false" ht="15" hidden="false" customHeight="false" outlineLevel="0" collapsed="false">
      <c r="A251" s="23" t="s">
        <v>195</v>
      </c>
      <c r="B251" s="34" t="n">
        <v>6230</v>
      </c>
      <c r="C251" s="23" t="s">
        <v>359</v>
      </c>
      <c r="D251" s="23" t="s">
        <v>226</v>
      </c>
      <c r="E251" s="37" t="n">
        <v>34</v>
      </c>
      <c r="F251" s="37" t="n">
        <v>32</v>
      </c>
      <c r="G251" s="37" t="n">
        <v>2</v>
      </c>
      <c r="H251" s="45" t="n">
        <v>0.941176470588235</v>
      </c>
      <c r="I251" s="37" t="n">
        <v>111278.2283</v>
      </c>
      <c r="J251" s="45" t="n">
        <v>0.0645467662326341</v>
      </c>
    </row>
    <row r="252" customFormat="false" ht="15" hidden="false" customHeight="false" outlineLevel="0" collapsed="false">
      <c r="A252" s="23" t="s">
        <v>195</v>
      </c>
      <c r="B252" s="34" t="n">
        <v>6240</v>
      </c>
      <c r="C252" s="23" t="s">
        <v>360</v>
      </c>
      <c r="D252" s="23" t="s">
        <v>226</v>
      </c>
      <c r="E252" s="37" t="n">
        <v>35</v>
      </c>
      <c r="F252" s="37" t="n">
        <v>34</v>
      </c>
      <c r="G252" s="37" t="n">
        <v>1</v>
      </c>
      <c r="H252" s="45" t="n">
        <v>0.971428571428571</v>
      </c>
      <c r="I252" s="37" t="n">
        <v>61974.477</v>
      </c>
      <c r="J252" s="45" t="n">
        <v>0.0651302448140989</v>
      </c>
    </row>
    <row r="253" customFormat="false" ht="15" hidden="false" customHeight="false" outlineLevel="0" collapsed="false">
      <c r="A253" s="23" t="s">
        <v>195</v>
      </c>
      <c r="B253" s="34" t="n">
        <v>6250</v>
      </c>
      <c r="C253" s="23" t="s">
        <v>361</v>
      </c>
      <c r="D253" s="23" t="s">
        <v>226</v>
      </c>
      <c r="E253" s="37" t="n">
        <v>36</v>
      </c>
      <c r="F253" s="37" t="n">
        <v>32</v>
      </c>
      <c r="G253" s="37" t="n">
        <v>4</v>
      </c>
      <c r="H253" s="45" t="n">
        <v>0.888888888888889</v>
      </c>
      <c r="I253" s="37" t="n">
        <v>73512.2287</v>
      </c>
      <c r="J253" s="45" t="n">
        <v>0.0649813877105379</v>
      </c>
    </row>
    <row r="254" customFormat="false" ht="15" hidden="false" customHeight="false" outlineLevel="0" collapsed="false">
      <c r="A254" s="23" t="s">
        <v>195</v>
      </c>
      <c r="B254" s="34" t="n">
        <v>6260</v>
      </c>
      <c r="C254" s="23" t="s">
        <v>362</v>
      </c>
      <c r="D254" s="23" t="s">
        <v>226</v>
      </c>
      <c r="E254" s="37" t="n">
        <v>35</v>
      </c>
      <c r="F254" s="37" t="n">
        <v>33</v>
      </c>
      <c r="G254" s="37" t="n">
        <v>2</v>
      </c>
      <c r="H254" s="45" t="n">
        <v>0.942857142857143</v>
      </c>
      <c r="I254" s="37" t="n">
        <v>52272.4506</v>
      </c>
      <c r="J254" s="45" t="n">
        <v>0.0643159752902634</v>
      </c>
    </row>
    <row r="255" customFormat="false" ht="15" hidden="false" customHeight="false" outlineLevel="0" collapsed="false">
      <c r="A255" s="23" t="s">
        <v>195</v>
      </c>
      <c r="B255" s="34" t="n">
        <v>6270</v>
      </c>
      <c r="C255" s="23" t="s">
        <v>363</v>
      </c>
      <c r="D255" s="23" t="s">
        <v>226</v>
      </c>
      <c r="E255" s="37" t="n">
        <v>36</v>
      </c>
      <c r="F255" s="37" t="n">
        <v>35</v>
      </c>
      <c r="G255" s="37" t="n">
        <v>1</v>
      </c>
      <c r="H255" s="45" t="n">
        <v>0.972222222222222</v>
      </c>
      <c r="I255" s="37" t="n">
        <v>28487.5759</v>
      </c>
      <c r="J255" s="45" t="n">
        <v>0.0639720279499927</v>
      </c>
    </row>
    <row r="256" customFormat="false" ht="15" hidden="false" customHeight="false" outlineLevel="0" collapsed="false">
      <c r="A256" s="23" t="s">
        <v>195</v>
      </c>
      <c r="B256" s="34" t="n">
        <v>6300</v>
      </c>
      <c r="C256" s="23" t="s">
        <v>364</v>
      </c>
      <c r="D256" s="23" t="s">
        <v>227</v>
      </c>
      <c r="E256" s="37" t="n">
        <v>25</v>
      </c>
      <c r="F256" s="37" t="n">
        <v>25</v>
      </c>
      <c r="G256" s="37" t="n">
        <v>0</v>
      </c>
      <c r="H256" s="45" t="n">
        <v>1</v>
      </c>
      <c r="I256" s="37" t="n">
        <v>29546.9466</v>
      </c>
      <c r="J256" s="45" t="n">
        <v>0.0636041212923163</v>
      </c>
    </row>
    <row r="257" customFormat="false" ht="15" hidden="false" customHeight="false" outlineLevel="0" collapsed="false">
      <c r="A257" s="23" t="s">
        <v>195</v>
      </c>
      <c r="B257" s="34" t="n">
        <v>7100</v>
      </c>
      <c r="C257" s="23" t="s">
        <v>365</v>
      </c>
      <c r="D257" s="23" t="s">
        <v>228</v>
      </c>
      <c r="E257" s="37" t="n">
        <v>29</v>
      </c>
      <c r="F257" s="37" t="n">
        <v>25</v>
      </c>
      <c r="G257" s="37" t="n">
        <v>4</v>
      </c>
      <c r="H257" s="45" t="n">
        <v>0.862068965517241</v>
      </c>
      <c r="I257" s="37" t="n">
        <v>7950.5744</v>
      </c>
      <c r="J257" s="45" t="n">
        <v>0.0641741664946278</v>
      </c>
    </row>
    <row r="258" customFormat="false" ht="15" hidden="false" customHeight="false" outlineLevel="0" collapsed="false">
      <c r="A258" s="23" t="s">
        <v>195</v>
      </c>
      <c r="B258" s="34" t="n">
        <v>7200</v>
      </c>
      <c r="C258" s="23" t="s">
        <v>366</v>
      </c>
      <c r="D258" s="23" t="s">
        <v>228</v>
      </c>
      <c r="E258" s="37" t="n">
        <v>30</v>
      </c>
      <c r="F258" s="37" t="n">
        <v>13</v>
      </c>
      <c r="G258" s="37" t="n">
        <v>17</v>
      </c>
      <c r="H258" s="45" t="n">
        <v>0.566666666666667</v>
      </c>
      <c r="I258" s="37" t="n">
        <v>-753.797</v>
      </c>
      <c r="J258" s="45"/>
    </row>
    <row r="259" customFormat="false" ht="15" hidden="false" customHeight="false" outlineLevel="0" collapsed="false">
      <c r="A259" s="23" t="s">
        <v>195</v>
      </c>
      <c r="B259" s="34" t="n">
        <v>8100</v>
      </c>
      <c r="C259" s="23" t="s">
        <v>367</v>
      </c>
      <c r="D259" s="23" t="s">
        <v>229</v>
      </c>
      <c r="E259" s="37" t="n">
        <v>30</v>
      </c>
      <c r="F259" s="37" t="n">
        <v>28</v>
      </c>
      <c r="G259" s="37" t="n">
        <v>2</v>
      </c>
      <c r="H259" s="45" t="n">
        <v>0.933333333333333</v>
      </c>
      <c r="I259" s="37" t="n">
        <v>51316.9346</v>
      </c>
      <c r="J259" s="45" t="n">
        <v>0.0641082667535314</v>
      </c>
    </row>
    <row r="262" customFormat="false" ht="15" hidden="false" customHeight="false" outlineLevel="0" collapsed="false">
      <c r="A262" s="20" t="s">
        <v>419</v>
      </c>
      <c r="B262" s="21"/>
      <c r="C262" s="21"/>
      <c r="D262" s="21"/>
      <c r="E262" s="21"/>
      <c r="F262" s="21"/>
      <c r="G262" s="21"/>
      <c r="H262" s="21"/>
      <c r="I262" s="21"/>
      <c r="J262" s="21"/>
      <c r="K262" s="21"/>
      <c r="L262" s="21"/>
    </row>
    <row r="263" customFormat="false" ht="42" hidden="false" customHeight="true" outlineLevel="0" collapsed="false">
      <c r="A263" s="26" t="s">
        <v>420</v>
      </c>
      <c r="B263" s="26"/>
      <c r="C263" s="26"/>
      <c r="D263" s="26"/>
      <c r="E263" s="26"/>
      <c r="F263" s="26"/>
      <c r="G263" s="26"/>
      <c r="H263" s="26"/>
      <c r="I263" s="26"/>
      <c r="J263" s="26"/>
      <c r="K263" s="26"/>
      <c r="L263" s="26"/>
    </row>
    <row r="264" customFormat="false" ht="57.75" hidden="false" customHeight="true" outlineLevel="0" collapsed="false">
      <c r="A264" s="22" t="s">
        <v>189</v>
      </c>
      <c r="B264" s="22" t="s">
        <v>421</v>
      </c>
      <c r="C264" s="22" t="s">
        <v>422</v>
      </c>
      <c r="D264" s="22" t="s">
        <v>423</v>
      </c>
      <c r="E264" s="22" t="s">
        <v>192</v>
      </c>
      <c r="F264" s="22" t="s">
        <v>424</v>
      </c>
      <c r="G264" s="22" t="s">
        <v>425</v>
      </c>
    </row>
    <row r="265" customFormat="false" ht="15" hidden="false" customHeight="false" outlineLevel="0" collapsed="false">
      <c r="A265" s="23" t="s">
        <v>201</v>
      </c>
      <c r="B265" s="37" t="n">
        <v>4800.00575178189</v>
      </c>
      <c r="C265" s="37" t="n">
        <v>2692083.5808</v>
      </c>
      <c r="D265" s="37" t="n">
        <v>2535574.529</v>
      </c>
      <c r="E265" s="38" t="n">
        <f aca="false">C265-D265</f>
        <v>156509.051799999</v>
      </c>
      <c r="F265" s="55" t="n">
        <f aca="false">E265/B265</f>
        <v>32.606013386942</v>
      </c>
      <c r="G265" s="55" t="n">
        <f aca="false">F265/36</f>
        <v>0.905722594081721</v>
      </c>
    </row>
    <row r="266" customFormat="false" ht="15" hidden="false" customHeight="false" outlineLevel="0" collapsed="false">
      <c r="A266" s="23" t="s">
        <v>200</v>
      </c>
      <c r="B266" s="37" t="n">
        <v>6400.00747726242</v>
      </c>
      <c r="C266" s="37" t="n">
        <v>4755118.851</v>
      </c>
      <c r="D266" s="37" t="n">
        <v>4458441.7807</v>
      </c>
      <c r="E266" s="38" t="n">
        <f aca="false">C266-D266</f>
        <v>296677.0703</v>
      </c>
      <c r="F266" s="55" t="n">
        <f aca="false">E266/B266</f>
        <v>46.3557380759346</v>
      </c>
      <c r="G266" s="55" t="n">
        <f aca="false">F266/36</f>
        <v>1.28765939099818</v>
      </c>
    </row>
    <row r="267" customFormat="false" ht="15" hidden="false" customHeight="false" outlineLevel="0" collapsed="false">
      <c r="A267" s="23" t="s">
        <v>202</v>
      </c>
      <c r="B267" s="37" t="n">
        <v>6100.00524081547</v>
      </c>
      <c r="C267" s="37" t="n">
        <v>2999600.0052</v>
      </c>
      <c r="D267" s="37" t="n">
        <v>2831926.4837</v>
      </c>
      <c r="E267" s="38" t="n">
        <f aca="false">C267-D267</f>
        <v>167673.521499996</v>
      </c>
      <c r="F267" s="55" t="n">
        <f aca="false">E267/B267</f>
        <v>27.4874389251476</v>
      </c>
      <c r="G267" s="55" t="n">
        <f aca="false">F267/36</f>
        <v>0.763539970142989</v>
      </c>
    </row>
    <row r="268" customFormat="false" ht="15" hidden="false" customHeight="false" outlineLevel="0" collapsed="false">
      <c r="A268" s="23" t="s">
        <v>197</v>
      </c>
      <c r="B268" s="37" t="n">
        <v>2200</v>
      </c>
      <c r="C268" s="37" t="n">
        <v>6021845.7643</v>
      </c>
      <c r="D268" s="37" t="n">
        <v>5647605.339</v>
      </c>
      <c r="E268" s="38" t="n">
        <f aca="false">C268-D268</f>
        <v>374240.425299999</v>
      </c>
      <c r="F268" s="55" t="n">
        <f aca="false">E268/B268</f>
        <v>170.109284227272</v>
      </c>
      <c r="G268" s="55" t="n">
        <f aca="false">F268/36</f>
        <v>4.72525789520201</v>
      </c>
    </row>
    <row r="269" customFormat="false" ht="15" hidden="false" customHeight="false" outlineLevel="0" collapsed="false">
      <c r="A269" s="23" t="s">
        <v>199</v>
      </c>
      <c r="B269" s="37" t="n">
        <v>5200</v>
      </c>
      <c r="C269" s="37" t="n">
        <v>4321151.5628</v>
      </c>
      <c r="D269" s="37" t="n">
        <v>4073656.6233</v>
      </c>
      <c r="E269" s="38" t="n">
        <f aca="false">C269-D269</f>
        <v>247494.9395</v>
      </c>
      <c r="F269" s="55" t="n">
        <f aca="false">E269/B269</f>
        <v>47.5951806730769</v>
      </c>
      <c r="G269" s="55" t="n">
        <f aca="false">F269/36</f>
        <v>1.32208835202991</v>
      </c>
    </row>
    <row r="270" customFormat="false" ht="15" hidden="false" customHeight="false" outlineLevel="0" collapsed="false">
      <c r="A270" s="23" t="s">
        <v>195</v>
      </c>
      <c r="B270" s="37" t="n">
        <v>7800</v>
      </c>
      <c r="C270" s="37" t="n">
        <v>6326715.9236</v>
      </c>
      <c r="D270" s="37" t="n">
        <v>5944851.7999</v>
      </c>
      <c r="E270" s="38" t="n">
        <f aca="false">C270-D270</f>
        <v>381864.123700002</v>
      </c>
      <c r="F270" s="55" t="n">
        <f aca="false">E270/B270</f>
        <v>48.9569389358977</v>
      </c>
      <c r="G270" s="55" t="n">
        <f aca="false">F270/36</f>
        <v>1.3599149704416</v>
      </c>
    </row>
  </sheetData>
  <mergeCells count="8">
    <mergeCell ref="A3:L3"/>
    <mergeCell ref="A6:L6"/>
    <mergeCell ref="A36:L36"/>
    <mergeCell ref="A58:L58"/>
    <mergeCell ref="A88:L88"/>
    <mergeCell ref="A105:L105"/>
    <mergeCell ref="A114:L114"/>
    <mergeCell ref="A263:L263"/>
  </mergeCells>
  <conditionalFormatting sqref="H60:H83">
    <cfRule type="cellIs" priority="2" operator="lessThanOrEqual" aboveAverage="0" equalAverage="0" bottom="0" percent="0" rank="0" text="" dxfId="11">
      <formula>5</formula>
    </cfRule>
  </conditionalFormatting>
  <conditionalFormatting sqref="H116:H259">
    <cfRule type="dataBar" priority="3">
      <dataBar showValue="1" minLength="10" maxLength="90">
        <cfvo type="num" val="0"/>
        <cfvo type="num" val="1"/>
        <color rgb="FF9DC3E6"/>
      </dataBar>
      <extLst>
        <ext xmlns:x14="http://schemas.microsoft.com/office/spreadsheetml/2009/9/main" uri="{B025F937-C7B1-47D3-B67F-A62EFF666E3E}">
          <x14:id>{106D277B-F075-427E-9333-20F030CC103F}</x14:id>
        </ext>
      </extLst>
    </cfRule>
  </conditionalFormatting>
  <hyperlinks>
    <hyperlink ref="L1" location="'Start Here'!A1" display="Back to Start Here"/>
  </hyperlink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 r:id="rId3"/>
    <tablePart r:id="rId4"/>
    <tablePart r:id="rId5"/>
  </tableParts>
  <extLst>
    <ext xmlns:x14="http://schemas.microsoft.com/office/spreadsheetml/2009/9/main" uri="{78C0D931-6437-407d-A8EE-F0AAD7539E65}">
      <x14:conditionalFormattings>
        <x14:conditionalFormatting xmlns:xm="http://schemas.microsoft.com/office/excel/2006/main">
          <x14:cfRule type="dataBar" id="{106D277B-F075-427E-9333-20F030CC103F}">
            <x14:dataBar minLength="10" maxLength="90" axisPosition="automatic" gradient="false">
              <x14:cfvo type="num">
                <xm:f>0</xm:f>
              </x14:cfvo>
              <x14:cfvo type="num">
                <xm:f>1</xm:f>
              </x14:cfvo>
              <x14:negativeFillColor rgb="FFFF0000"/>
              <x14:axisColor rgb="FF000000"/>
            </x14:dataBar>
          </x14:cfRule>
          <xm:sqref>H116:H259</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DC3E6"/>
    <pageSetUpPr fitToPage="true"/>
  </sheetPr>
  <dimension ref="A1:N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2.71"/>
    <col collapsed="false" customWidth="true" hidden="false" outlineLevel="0" max="2" min="2" style="0" width="34.71"/>
    <col collapsed="false" customWidth="true" hidden="false" outlineLevel="0" max="4" min="3" style="0" width="11.71"/>
    <col collapsed="false" customWidth="true" hidden="false" outlineLevel="0" max="11" min="5" style="0" width="15.71"/>
    <col collapsed="false" customWidth="true" hidden="false" outlineLevel="0" max="13" min="12" style="0" width="11.71"/>
    <col collapsed="false" customWidth="true" hidden="false" outlineLevel="0" max="14" min="14" style="0" width="12.71"/>
  </cols>
  <sheetData>
    <row r="1" customFormat="false" ht="19.7" hidden="false" customHeight="false" outlineLevel="0" collapsed="false">
      <c r="A1" s="19" t="s">
        <v>426</v>
      </c>
      <c r="K1" s="5" t="s">
        <v>61</v>
      </c>
    </row>
    <row r="2" customFormat="false" ht="15" hidden="false" customHeight="false" outlineLevel="0" collapsed="false">
      <c r="A2" s="2" t="s">
        <v>427</v>
      </c>
    </row>
    <row r="3" customFormat="false" ht="75" hidden="false" customHeight="true" outlineLevel="0" collapsed="false">
      <c r="A3" s="3" t="s">
        <v>428</v>
      </c>
      <c r="B3" s="3"/>
      <c r="C3" s="3"/>
      <c r="D3" s="3"/>
      <c r="E3" s="3"/>
      <c r="F3" s="3"/>
      <c r="G3" s="3"/>
      <c r="H3" s="3"/>
      <c r="I3" s="3"/>
      <c r="J3" s="3"/>
      <c r="K3" s="3"/>
    </row>
    <row r="5" customFormat="false" ht="15" hidden="false" customHeight="false" outlineLevel="0" collapsed="false">
      <c r="A5" s="20" t="s">
        <v>429</v>
      </c>
      <c r="B5" s="21"/>
      <c r="C5" s="21"/>
      <c r="D5" s="21"/>
      <c r="E5" s="21"/>
      <c r="F5" s="21"/>
      <c r="G5" s="21"/>
      <c r="H5" s="21"/>
      <c r="I5" s="21"/>
      <c r="J5" s="21"/>
      <c r="K5" s="21"/>
    </row>
    <row r="6" customFormat="false" ht="13.5" hidden="false" customHeight="true" outlineLevel="0" collapsed="false">
      <c r="A6" s="26" t="s">
        <v>430</v>
      </c>
      <c r="B6" s="26"/>
      <c r="C6" s="26"/>
      <c r="D6" s="26"/>
      <c r="E6" s="26"/>
      <c r="F6" s="26"/>
      <c r="G6" s="26"/>
      <c r="H6" s="26"/>
      <c r="I6" s="26"/>
      <c r="J6" s="26"/>
      <c r="K6" s="26"/>
    </row>
    <row r="7" customFormat="false" ht="31.5" hidden="false" customHeight="true" outlineLevel="0" collapsed="false">
      <c r="A7" s="22" t="s">
        <v>431</v>
      </c>
      <c r="B7" s="22" t="s">
        <v>432</v>
      </c>
      <c r="C7" s="22" t="s">
        <v>433</v>
      </c>
      <c r="D7" s="22" t="s">
        <v>92</v>
      </c>
      <c r="E7" s="22" t="s">
        <v>68</v>
      </c>
      <c r="F7" s="22" t="s">
        <v>135</v>
      </c>
      <c r="G7" s="22" t="s">
        <v>434</v>
      </c>
      <c r="H7" s="22" t="s">
        <v>147</v>
      </c>
    </row>
    <row r="8" customFormat="false" ht="15" hidden="false" customHeight="false" outlineLevel="0" collapsed="false">
      <c r="A8" s="23" t="s">
        <v>435</v>
      </c>
      <c r="B8" s="23" t="s">
        <v>436</v>
      </c>
      <c r="C8" s="23" t="s">
        <v>109</v>
      </c>
      <c r="D8" s="37" t="n">
        <v>15092</v>
      </c>
      <c r="E8" s="37" t="n">
        <v>61295630.9945002</v>
      </c>
      <c r="F8" s="37" t="n">
        <v>28820261.6473001</v>
      </c>
      <c r="G8" s="38" t="n">
        <f aca="false">E8-F8</f>
        <v>32475369.3472001</v>
      </c>
      <c r="H8" s="39" t="n">
        <f aca="false">IF(E8&gt;0,G8/E8,"n/a")</f>
        <v>0.52981540152697</v>
      </c>
    </row>
    <row r="9" customFormat="false" ht="15" hidden="false" customHeight="false" outlineLevel="0" collapsed="false">
      <c r="A9" s="23" t="s">
        <v>435</v>
      </c>
      <c r="B9" s="23" t="s">
        <v>436</v>
      </c>
      <c r="C9" s="23" t="s">
        <v>110</v>
      </c>
      <c r="D9" s="37" t="n">
        <v>14971</v>
      </c>
      <c r="E9" s="37" t="n">
        <v>70362583.5628997</v>
      </c>
      <c r="F9" s="37" t="n">
        <v>30243513.2078</v>
      </c>
      <c r="G9" s="38" t="n">
        <f aca="false">E9-F9</f>
        <v>40119070.3550997</v>
      </c>
      <c r="H9" s="39" t="n">
        <f aca="false">IF(E9&gt;0,G9/E9,"n/a")</f>
        <v>0.570176197683756</v>
      </c>
    </row>
    <row r="10" customFormat="false" ht="15" hidden="false" customHeight="false" outlineLevel="0" collapsed="false">
      <c r="A10" s="23" t="s">
        <v>435</v>
      </c>
      <c r="B10" s="23" t="s">
        <v>436</v>
      </c>
      <c r="C10" s="23" t="s">
        <v>111</v>
      </c>
      <c r="D10" s="37" t="n">
        <v>14948</v>
      </c>
      <c r="E10" s="37" t="n">
        <v>70990787.5948</v>
      </c>
      <c r="F10" s="37" t="n">
        <v>33744243.0471001</v>
      </c>
      <c r="G10" s="38" t="n">
        <f aca="false">E10-F10</f>
        <v>37246544.5476999</v>
      </c>
      <c r="H10" s="39" t="n">
        <f aca="false">IF(E10&gt;0,G10/E10,"n/a")</f>
        <v>0.524667295710185</v>
      </c>
    </row>
    <row r="11" customFormat="false" ht="15" hidden="false" customHeight="false" outlineLevel="0" collapsed="false">
      <c r="A11" s="23" t="s">
        <v>435</v>
      </c>
      <c r="B11" s="23" t="s">
        <v>436</v>
      </c>
      <c r="C11" s="23" t="s">
        <v>437</v>
      </c>
      <c r="D11" s="37" t="n">
        <v>45011</v>
      </c>
      <c r="E11" s="37" t="n">
        <v>202649002.1522</v>
      </c>
      <c r="F11" s="37" t="n">
        <v>92808017.9022002</v>
      </c>
      <c r="G11" s="38" t="n">
        <f aca="false">E11-F11</f>
        <v>109840984.25</v>
      </c>
      <c r="H11" s="39" t="n">
        <f aca="false">IF(E11&gt;0,G11/E11,"n/a")</f>
        <v>0.54202578390938</v>
      </c>
    </row>
    <row r="12" customFormat="false" ht="15" hidden="false" customHeight="false" outlineLevel="0" collapsed="false">
      <c r="A12" s="23" t="s">
        <v>435</v>
      </c>
      <c r="B12" s="23" t="s">
        <v>438</v>
      </c>
      <c r="C12" s="23" t="s">
        <v>109</v>
      </c>
      <c r="D12" s="37" t="n">
        <v>15092</v>
      </c>
      <c r="E12" s="37" t="n">
        <v>57208112.5557</v>
      </c>
      <c r="F12" s="37" t="n">
        <v>28820261.6473001</v>
      </c>
      <c r="G12" s="38" t="n">
        <f aca="false">E12-F12</f>
        <v>28387850.9083999</v>
      </c>
      <c r="H12" s="39" t="n">
        <f aca="false">IF(E12&gt;0,G12/E12,"n/a")</f>
        <v>0.496220721855845</v>
      </c>
    </row>
    <row r="13" customFormat="false" ht="15" hidden="false" customHeight="false" outlineLevel="0" collapsed="false">
      <c r="A13" s="23" t="s">
        <v>435</v>
      </c>
      <c r="B13" s="23" t="s">
        <v>438</v>
      </c>
      <c r="C13" s="23" t="s">
        <v>110</v>
      </c>
      <c r="D13" s="37" t="n">
        <v>14971</v>
      </c>
      <c r="E13" s="37" t="n">
        <v>66280235.4210998</v>
      </c>
      <c r="F13" s="37" t="n">
        <v>30243513.2078</v>
      </c>
      <c r="G13" s="38" t="n">
        <f aca="false">E13-F13</f>
        <v>36036722.2132998</v>
      </c>
      <c r="H13" s="39" t="n">
        <f aca="false">IF(E13&gt;0,G13/E13,"n/a")</f>
        <v>0.543702387059232</v>
      </c>
    </row>
    <row r="14" customFormat="false" ht="15" hidden="false" customHeight="false" outlineLevel="0" collapsed="false">
      <c r="A14" s="23" t="s">
        <v>435</v>
      </c>
      <c r="B14" s="23" t="s">
        <v>438</v>
      </c>
      <c r="C14" s="23" t="s">
        <v>111</v>
      </c>
      <c r="D14" s="37" t="n">
        <v>14948</v>
      </c>
      <c r="E14" s="37" t="n">
        <v>66312284.4513998</v>
      </c>
      <c r="F14" s="37" t="n">
        <v>33744243.0471001</v>
      </c>
      <c r="G14" s="38" t="n">
        <f aca="false">E14-F14</f>
        <v>32568041.4042997</v>
      </c>
      <c r="H14" s="39" t="n">
        <f aca="false">IF(E14&gt;0,G14/E14,"n/a")</f>
        <v>0.491131344271042</v>
      </c>
    </row>
    <row r="15" customFormat="false" ht="15" hidden="false" customHeight="false" outlineLevel="0" collapsed="false">
      <c r="A15" s="23" t="s">
        <v>435</v>
      </c>
      <c r="B15" s="23" t="s">
        <v>438</v>
      </c>
      <c r="C15" s="23" t="s">
        <v>437</v>
      </c>
      <c r="D15" s="37" t="n">
        <v>45011</v>
      </c>
      <c r="E15" s="37" t="n">
        <v>189800632.4282</v>
      </c>
      <c r="F15" s="37" t="n">
        <v>92808017.9022002</v>
      </c>
      <c r="G15" s="38" t="n">
        <f aca="false">E15-F15</f>
        <v>96992614.5259995</v>
      </c>
      <c r="H15" s="39" t="n">
        <f aca="false">IF(E15&gt;0,G15/E15,"n/a")</f>
        <v>0.511023663541749</v>
      </c>
    </row>
    <row r="16" customFormat="false" ht="15" hidden="false" customHeight="false" outlineLevel="0" collapsed="false">
      <c r="A16" s="23" t="s">
        <v>435</v>
      </c>
      <c r="B16" s="23" t="s">
        <v>439</v>
      </c>
      <c r="C16" s="23" t="s">
        <v>109</v>
      </c>
      <c r="D16" s="37" t="n">
        <v>15092</v>
      </c>
      <c r="E16" s="37" t="n">
        <v>61961255.2615002</v>
      </c>
      <c r="F16" s="37" t="n">
        <v>28820261.6473001</v>
      </c>
      <c r="G16" s="38" t="n">
        <f aca="false">E16-F16</f>
        <v>33140993.6142001</v>
      </c>
      <c r="H16" s="39" t="n">
        <f aca="false">IF(E16&gt;0,G16/E16,"n/a")</f>
        <v>0.534866401178163</v>
      </c>
    </row>
    <row r="17" customFormat="false" ht="15" hidden="false" customHeight="false" outlineLevel="0" collapsed="false">
      <c r="A17" s="23" t="s">
        <v>435</v>
      </c>
      <c r="B17" s="23" t="s">
        <v>439</v>
      </c>
      <c r="C17" s="23" t="s">
        <v>110</v>
      </c>
      <c r="D17" s="37" t="n">
        <v>14971</v>
      </c>
      <c r="E17" s="37" t="n">
        <v>71288868.6742998</v>
      </c>
      <c r="F17" s="37" t="n">
        <v>30243513.2078</v>
      </c>
      <c r="G17" s="38" t="n">
        <f aca="false">E17-F17</f>
        <v>41045355.4664997</v>
      </c>
      <c r="H17" s="39" t="n">
        <f aca="false">IF(E17&gt;0,G17/E17,"n/a")</f>
        <v>0.575761072237312</v>
      </c>
    </row>
    <row r="18" customFormat="false" ht="15" hidden="false" customHeight="false" outlineLevel="0" collapsed="false">
      <c r="A18" s="23" t="s">
        <v>435</v>
      </c>
      <c r="B18" s="23" t="s">
        <v>439</v>
      </c>
      <c r="C18" s="23" t="s">
        <v>111</v>
      </c>
      <c r="D18" s="37" t="n">
        <v>14948</v>
      </c>
      <c r="E18" s="37" t="n">
        <v>71932361.1318</v>
      </c>
      <c r="F18" s="37" t="n">
        <v>33744243.0471001</v>
      </c>
      <c r="G18" s="38" t="n">
        <f aca="false">E18-F18</f>
        <v>38188118.0846999</v>
      </c>
      <c r="H18" s="39" t="n">
        <f aca="false">IF(E18&gt;0,G18/E18,"n/a")</f>
        <v>0.530889261576284</v>
      </c>
    </row>
    <row r="19" customFormat="false" ht="15" hidden="false" customHeight="false" outlineLevel="0" collapsed="false">
      <c r="A19" s="23" t="s">
        <v>435</v>
      </c>
      <c r="B19" s="23" t="s">
        <v>439</v>
      </c>
      <c r="C19" s="23" t="s">
        <v>437</v>
      </c>
      <c r="D19" s="37" t="n">
        <v>45011</v>
      </c>
      <c r="E19" s="37" t="n">
        <v>205182485.0676</v>
      </c>
      <c r="F19" s="37" t="n">
        <v>92808017.9022002</v>
      </c>
      <c r="G19" s="38" t="n">
        <f aca="false">E19-F19</f>
        <v>112374467.1654</v>
      </c>
      <c r="H19" s="39" t="n">
        <f aca="false">IF(E19&gt;0,G19/E19,"n/a")</f>
        <v>0.54768060309035</v>
      </c>
    </row>
    <row r="20" customFormat="false" ht="15" hidden="false" customHeight="false" outlineLevel="0" collapsed="false">
      <c r="A20" s="23" t="s">
        <v>440</v>
      </c>
      <c r="B20" s="23" t="s">
        <v>436</v>
      </c>
      <c r="C20" s="23" t="s">
        <v>109</v>
      </c>
      <c r="D20" s="37" t="n">
        <v>9018</v>
      </c>
      <c r="E20" s="37" t="n">
        <v>52409416.6397001</v>
      </c>
      <c r="F20" s="37" t="n">
        <v>26361438.6194</v>
      </c>
      <c r="G20" s="38" t="n">
        <f aca="false">E20-F20</f>
        <v>26047978.0203001</v>
      </c>
      <c r="H20" s="39" t="n">
        <f aca="false">IF(E20&gt;0,G20/E20,"n/a")</f>
        <v>0.497009501162216</v>
      </c>
    </row>
    <row r="21" customFormat="false" ht="15" hidden="false" customHeight="false" outlineLevel="0" collapsed="false">
      <c r="A21" s="23" t="s">
        <v>440</v>
      </c>
      <c r="B21" s="23" t="s">
        <v>436</v>
      </c>
      <c r="C21" s="23" t="s">
        <v>110</v>
      </c>
      <c r="D21" s="37" t="n">
        <v>8974</v>
      </c>
      <c r="E21" s="37" t="n">
        <v>59761818.6225999</v>
      </c>
      <c r="F21" s="37" t="n">
        <v>27985295.6402</v>
      </c>
      <c r="G21" s="38" t="n">
        <f aca="false">E21-F21</f>
        <v>31776522.9823999</v>
      </c>
      <c r="H21" s="39" t="n">
        <f aca="false">IF(E21&gt;0,G21/E21,"n/a")</f>
        <v>0.531719477666349</v>
      </c>
    </row>
    <row r="22" customFormat="false" ht="15" hidden="false" customHeight="false" outlineLevel="0" collapsed="false">
      <c r="A22" s="23" t="s">
        <v>440</v>
      </c>
      <c r="B22" s="23" t="s">
        <v>436</v>
      </c>
      <c r="C22" s="23" t="s">
        <v>111</v>
      </c>
      <c r="D22" s="37" t="n">
        <v>8903</v>
      </c>
      <c r="E22" s="37" t="n">
        <v>59732806.4290999</v>
      </c>
      <c r="F22" s="37" t="n">
        <v>29970640.6171001</v>
      </c>
      <c r="G22" s="38" t="n">
        <f aca="false">E22-F22</f>
        <v>29762165.8119999</v>
      </c>
      <c r="H22" s="39" t="n">
        <f aca="false">IF(E22&gt;0,G22/E22,"n/a")</f>
        <v>0.498254938805298</v>
      </c>
    </row>
    <row r="23" customFormat="false" ht="15" hidden="false" customHeight="false" outlineLevel="0" collapsed="false">
      <c r="A23" s="23" t="s">
        <v>440</v>
      </c>
      <c r="B23" s="23" t="s">
        <v>436</v>
      </c>
      <c r="C23" s="23" t="s">
        <v>437</v>
      </c>
      <c r="D23" s="37" t="n">
        <v>26895</v>
      </c>
      <c r="E23" s="37" t="n">
        <v>171904041.6914</v>
      </c>
      <c r="F23" s="37" t="n">
        <v>84317374.8767001</v>
      </c>
      <c r="G23" s="38" t="n">
        <f aca="false">E23-F23</f>
        <v>87586666.8146998</v>
      </c>
      <c r="H23" s="39" t="n">
        <f aca="false">IF(E23&gt;0,G23/E23,"n/a")</f>
        <v>0.509509060711524</v>
      </c>
    </row>
    <row r="24" customFormat="false" ht="15" hidden="false" customHeight="false" outlineLevel="0" collapsed="false">
      <c r="A24" s="23" t="s">
        <v>440</v>
      </c>
      <c r="B24" s="23" t="s">
        <v>438</v>
      </c>
      <c r="C24" s="23" t="s">
        <v>109</v>
      </c>
      <c r="D24" s="37" t="n">
        <v>9018</v>
      </c>
      <c r="E24" s="37" t="n">
        <v>49370755.7338999</v>
      </c>
      <c r="F24" s="37" t="n">
        <v>26361438.6194</v>
      </c>
      <c r="G24" s="38" t="n">
        <f aca="false">E24-F24</f>
        <v>23009317.1144999</v>
      </c>
      <c r="H24" s="39" t="n">
        <f aca="false">IF(E24&gt;0,G24/E24,"n/a")</f>
        <v>0.466051547570311</v>
      </c>
    </row>
    <row r="25" customFormat="false" ht="15" hidden="false" customHeight="false" outlineLevel="0" collapsed="false">
      <c r="A25" s="23" t="s">
        <v>440</v>
      </c>
      <c r="B25" s="23" t="s">
        <v>438</v>
      </c>
      <c r="C25" s="23" t="s">
        <v>110</v>
      </c>
      <c r="D25" s="37" t="n">
        <v>8974</v>
      </c>
      <c r="E25" s="37" t="n">
        <v>56740717.7394</v>
      </c>
      <c r="F25" s="37" t="n">
        <v>27985295.6402</v>
      </c>
      <c r="G25" s="38" t="n">
        <f aca="false">E25-F25</f>
        <v>28755422.0992</v>
      </c>
      <c r="H25" s="39" t="n">
        <f aca="false">IF(E25&gt;0,G25/E25,"n/a")</f>
        <v>0.506786365150834</v>
      </c>
    </row>
    <row r="26" customFormat="false" ht="15" hidden="false" customHeight="false" outlineLevel="0" collapsed="false">
      <c r="A26" s="23" t="s">
        <v>440</v>
      </c>
      <c r="B26" s="23" t="s">
        <v>438</v>
      </c>
      <c r="C26" s="23" t="s">
        <v>111</v>
      </c>
      <c r="D26" s="37" t="n">
        <v>8903</v>
      </c>
      <c r="E26" s="37" t="n">
        <v>56207432.7914999</v>
      </c>
      <c r="F26" s="37" t="n">
        <v>29970640.6171001</v>
      </c>
      <c r="G26" s="38" t="n">
        <f aca="false">E26-F26</f>
        <v>26236792.1743998</v>
      </c>
      <c r="H26" s="39" t="n">
        <f aca="false">IF(E26&gt;0,G26/E26,"n/a")</f>
        <v>0.466785100677424</v>
      </c>
    </row>
    <row r="27" customFormat="false" ht="15" hidden="false" customHeight="false" outlineLevel="0" collapsed="false">
      <c r="A27" s="23" t="s">
        <v>440</v>
      </c>
      <c r="B27" s="23" t="s">
        <v>438</v>
      </c>
      <c r="C27" s="23" t="s">
        <v>437</v>
      </c>
      <c r="D27" s="37" t="n">
        <v>26895</v>
      </c>
      <c r="E27" s="37" t="n">
        <v>162318906.2648</v>
      </c>
      <c r="F27" s="37" t="n">
        <v>84317374.8767001</v>
      </c>
      <c r="G27" s="38" t="n">
        <f aca="false">E27-F27</f>
        <v>78001531.3880996</v>
      </c>
      <c r="H27" s="39" t="n">
        <f aca="false">IF(E27&gt;0,G27/E27,"n/a")</f>
        <v>0.480544954269538</v>
      </c>
    </row>
    <row r="28" customFormat="false" ht="15" hidden="false" customHeight="false" outlineLevel="0" collapsed="false">
      <c r="A28" s="23" t="s">
        <v>440</v>
      </c>
      <c r="B28" s="23" t="s">
        <v>439</v>
      </c>
      <c r="C28" s="23" t="s">
        <v>109</v>
      </c>
      <c r="D28" s="37" t="n">
        <v>9018</v>
      </c>
      <c r="E28" s="37" t="n">
        <v>50890086.1868</v>
      </c>
      <c r="F28" s="37" t="n">
        <v>26361438.6194</v>
      </c>
      <c r="G28" s="38" t="n">
        <f aca="false">E28-F28</f>
        <v>24528647.5674</v>
      </c>
      <c r="H28" s="39" t="n">
        <f aca="false">IF(E28&gt;0,G28/E28,"n/a")</f>
        <v>0.481992651326306</v>
      </c>
    </row>
    <row r="29" customFormat="false" ht="15" hidden="false" customHeight="false" outlineLevel="0" collapsed="false">
      <c r="A29" s="23" t="s">
        <v>440</v>
      </c>
      <c r="B29" s="23" t="s">
        <v>439</v>
      </c>
      <c r="C29" s="23" t="s">
        <v>110</v>
      </c>
      <c r="D29" s="37" t="n">
        <v>8974</v>
      </c>
      <c r="E29" s="37" t="n">
        <v>58251268.181</v>
      </c>
      <c r="F29" s="37" t="n">
        <v>27985295.6402</v>
      </c>
      <c r="G29" s="38" t="n">
        <f aca="false">E29-F29</f>
        <v>30265972.5407999</v>
      </c>
      <c r="H29" s="39" t="n">
        <f aca="false">IF(E29&gt;0,G29/E29,"n/a")</f>
        <v>0.519576199555977</v>
      </c>
    </row>
    <row r="30" customFormat="false" ht="15" hidden="false" customHeight="false" outlineLevel="0" collapsed="false">
      <c r="A30" s="23" t="s">
        <v>440</v>
      </c>
      <c r="B30" s="23" t="s">
        <v>439</v>
      </c>
      <c r="C30" s="23" t="s">
        <v>111</v>
      </c>
      <c r="D30" s="37" t="n">
        <v>8903</v>
      </c>
      <c r="E30" s="37" t="n">
        <v>57970119.6102999</v>
      </c>
      <c r="F30" s="37" t="n">
        <v>29970640.6171001</v>
      </c>
      <c r="G30" s="38" t="n">
        <f aca="false">E30-F30</f>
        <v>27999478.9931998</v>
      </c>
      <c r="H30" s="39" t="n">
        <f aca="false">IF(E30&gt;0,G30/E30,"n/a")</f>
        <v>0.48299846854594</v>
      </c>
    </row>
    <row r="31" customFormat="false" ht="15" hidden="false" customHeight="false" outlineLevel="0" collapsed="false">
      <c r="A31" s="23" t="s">
        <v>440</v>
      </c>
      <c r="B31" s="23" t="s">
        <v>439</v>
      </c>
      <c r="C31" s="23" t="s">
        <v>437</v>
      </c>
      <c r="D31" s="37" t="n">
        <v>26895</v>
      </c>
      <c r="E31" s="37" t="n">
        <v>167111473.9781</v>
      </c>
      <c r="F31" s="37" t="n">
        <v>84317374.8767001</v>
      </c>
      <c r="G31" s="38" t="n">
        <f aca="false">E31-F31</f>
        <v>82794099.1013998</v>
      </c>
      <c r="H31" s="39" t="n">
        <f aca="false">IF(E31&gt;0,G31/E31,"n/a")</f>
        <v>0.495442336366742</v>
      </c>
    </row>
    <row r="34" customFormat="false" ht="15" hidden="false" customHeight="false" outlineLevel="0" collapsed="false">
      <c r="A34" s="20" t="s">
        <v>441</v>
      </c>
      <c r="B34" s="21"/>
      <c r="C34" s="21"/>
      <c r="D34" s="21"/>
      <c r="E34" s="21"/>
      <c r="F34" s="21"/>
      <c r="G34" s="21"/>
      <c r="H34" s="21"/>
      <c r="I34" s="21"/>
      <c r="J34" s="21"/>
      <c r="K34" s="21"/>
    </row>
    <row r="35" customFormat="false" ht="13.5" hidden="false" customHeight="true" outlineLevel="0" collapsed="false">
      <c r="A35" s="26" t="s">
        <v>442</v>
      </c>
      <c r="B35" s="26"/>
      <c r="C35" s="26"/>
      <c r="D35" s="26"/>
      <c r="E35" s="26"/>
      <c r="F35" s="26"/>
      <c r="G35" s="26"/>
      <c r="H35" s="26"/>
      <c r="I35" s="26"/>
      <c r="J35" s="26"/>
      <c r="K35" s="26"/>
    </row>
    <row r="36" customFormat="false" ht="43.5" hidden="false" customHeight="true" outlineLevel="0" collapsed="false">
      <c r="A36" s="22" t="s">
        <v>432</v>
      </c>
      <c r="B36" s="22"/>
      <c r="C36" s="22" t="s">
        <v>443</v>
      </c>
      <c r="D36" s="22" t="s">
        <v>444</v>
      </c>
      <c r="E36" s="22" t="s">
        <v>445</v>
      </c>
      <c r="F36" s="22" t="s">
        <v>446</v>
      </c>
    </row>
    <row r="37" customFormat="false" ht="15" hidden="false" customHeight="false" outlineLevel="0" collapsed="false">
      <c r="A37" s="23" t="s">
        <v>436</v>
      </c>
      <c r="C37" s="56" t="n">
        <f aca="false">'Gross Profit'!$H$11</f>
        <v>0.54202578390938</v>
      </c>
      <c r="D37" s="56" t="n">
        <f aca="false">'Gross Profit'!$H$23</f>
        <v>0.509509060711524</v>
      </c>
      <c r="E37" s="33" t="n">
        <f aca="false">'Gross Profit'!$G$11</f>
        <v>109840984.25</v>
      </c>
      <c r="F37" s="33" t="n">
        <f aca="false">'Gross Profit'!$G$23</f>
        <v>87586666.8146998</v>
      </c>
    </row>
    <row r="38" customFormat="false" ht="15" hidden="false" customHeight="false" outlineLevel="0" collapsed="false">
      <c r="A38" s="23" t="s">
        <v>438</v>
      </c>
      <c r="C38" s="56" t="n">
        <f aca="false">'Gross Profit'!$H$15</f>
        <v>0.511023663541749</v>
      </c>
      <c r="D38" s="56" t="n">
        <f aca="false">'Gross Profit'!$H$27</f>
        <v>0.480544954269538</v>
      </c>
      <c r="E38" s="33" t="n">
        <f aca="false">'Gross Profit'!$G$15</f>
        <v>96992614.5259995</v>
      </c>
      <c r="F38" s="33" t="n">
        <f aca="false">'Gross Profit'!$G$27</f>
        <v>78001531.3880996</v>
      </c>
    </row>
    <row r="39" customFormat="false" ht="15" hidden="false" customHeight="false" outlineLevel="0" collapsed="false">
      <c r="A39" s="23" t="s">
        <v>439</v>
      </c>
      <c r="C39" s="56" t="n">
        <f aca="false">'Gross Profit'!$H$19</f>
        <v>0.54768060309035</v>
      </c>
      <c r="D39" s="56" t="n">
        <f aca="false">'Gross Profit'!$H$31</f>
        <v>0.495442336366742</v>
      </c>
      <c r="E39" s="33" t="n">
        <f aca="false">'Gross Profit'!$G$19</f>
        <v>112374467.1654</v>
      </c>
      <c r="F39" s="33" t="n">
        <f aca="false">'Gross Profit'!$G$31</f>
        <v>82794099.1013998</v>
      </c>
    </row>
    <row r="51" customFormat="false" ht="15" hidden="false" customHeight="false" outlineLevel="0" collapsed="false">
      <c r="A51" s="20" t="s">
        <v>447</v>
      </c>
      <c r="B51" s="21"/>
      <c r="C51" s="21"/>
      <c r="D51" s="21"/>
      <c r="E51" s="21"/>
      <c r="F51" s="21"/>
      <c r="G51" s="21"/>
      <c r="H51" s="21"/>
      <c r="I51" s="21"/>
      <c r="J51" s="21"/>
      <c r="K51" s="21"/>
    </row>
    <row r="52" customFormat="false" ht="13.5" hidden="false" customHeight="true" outlineLevel="0" collapsed="false">
      <c r="A52" s="26" t="s">
        <v>448</v>
      </c>
      <c r="B52" s="26"/>
      <c r="C52" s="26"/>
      <c r="D52" s="26"/>
      <c r="E52" s="26"/>
      <c r="F52" s="26"/>
      <c r="G52" s="26"/>
      <c r="H52" s="26"/>
      <c r="I52" s="26"/>
      <c r="J52" s="26"/>
      <c r="K52" s="26"/>
    </row>
    <row r="53" customFormat="false" ht="57.75" hidden="false" customHeight="true" outlineLevel="0" collapsed="false">
      <c r="A53" s="22" t="s">
        <v>432</v>
      </c>
      <c r="B53" s="22" t="s">
        <v>274</v>
      </c>
      <c r="C53" s="22" t="s">
        <v>449</v>
      </c>
      <c r="D53" s="22" t="s">
        <v>450</v>
      </c>
      <c r="E53" s="22" t="s">
        <v>451</v>
      </c>
      <c r="F53" s="22" t="s">
        <v>452</v>
      </c>
      <c r="G53" s="22" t="s">
        <v>453</v>
      </c>
      <c r="H53" s="22" t="s">
        <v>454</v>
      </c>
      <c r="I53" s="22" t="s">
        <v>332</v>
      </c>
      <c r="J53" s="22" t="s">
        <v>455</v>
      </c>
      <c r="K53" s="22" t="s">
        <v>456</v>
      </c>
      <c r="L53" s="22" t="s">
        <v>457</v>
      </c>
      <c r="M53" s="22" t="s">
        <v>458</v>
      </c>
      <c r="N53" s="22" t="s">
        <v>459</v>
      </c>
    </row>
    <row r="54" customFormat="false" ht="15" hidden="false" customHeight="false" outlineLevel="0" collapsed="false">
      <c r="A54" s="23" t="s">
        <v>436</v>
      </c>
      <c r="B54" s="37" t="n">
        <v>190396715.628601</v>
      </c>
      <c r="C54" s="37" t="n">
        <v>197419752.8901</v>
      </c>
      <c r="D54" s="37" t="n">
        <v>87801325.6996996</v>
      </c>
      <c r="E54" s="37" t="n">
        <v>82505583.9006001</v>
      </c>
      <c r="F54" s="38" t="n">
        <f aca="false">B54-D54</f>
        <v>102595389.928901</v>
      </c>
      <c r="G54" s="38" t="n">
        <f aca="false">C54-E54</f>
        <v>114914168.9895</v>
      </c>
      <c r="H54" s="38" t="n">
        <f aca="false">F54-G54</f>
        <v>-12318779.0605987</v>
      </c>
      <c r="I54" s="38" t="n">
        <f aca="false">B54-C54</f>
        <v>-7023037.26149914</v>
      </c>
      <c r="J54" s="38" t="n">
        <f aca="false">D54-E54</f>
        <v>5295741.79909955</v>
      </c>
      <c r="K54" s="47" t="n">
        <f aca="false">H54-(I54-J54)</f>
        <v>0</v>
      </c>
      <c r="L54" s="39" t="n">
        <f aca="false">IF(B54&gt;0,F54/B54,"n/a")</f>
        <v>0.538850628752598</v>
      </c>
      <c r="M54" s="39" t="n">
        <f aca="false">IF(C54&gt;0,G54/C54,"n/a")</f>
        <v>0.582080401313594</v>
      </c>
      <c r="N54" s="57" t="n">
        <f aca="false">(L54-M54)*100</f>
        <v>-4.32297725609955</v>
      </c>
    </row>
    <row r="55" customFormat="false" ht="15" hidden="false" customHeight="false" outlineLevel="0" collapsed="false">
      <c r="A55" s="23" t="s">
        <v>438</v>
      </c>
      <c r="B55" s="37" t="n">
        <v>179215364.211802</v>
      </c>
      <c r="C55" s="37" t="n">
        <v>186529880.9413</v>
      </c>
      <c r="D55" s="37" t="n">
        <v>87801325.6996996</v>
      </c>
      <c r="E55" s="37" t="n">
        <v>82505583.9006001</v>
      </c>
      <c r="F55" s="38" t="n">
        <f aca="false">B55-D55</f>
        <v>91414038.512102</v>
      </c>
      <c r="G55" s="38" t="n">
        <f aca="false">C55-E55</f>
        <v>104024297.040699</v>
      </c>
      <c r="H55" s="38" t="n">
        <f aca="false">F55-G55</f>
        <v>-12610258.5285975</v>
      </c>
      <c r="I55" s="38" t="n">
        <f aca="false">B55-C55</f>
        <v>-7314516.72949791</v>
      </c>
      <c r="J55" s="38" t="n">
        <f aca="false">D55-E55</f>
        <v>5295741.79909955</v>
      </c>
      <c r="K55" s="47" t="n">
        <f aca="false">H55-(I55-J55)</f>
        <v>0</v>
      </c>
      <c r="L55" s="39" t="n">
        <f aca="false">IF(B55&gt;0,F55/B55,"n/a")</f>
        <v>0.510079249701306</v>
      </c>
      <c r="M55" s="39" t="n">
        <f aca="false">IF(C55&gt;0,G55/C55,"n/a")</f>
        <v>0.557681678215597</v>
      </c>
      <c r="N55" s="57" t="n">
        <f aca="false">(L55-M55)*100</f>
        <v>-4.76024285142915</v>
      </c>
    </row>
    <row r="56" customFormat="false" ht="15" hidden="false" customHeight="false" outlineLevel="0" collapsed="false">
      <c r="A56" s="23" t="s">
        <v>439</v>
      </c>
      <c r="B56" s="37" t="n">
        <v>192875643.516901</v>
      </c>
      <c r="C56" s="37" t="n">
        <v>199838598.5472</v>
      </c>
      <c r="D56" s="37" t="n">
        <v>87801325.6996996</v>
      </c>
      <c r="E56" s="37" t="n">
        <v>82505583.9006001</v>
      </c>
      <c r="F56" s="38" t="n">
        <f aca="false">B56-D56</f>
        <v>105074317.817202</v>
      </c>
      <c r="G56" s="38" t="n">
        <f aca="false">C56-E56</f>
        <v>117333014.6466</v>
      </c>
      <c r="H56" s="38" t="n">
        <f aca="false">F56-G56</f>
        <v>-12258696.8293981</v>
      </c>
      <c r="I56" s="38" t="n">
        <f aca="false">B56-C56</f>
        <v>-6962955.03029856</v>
      </c>
      <c r="J56" s="38" t="n">
        <f aca="false">D56-E56</f>
        <v>5295741.79909955</v>
      </c>
      <c r="K56" s="47" t="n">
        <f aca="false">H56-(I56-J56)</f>
        <v>0</v>
      </c>
      <c r="L56" s="39" t="n">
        <f aca="false">IF(B56&gt;0,F56/B56,"n/a")</f>
        <v>0.544777535935968</v>
      </c>
      <c r="M56" s="39" t="n">
        <f aca="false">IF(C56&gt;0,G56/C56,"n/a")</f>
        <v>0.587138898589138</v>
      </c>
      <c r="N56" s="57" t="n">
        <f aca="false">(L56-M56)*100</f>
        <v>-4.23613626531696</v>
      </c>
    </row>
    <row r="59" customFormat="false" ht="15" hidden="false" customHeight="false" outlineLevel="0" collapsed="false">
      <c r="A59" s="20" t="s">
        <v>460</v>
      </c>
      <c r="B59" s="21"/>
      <c r="C59" s="21"/>
      <c r="D59" s="21"/>
      <c r="E59" s="21"/>
      <c r="F59" s="21"/>
      <c r="G59" s="21"/>
      <c r="H59" s="21"/>
      <c r="I59" s="21"/>
      <c r="J59" s="21"/>
      <c r="K59" s="21"/>
    </row>
    <row r="60" customFormat="false" ht="13.5" hidden="false" customHeight="true" outlineLevel="0" collapsed="false">
      <c r="A60" s="26" t="s">
        <v>461</v>
      </c>
      <c r="B60" s="26"/>
      <c r="C60" s="26"/>
      <c r="D60" s="26"/>
      <c r="E60" s="26"/>
      <c r="F60" s="26"/>
      <c r="G60" s="26"/>
      <c r="H60" s="26"/>
      <c r="I60" s="26"/>
      <c r="J60" s="26"/>
      <c r="K60" s="26"/>
    </row>
    <row r="61" customFormat="false" ht="31.5" hidden="false" customHeight="true" outlineLevel="0" collapsed="false">
      <c r="A61" s="22" t="s">
        <v>431</v>
      </c>
      <c r="B61" s="22" t="s">
        <v>432</v>
      </c>
      <c r="C61" s="22" t="s">
        <v>189</v>
      </c>
      <c r="D61" s="22" t="s">
        <v>68</v>
      </c>
      <c r="E61" s="22" t="s">
        <v>135</v>
      </c>
      <c r="F61" s="22" t="s">
        <v>434</v>
      </c>
      <c r="G61" s="22" t="s">
        <v>147</v>
      </c>
    </row>
    <row r="62" customFormat="false" ht="15" hidden="false" customHeight="false" outlineLevel="0" collapsed="false">
      <c r="A62" s="23" t="s">
        <v>435</v>
      </c>
      <c r="B62" s="23" t="s">
        <v>436</v>
      </c>
      <c r="C62" s="23" t="s">
        <v>201</v>
      </c>
      <c r="D62" s="37" t="n">
        <v>21148201.8375</v>
      </c>
      <c r="E62" s="37" t="n">
        <v>8731913.4712</v>
      </c>
      <c r="F62" s="38" t="n">
        <f aca="false">D62-E62</f>
        <v>12416288.3663</v>
      </c>
      <c r="G62" s="39" t="n">
        <f aca="false">IF(D62&gt;0,F62/D62,"n/a")</f>
        <v>0.587108467268523</v>
      </c>
    </row>
    <row r="63" customFormat="false" ht="15" hidden="false" customHeight="false" outlineLevel="0" collapsed="false">
      <c r="A63" s="23" t="s">
        <v>435</v>
      </c>
      <c r="B63" s="23" t="s">
        <v>436</v>
      </c>
      <c r="C63" s="23" t="s">
        <v>200</v>
      </c>
      <c r="D63" s="37" t="n">
        <v>29549094.2914</v>
      </c>
      <c r="E63" s="37" t="n">
        <v>15097025.4161</v>
      </c>
      <c r="F63" s="38" t="n">
        <f aca="false">D63-E63</f>
        <v>14452068.8753</v>
      </c>
      <c r="G63" s="39" t="n">
        <f aca="false">IF(D63&gt;0,F63/D63,"n/a")</f>
        <v>0.489086695273301</v>
      </c>
    </row>
    <row r="64" customFormat="false" ht="15" hidden="false" customHeight="false" outlineLevel="0" collapsed="false">
      <c r="A64" s="23" t="s">
        <v>435</v>
      </c>
      <c r="B64" s="23" t="s">
        <v>436</v>
      </c>
      <c r="C64" s="23" t="s">
        <v>202</v>
      </c>
      <c r="D64" s="37" t="n">
        <v>20503977.0544999</v>
      </c>
      <c r="E64" s="37" t="n">
        <v>9747172.43540001</v>
      </c>
      <c r="F64" s="38" t="n">
        <f aca="false">D64-E64</f>
        <v>10756804.6190999</v>
      </c>
      <c r="G64" s="39" t="n">
        <f aca="false">IF(D64&gt;0,F64/D64,"n/a")</f>
        <v>0.524620398789374</v>
      </c>
    </row>
    <row r="65" customFormat="false" ht="15" hidden="false" customHeight="false" outlineLevel="0" collapsed="false">
      <c r="A65" s="23" t="s">
        <v>435</v>
      </c>
      <c r="B65" s="23" t="s">
        <v>436</v>
      </c>
      <c r="C65" s="23" t="s">
        <v>197</v>
      </c>
      <c r="D65" s="37" t="n">
        <v>48348041.9253999</v>
      </c>
      <c r="E65" s="37" t="n">
        <v>21648388.3005</v>
      </c>
      <c r="F65" s="38" t="n">
        <f aca="false">D65-E65</f>
        <v>26699653.6249</v>
      </c>
      <c r="G65" s="39" t="n">
        <f aca="false">IF(D65&gt;0,F65/D65,"n/a")</f>
        <v>0.55223857185565</v>
      </c>
    </row>
    <row r="66" customFormat="false" ht="15" hidden="false" customHeight="false" outlineLevel="0" collapsed="false">
      <c r="A66" s="23" t="s">
        <v>435</v>
      </c>
      <c r="B66" s="23" t="s">
        <v>436</v>
      </c>
      <c r="C66" s="23" t="s">
        <v>199</v>
      </c>
      <c r="D66" s="37" t="n">
        <v>27763849.121</v>
      </c>
      <c r="E66" s="37" t="n">
        <v>13579996.3315</v>
      </c>
      <c r="F66" s="38" t="n">
        <f aca="false">D66-E66</f>
        <v>14183852.7895</v>
      </c>
      <c r="G66" s="39" t="n">
        <f aca="false">IF(D66&gt;0,F66/D66,"n/a")</f>
        <v>0.510874869247565</v>
      </c>
    </row>
    <row r="67" customFormat="false" ht="15" hidden="false" customHeight="false" outlineLevel="0" collapsed="false">
      <c r="A67" s="23" t="s">
        <v>435</v>
      </c>
      <c r="B67" s="23" t="s">
        <v>436</v>
      </c>
      <c r="C67" s="23" t="s">
        <v>195</v>
      </c>
      <c r="D67" s="37" t="n">
        <v>55335837.9223999</v>
      </c>
      <c r="E67" s="37" t="n">
        <v>24003521.9475</v>
      </c>
      <c r="F67" s="38" t="n">
        <f aca="false">D67-E67</f>
        <v>31332315.9748999</v>
      </c>
      <c r="G67" s="39" t="n">
        <f aca="false">IF(D67&gt;0,F67/D67,"n/a")</f>
        <v>0.566221045009542</v>
      </c>
    </row>
    <row r="68" customFormat="false" ht="15" hidden="false" customHeight="false" outlineLevel="0" collapsed="false">
      <c r="A68" s="23" t="s">
        <v>435</v>
      </c>
      <c r="B68" s="23" t="s">
        <v>438</v>
      </c>
      <c r="C68" s="23" t="s">
        <v>201</v>
      </c>
      <c r="D68" s="37" t="n">
        <v>19684735.9951</v>
      </c>
      <c r="E68" s="37" t="n">
        <v>8731913.4712</v>
      </c>
      <c r="F68" s="38" t="n">
        <f aca="false">D68-E68</f>
        <v>10952822.5239</v>
      </c>
      <c r="G68" s="39" t="n">
        <f aca="false">IF(D68&gt;0,F68/D68,"n/a")</f>
        <v>0.556411959328609</v>
      </c>
    </row>
    <row r="69" customFormat="false" ht="15" hidden="false" customHeight="false" outlineLevel="0" collapsed="false">
      <c r="A69" s="23" t="s">
        <v>435</v>
      </c>
      <c r="B69" s="23" t="s">
        <v>438</v>
      </c>
      <c r="C69" s="23" t="s">
        <v>200</v>
      </c>
      <c r="D69" s="37" t="n">
        <v>27548161.581</v>
      </c>
      <c r="E69" s="37" t="n">
        <v>15097025.4161</v>
      </c>
      <c r="F69" s="38" t="n">
        <f aca="false">D69-E69</f>
        <v>12451136.1649</v>
      </c>
      <c r="G69" s="39" t="n">
        <f aca="false">IF(D69&gt;0,F69/D69,"n/a")</f>
        <v>0.451977026789605</v>
      </c>
    </row>
    <row r="70" customFormat="false" ht="15" hidden="false" customHeight="false" outlineLevel="0" collapsed="false">
      <c r="A70" s="23" t="s">
        <v>435</v>
      </c>
      <c r="B70" s="23" t="s">
        <v>438</v>
      </c>
      <c r="C70" s="23" t="s">
        <v>202</v>
      </c>
      <c r="D70" s="37" t="n">
        <v>19180799.6179</v>
      </c>
      <c r="E70" s="37" t="n">
        <v>9747172.43540001</v>
      </c>
      <c r="F70" s="38" t="n">
        <f aca="false">D70-E70</f>
        <v>9433627.18249997</v>
      </c>
      <c r="G70" s="39" t="n">
        <f aca="false">IF(D70&gt;0,F70/D70,"n/a")</f>
        <v>0.491826585461864</v>
      </c>
    </row>
    <row r="71" customFormat="false" ht="15" hidden="false" customHeight="false" outlineLevel="0" collapsed="false">
      <c r="A71" s="23" t="s">
        <v>435</v>
      </c>
      <c r="B71" s="23" t="s">
        <v>438</v>
      </c>
      <c r="C71" s="23" t="s">
        <v>197</v>
      </c>
      <c r="D71" s="37" t="n">
        <v>45474863.7109999</v>
      </c>
      <c r="E71" s="37" t="n">
        <v>21648388.3005</v>
      </c>
      <c r="F71" s="38" t="n">
        <f aca="false">D71-E71</f>
        <v>23826475.4105</v>
      </c>
      <c r="G71" s="39" t="n">
        <f aca="false">IF(D71&gt;0,F71/D71,"n/a")</f>
        <v>0.523948253301451</v>
      </c>
    </row>
    <row r="72" customFormat="false" ht="15" hidden="false" customHeight="false" outlineLevel="0" collapsed="false">
      <c r="A72" s="23" t="s">
        <v>435</v>
      </c>
      <c r="B72" s="23" t="s">
        <v>438</v>
      </c>
      <c r="C72" s="23" t="s">
        <v>199</v>
      </c>
      <c r="D72" s="37" t="n">
        <v>26010274.2256</v>
      </c>
      <c r="E72" s="37" t="n">
        <v>13579996.3315</v>
      </c>
      <c r="F72" s="38" t="n">
        <f aca="false">D72-E72</f>
        <v>12430277.8941</v>
      </c>
      <c r="G72" s="39" t="n">
        <f aca="false">IF(D72&gt;0,F72/D72,"n/a")</f>
        <v>0.477898763630326</v>
      </c>
    </row>
    <row r="73" customFormat="false" ht="15" hidden="false" customHeight="false" outlineLevel="0" collapsed="false">
      <c r="A73" s="23" t="s">
        <v>435</v>
      </c>
      <c r="B73" s="23" t="s">
        <v>438</v>
      </c>
      <c r="C73" s="23" t="s">
        <v>195</v>
      </c>
      <c r="D73" s="37" t="n">
        <v>51901797.2975998</v>
      </c>
      <c r="E73" s="37" t="n">
        <v>24003521.9475</v>
      </c>
      <c r="F73" s="38" t="n">
        <f aca="false">D73-E73</f>
        <v>27898275.3500998</v>
      </c>
      <c r="G73" s="39" t="n">
        <f aca="false">IF(D73&gt;0,F73/D73,"n/a")</f>
        <v>0.5375204097487</v>
      </c>
    </row>
    <row r="74" customFormat="false" ht="15" hidden="false" customHeight="false" outlineLevel="0" collapsed="false">
      <c r="A74" s="23" t="s">
        <v>435</v>
      </c>
      <c r="B74" s="23" t="s">
        <v>439</v>
      </c>
      <c r="C74" s="23" t="s">
        <v>201</v>
      </c>
      <c r="D74" s="37" t="n">
        <v>21349769.9825</v>
      </c>
      <c r="E74" s="37" t="n">
        <v>8731913.4712</v>
      </c>
      <c r="F74" s="38" t="n">
        <f aca="false">D74-E74</f>
        <v>12617856.5113</v>
      </c>
      <c r="G74" s="39" t="n">
        <f aca="false">IF(D74&gt;0,F74/D74,"n/a")</f>
        <v>0.591006672279964</v>
      </c>
    </row>
    <row r="75" customFormat="false" ht="15" hidden="false" customHeight="false" outlineLevel="0" collapsed="false">
      <c r="A75" s="23" t="s">
        <v>435</v>
      </c>
      <c r="B75" s="23" t="s">
        <v>439</v>
      </c>
      <c r="C75" s="23" t="s">
        <v>200</v>
      </c>
      <c r="D75" s="37" t="n">
        <v>29897636.144</v>
      </c>
      <c r="E75" s="37" t="n">
        <v>15097025.4161</v>
      </c>
      <c r="F75" s="38" t="n">
        <f aca="false">D75-E75</f>
        <v>14800610.7279</v>
      </c>
      <c r="G75" s="39" t="n">
        <f aca="false">IF(D75&gt;0,F75/D75,"n/a")</f>
        <v>0.495042840732084</v>
      </c>
    </row>
    <row r="76" customFormat="false" ht="15" hidden="false" customHeight="false" outlineLevel="0" collapsed="false">
      <c r="A76" s="23" t="s">
        <v>435</v>
      </c>
      <c r="B76" s="23" t="s">
        <v>439</v>
      </c>
      <c r="C76" s="23" t="s">
        <v>202</v>
      </c>
      <c r="D76" s="37" t="n">
        <v>20763974.8582</v>
      </c>
      <c r="E76" s="37" t="n">
        <v>9747172.43540001</v>
      </c>
      <c r="F76" s="38" t="n">
        <f aca="false">D76-E76</f>
        <v>11016802.4227999</v>
      </c>
      <c r="G76" s="39" t="n">
        <f aca="false">IF(D76&gt;0,F76/D76,"n/a")</f>
        <v>0.530572903215073</v>
      </c>
    </row>
    <row r="77" customFormat="false" ht="15" hidden="false" customHeight="false" outlineLevel="0" collapsed="false">
      <c r="A77" s="23" t="s">
        <v>435</v>
      </c>
      <c r="B77" s="23" t="s">
        <v>439</v>
      </c>
      <c r="C77" s="23" t="s">
        <v>197</v>
      </c>
      <c r="D77" s="37" t="n">
        <v>48982128.9669999</v>
      </c>
      <c r="E77" s="37" t="n">
        <v>21648388.3005</v>
      </c>
      <c r="F77" s="38" t="n">
        <f aca="false">D77-E77</f>
        <v>27333740.6664999</v>
      </c>
      <c r="G77" s="39" t="n">
        <f aca="false">IF(D77&gt;0,F77/D77,"n/a")</f>
        <v>0.558034965873271</v>
      </c>
    </row>
    <row r="78" customFormat="false" ht="15" hidden="false" customHeight="false" outlineLevel="0" collapsed="false">
      <c r="A78" s="23" t="s">
        <v>435</v>
      </c>
      <c r="B78" s="23" t="s">
        <v>439</v>
      </c>
      <c r="C78" s="23" t="s">
        <v>199</v>
      </c>
      <c r="D78" s="37" t="n">
        <v>28199496.6314</v>
      </c>
      <c r="E78" s="37" t="n">
        <v>13579996.3315</v>
      </c>
      <c r="F78" s="38" t="n">
        <f aca="false">D78-E78</f>
        <v>14619500.2999</v>
      </c>
      <c r="G78" s="39" t="n">
        <f aca="false">IF(D78&gt;0,F78/D78,"n/a")</f>
        <v>0.518431250422437</v>
      </c>
    </row>
    <row r="79" customFormat="false" ht="15" hidden="false" customHeight="false" outlineLevel="0" collapsed="false">
      <c r="A79" s="23" t="s">
        <v>435</v>
      </c>
      <c r="B79" s="23" t="s">
        <v>439</v>
      </c>
      <c r="C79" s="23" t="s">
        <v>195</v>
      </c>
      <c r="D79" s="37" t="n">
        <v>55989478.4844998</v>
      </c>
      <c r="E79" s="37" t="n">
        <v>24003521.9475</v>
      </c>
      <c r="F79" s="38" t="n">
        <f aca="false">D79-E79</f>
        <v>31985956.5369998</v>
      </c>
      <c r="G79" s="39" t="n">
        <f aca="false">IF(D79&gt;0,F79/D79,"n/a")</f>
        <v>0.571285130756395</v>
      </c>
    </row>
    <row r="80" customFormat="false" ht="15" hidden="false" customHeight="false" outlineLevel="0" collapsed="false">
      <c r="A80" s="23" t="s">
        <v>440</v>
      </c>
      <c r="B80" s="23" t="s">
        <v>436</v>
      </c>
      <c r="C80" s="23" t="s">
        <v>201</v>
      </c>
      <c r="D80" s="37" t="n">
        <v>17663431.0785</v>
      </c>
      <c r="E80" s="37" t="n">
        <v>8317859.9278</v>
      </c>
      <c r="F80" s="38" t="n">
        <f aca="false">D80-E80</f>
        <v>9345571.15070002</v>
      </c>
      <c r="G80" s="39" t="n">
        <f aca="false">IF(D80&gt;0,F80/D80,"n/a")</f>
        <v>0.529091494691282</v>
      </c>
    </row>
    <row r="81" customFormat="false" ht="15" hidden="false" customHeight="false" outlineLevel="0" collapsed="false">
      <c r="A81" s="23" t="s">
        <v>440</v>
      </c>
      <c r="B81" s="23" t="s">
        <v>436</v>
      </c>
      <c r="C81" s="23" t="s">
        <v>200</v>
      </c>
      <c r="D81" s="37" t="n">
        <v>25164169.2697</v>
      </c>
      <c r="E81" s="37" t="n">
        <v>13748658.0808</v>
      </c>
      <c r="F81" s="38" t="n">
        <f aca="false">D81-E81</f>
        <v>11415511.1889</v>
      </c>
      <c r="G81" s="39" t="n">
        <f aca="false">IF(D81&gt;0,F81/D81,"n/a")</f>
        <v>0.45364148788513</v>
      </c>
    </row>
    <row r="82" customFormat="false" ht="15" hidden="false" customHeight="false" outlineLevel="0" collapsed="false">
      <c r="A82" s="23" t="s">
        <v>440</v>
      </c>
      <c r="B82" s="23" t="s">
        <v>436</v>
      </c>
      <c r="C82" s="23" t="s">
        <v>202</v>
      </c>
      <c r="D82" s="37" t="n">
        <v>17368610.6856</v>
      </c>
      <c r="E82" s="37" t="n">
        <v>8368675.0195</v>
      </c>
      <c r="F82" s="38" t="n">
        <f aca="false">D82-E82</f>
        <v>8999935.66610001</v>
      </c>
      <c r="G82" s="39" t="n">
        <f aca="false">IF(D82&gt;0,F82/D82,"n/a")</f>
        <v>0.51817245656624</v>
      </c>
    </row>
    <row r="83" customFormat="false" ht="15" hidden="false" customHeight="false" outlineLevel="0" collapsed="false">
      <c r="A83" s="23" t="s">
        <v>440</v>
      </c>
      <c r="B83" s="23" t="s">
        <v>436</v>
      </c>
      <c r="C83" s="23" t="s">
        <v>197</v>
      </c>
      <c r="D83" s="37" t="n">
        <v>40156947.3399999</v>
      </c>
      <c r="E83" s="37" t="n">
        <v>18924552.9259</v>
      </c>
      <c r="F83" s="38" t="n">
        <f aca="false">D83-E83</f>
        <v>21232394.4140999</v>
      </c>
      <c r="G83" s="39" t="n">
        <f aca="false">IF(D83&gt;0,F83/D83,"n/a")</f>
        <v>0.528735270495787</v>
      </c>
    </row>
    <row r="84" customFormat="false" ht="15" hidden="false" customHeight="false" outlineLevel="0" collapsed="false">
      <c r="A84" s="23" t="s">
        <v>440</v>
      </c>
      <c r="B84" s="23" t="s">
        <v>436</v>
      </c>
      <c r="C84" s="23" t="s">
        <v>199</v>
      </c>
      <c r="D84" s="37" t="n">
        <v>24209550.4773</v>
      </c>
      <c r="E84" s="37" t="n">
        <v>12372515.2631</v>
      </c>
      <c r="F84" s="38" t="n">
        <f aca="false">D84-E84</f>
        <v>11837035.2142</v>
      </c>
      <c r="G84" s="39" t="n">
        <f aca="false">IF(D84&gt;0,F84/D84,"n/a")</f>
        <v>0.488940727143981</v>
      </c>
    </row>
    <row r="85" customFormat="false" ht="15" hidden="false" customHeight="false" outlineLevel="0" collapsed="false">
      <c r="A85" s="23" t="s">
        <v>440</v>
      </c>
      <c r="B85" s="23" t="s">
        <v>436</v>
      </c>
      <c r="C85" s="23" t="s">
        <v>195</v>
      </c>
      <c r="D85" s="37" t="n">
        <v>47341332.8403</v>
      </c>
      <c r="E85" s="37" t="n">
        <v>22585113.6596</v>
      </c>
      <c r="F85" s="38" t="n">
        <f aca="false">D85-E85</f>
        <v>24756219.1807</v>
      </c>
      <c r="G85" s="39" t="n">
        <f aca="false">IF(D85&gt;0,F85/D85,"n/a")</f>
        <v>0.522930337939829</v>
      </c>
    </row>
    <row r="86" customFormat="false" ht="15" hidden="false" customHeight="false" outlineLevel="0" collapsed="false">
      <c r="A86" s="23" t="s">
        <v>440</v>
      </c>
      <c r="B86" s="23" t="s">
        <v>438</v>
      </c>
      <c r="C86" s="23" t="s">
        <v>201</v>
      </c>
      <c r="D86" s="37" t="n">
        <v>16591380.2221</v>
      </c>
      <c r="E86" s="37" t="n">
        <v>8317859.9278</v>
      </c>
      <c r="F86" s="38" t="n">
        <f aca="false">D86-E86</f>
        <v>8273520.29430001</v>
      </c>
      <c r="G86" s="39" t="n">
        <f aca="false">IF(D86&gt;0,F86/D86,"n/a")</f>
        <v>0.498663775017315</v>
      </c>
    </row>
    <row r="87" customFormat="false" ht="15" hidden="false" customHeight="false" outlineLevel="0" collapsed="false">
      <c r="A87" s="23" t="s">
        <v>440</v>
      </c>
      <c r="B87" s="23" t="s">
        <v>438</v>
      </c>
      <c r="C87" s="23" t="s">
        <v>200</v>
      </c>
      <c r="D87" s="37" t="n">
        <v>23668699.8993</v>
      </c>
      <c r="E87" s="37" t="n">
        <v>13748658.0808</v>
      </c>
      <c r="F87" s="38" t="n">
        <f aca="false">D87-E87</f>
        <v>9920041.81849995</v>
      </c>
      <c r="G87" s="39" t="n">
        <f aca="false">IF(D87&gt;0,F87/D87,"n/a")</f>
        <v>0.419120689379029</v>
      </c>
    </row>
    <row r="88" customFormat="false" ht="15" hidden="false" customHeight="false" outlineLevel="0" collapsed="false">
      <c r="A88" s="23" t="s">
        <v>440</v>
      </c>
      <c r="B88" s="23" t="s">
        <v>438</v>
      </c>
      <c r="C88" s="23" t="s">
        <v>202</v>
      </c>
      <c r="D88" s="37" t="n">
        <v>16339790.541</v>
      </c>
      <c r="E88" s="37" t="n">
        <v>8368675.0195</v>
      </c>
      <c r="F88" s="38" t="n">
        <f aca="false">D88-E88</f>
        <v>7971115.52150001</v>
      </c>
      <c r="G88" s="39" t="n">
        <f aca="false">IF(D88&gt;0,F88/D88,"n/a")</f>
        <v>0.487834620737566</v>
      </c>
    </row>
    <row r="89" customFormat="false" ht="15" hidden="false" customHeight="false" outlineLevel="0" collapsed="false">
      <c r="A89" s="23" t="s">
        <v>440</v>
      </c>
      <c r="B89" s="23" t="s">
        <v>438</v>
      </c>
      <c r="C89" s="23" t="s">
        <v>197</v>
      </c>
      <c r="D89" s="37" t="n">
        <v>37950728.529</v>
      </c>
      <c r="E89" s="37" t="n">
        <v>18924552.9259</v>
      </c>
      <c r="F89" s="38" t="n">
        <f aca="false">D89-E89</f>
        <v>19026175.6031</v>
      </c>
      <c r="G89" s="39" t="n">
        <f aca="false">IF(D89&gt;0,F89/D89,"n/a")</f>
        <v>0.501338876500386</v>
      </c>
    </row>
    <row r="90" customFormat="false" ht="15" hidden="false" customHeight="false" outlineLevel="0" collapsed="false">
      <c r="A90" s="23" t="s">
        <v>440</v>
      </c>
      <c r="B90" s="23" t="s">
        <v>438</v>
      </c>
      <c r="C90" s="23" t="s">
        <v>199</v>
      </c>
      <c r="D90" s="37" t="n">
        <v>22885592.0145</v>
      </c>
      <c r="E90" s="37" t="n">
        <v>12372515.2631</v>
      </c>
      <c r="F90" s="38" t="n">
        <f aca="false">D90-E90</f>
        <v>10513076.7514</v>
      </c>
      <c r="G90" s="39" t="n">
        <f aca="false">IF(D90&gt;0,F90/D90,"n/a")</f>
        <v>0.459375346057863</v>
      </c>
    </row>
    <row r="91" customFormat="false" ht="15" hidden="false" customHeight="false" outlineLevel="0" collapsed="false">
      <c r="A91" s="23" t="s">
        <v>440</v>
      </c>
      <c r="B91" s="23" t="s">
        <v>438</v>
      </c>
      <c r="C91" s="23" t="s">
        <v>195</v>
      </c>
      <c r="D91" s="37" t="n">
        <v>44882715.0589</v>
      </c>
      <c r="E91" s="37" t="n">
        <v>22585113.6596</v>
      </c>
      <c r="F91" s="38" t="n">
        <f aca="false">D91-E91</f>
        <v>22297601.3992999</v>
      </c>
      <c r="G91" s="39" t="n">
        <f aca="false">IF(D91&gt;0,F91/D91,"n/a")</f>
        <v>0.496797071434708</v>
      </c>
    </row>
    <row r="92" customFormat="false" ht="15" hidden="false" customHeight="false" outlineLevel="0" collapsed="false">
      <c r="A92" s="23" t="s">
        <v>440</v>
      </c>
      <c r="B92" s="23" t="s">
        <v>439</v>
      </c>
      <c r="C92" s="23" t="s">
        <v>201</v>
      </c>
      <c r="D92" s="37" t="n">
        <v>17127405.6503</v>
      </c>
      <c r="E92" s="37" t="n">
        <v>8317859.9278</v>
      </c>
      <c r="F92" s="38" t="n">
        <f aca="false">D92-E92</f>
        <v>8809545.72250003</v>
      </c>
      <c r="G92" s="39" t="n">
        <f aca="false">IF(D92&gt;0,F92/D92,"n/a")</f>
        <v>0.514353773266631</v>
      </c>
    </row>
    <row r="93" customFormat="false" ht="15" hidden="false" customHeight="false" outlineLevel="0" collapsed="false">
      <c r="A93" s="23" t="s">
        <v>440</v>
      </c>
      <c r="B93" s="23" t="s">
        <v>439</v>
      </c>
      <c r="C93" s="23" t="s">
        <v>200</v>
      </c>
      <c r="D93" s="37" t="n">
        <v>24416434.5845</v>
      </c>
      <c r="E93" s="37" t="n">
        <v>13748658.0808</v>
      </c>
      <c r="F93" s="38" t="n">
        <f aca="false">D93-E93</f>
        <v>10667776.5037</v>
      </c>
      <c r="G93" s="39" t="n">
        <f aca="false">IF(D93&gt;0,F93/D93,"n/a")</f>
        <v>0.436909675193612</v>
      </c>
    </row>
    <row r="94" customFormat="false" ht="15" hidden="false" customHeight="false" outlineLevel="0" collapsed="false">
      <c r="A94" s="23" t="s">
        <v>440</v>
      </c>
      <c r="B94" s="23" t="s">
        <v>439</v>
      </c>
      <c r="C94" s="23" t="s">
        <v>202</v>
      </c>
      <c r="D94" s="37" t="n">
        <v>16854200.6133</v>
      </c>
      <c r="E94" s="37" t="n">
        <v>8368675.0195</v>
      </c>
      <c r="F94" s="38" t="n">
        <f aca="false">D94-E94</f>
        <v>8485525.59380001</v>
      </c>
      <c r="G94" s="39" t="n">
        <f aca="false">IF(D94&gt;0,F94/D94,"n/a")</f>
        <v>0.503466511909435</v>
      </c>
    </row>
    <row r="95" customFormat="false" ht="15" hidden="false" customHeight="false" outlineLevel="0" collapsed="false">
      <c r="A95" s="23" t="s">
        <v>440</v>
      </c>
      <c r="B95" s="23" t="s">
        <v>439</v>
      </c>
      <c r="C95" s="23" t="s">
        <v>197</v>
      </c>
      <c r="D95" s="37" t="n">
        <v>39053837.9344999</v>
      </c>
      <c r="E95" s="37" t="n">
        <v>18924552.9259</v>
      </c>
      <c r="F95" s="38" t="n">
        <f aca="false">D95-E95</f>
        <v>20129285.0086</v>
      </c>
      <c r="G95" s="39" t="n">
        <f aca="false">IF(D95&gt;0,F95/D95,"n/a")</f>
        <v>0.51542399091122</v>
      </c>
    </row>
    <row r="96" customFormat="false" ht="15" hidden="false" customHeight="false" outlineLevel="0" collapsed="false">
      <c r="A96" s="23" t="s">
        <v>440</v>
      </c>
      <c r="B96" s="23" t="s">
        <v>439</v>
      </c>
      <c r="C96" s="23" t="s">
        <v>199</v>
      </c>
      <c r="D96" s="37" t="n">
        <v>23547571.2459</v>
      </c>
      <c r="E96" s="37" t="n">
        <v>12372515.2631</v>
      </c>
      <c r="F96" s="38" t="n">
        <f aca="false">D96-E96</f>
        <v>11175055.9828</v>
      </c>
      <c r="G96" s="39" t="n">
        <f aca="false">IF(D96&gt;0,F96/D96,"n/a")</f>
        <v>0.474573613817847</v>
      </c>
    </row>
    <row r="97" customFormat="false" ht="15" hidden="false" customHeight="false" outlineLevel="0" collapsed="false">
      <c r="A97" s="23" t="s">
        <v>440</v>
      </c>
      <c r="B97" s="23" t="s">
        <v>439</v>
      </c>
      <c r="C97" s="23" t="s">
        <v>195</v>
      </c>
      <c r="D97" s="37" t="n">
        <v>46112023.9496</v>
      </c>
      <c r="E97" s="37" t="n">
        <v>22585113.6596</v>
      </c>
      <c r="F97" s="38" t="n">
        <f aca="false">D97-E97</f>
        <v>23526910.29</v>
      </c>
      <c r="G97" s="39" t="n">
        <f aca="false">IF(D97&gt;0,F97/D97,"n/a")</f>
        <v>0.510212050455965</v>
      </c>
    </row>
  </sheetData>
  <mergeCells count="5">
    <mergeCell ref="A3:K3"/>
    <mergeCell ref="A6:K6"/>
    <mergeCell ref="A35:K35"/>
    <mergeCell ref="A52:K52"/>
    <mergeCell ref="A60:K60"/>
  </mergeCells>
  <conditionalFormatting sqref="C37:D39">
    <cfRule type="dataBar" priority="2">
      <dataBar showValue="1" minLength="10" maxLength="90">
        <cfvo type="num" val="0.3"/>
        <cfvo type="num" val="0.6"/>
        <color rgb="FF9DC3E6"/>
      </dataBar>
      <extLst>
        <ext xmlns:x14="http://schemas.microsoft.com/office/spreadsheetml/2009/9/main" uri="{B025F937-C7B1-47D3-B67F-A62EFF666E3E}">
          <x14:id>{5F71C559-E0CB-42EF-AF7F-86912DCBB8B1}</x14:id>
        </ext>
      </extLst>
    </cfRule>
  </conditionalFormatting>
  <hyperlinks>
    <hyperlink ref="K1" location="'Start Here'!A1" display="Back to Start Here"/>
  </hyperlink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5F71C559-E0CB-42EF-AF7F-86912DCBB8B1}">
            <x14:dataBar minLength="10" maxLength="90" axisPosition="automatic" gradient="false">
              <x14:cfvo type="num">
                <xm:f>0.3</xm:f>
              </x14:cfvo>
              <x14:cfvo type="num">
                <xm:f>0.6</xm:f>
              </x14:cfvo>
              <x14:negativeFillColor rgb="FFFF0000"/>
              <x14:axisColor rgb="FF000000"/>
            </x14:dataBar>
          </x14:cfRule>
          <xm:sqref>C37:D39</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DC3E6"/>
    <pageSetUpPr fitToPage="true"/>
  </sheetPr>
  <dimension ref="A1:D1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71"/>
    <col collapsed="false" customWidth="true" hidden="false" outlineLevel="0" max="2" min="2" style="0" width="110.71"/>
    <col collapsed="false" customWidth="true" hidden="false" outlineLevel="0" max="4" min="3" style="0" width="14.71"/>
  </cols>
  <sheetData>
    <row r="1" customFormat="false" ht="19.7" hidden="false" customHeight="false" outlineLevel="0" collapsed="false">
      <c r="A1" s="19" t="s">
        <v>462</v>
      </c>
      <c r="D1" s="5" t="s">
        <v>61</v>
      </c>
    </row>
    <row r="2" customFormat="false" ht="15" hidden="false" customHeight="false" outlineLevel="0" collapsed="false">
      <c r="A2" s="2" t="s">
        <v>463</v>
      </c>
    </row>
    <row r="3" customFormat="false" ht="33.75" hidden="false" customHeight="true" outlineLevel="0" collapsed="false">
      <c r="A3" s="3" t="s">
        <v>464</v>
      </c>
      <c r="B3" s="3"/>
      <c r="C3" s="3"/>
      <c r="D3" s="3"/>
    </row>
    <row r="5" customFormat="false" ht="15" hidden="false" customHeight="false" outlineLevel="0" collapsed="false">
      <c r="A5" s="20" t="s">
        <v>465</v>
      </c>
      <c r="B5" s="21"/>
      <c r="C5" s="21"/>
      <c r="D5" s="21"/>
    </row>
    <row r="6" customFormat="false" ht="42" hidden="false" customHeight="true" outlineLevel="0" collapsed="false">
      <c r="A6" s="26" t="s">
        <v>466</v>
      </c>
      <c r="B6" s="26"/>
      <c r="C6" s="26"/>
      <c r="D6" s="26"/>
    </row>
    <row r="7" customFormat="false" ht="24" hidden="false" customHeight="true" outlineLevel="0" collapsed="false">
      <c r="A7" s="22" t="s">
        <v>467</v>
      </c>
      <c r="B7" s="22" t="s">
        <v>468</v>
      </c>
      <c r="C7" s="22" t="s">
        <v>114</v>
      </c>
      <c r="D7" s="22" t="s">
        <v>469</v>
      </c>
    </row>
    <row r="8" customFormat="false" ht="27.75" hidden="false" customHeight="true" outlineLevel="0" collapsed="false">
      <c r="A8" s="58" t="s">
        <v>470</v>
      </c>
      <c r="B8" s="6" t="s">
        <v>471</v>
      </c>
      <c r="C8" s="34" t="n">
        <v>11</v>
      </c>
      <c r="D8" s="34" t="n">
        <v>2</v>
      </c>
    </row>
    <row r="9" customFormat="false" ht="27.75" hidden="false" customHeight="true" outlineLevel="0" collapsed="false">
      <c r="A9" s="58" t="s">
        <v>472</v>
      </c>
      <c r="B9" s="6" t="s">
        <v>473</v>
      </c>
      <c r="C9" s="34" t="n">
        <v>11</v>
      </c>
      <c r="D9" s="34" t="n">
        <v>2</v>
      </c>
    </row>
    <row r="10" customFormat="false" ht="27.75" hidden="false" customHeight="true" outlineLevel="0" collapsed="false">
      <c r="A10" s="58" t="s">
        <v>474</v>
      </c>
      <c r="B10" s="6" t="s">
        <v>475</v>
      </c>
      <c r="C10" s="34" t="n">
        <v>10</v>
      </c>
      <c r="D10" s="34" t="n">
        <v>2</v>
      </c>
    </row>
    <row r="11" customFormat="false" ht="27.75" hidden="false" customHeight="true" outlineLevel="0" collapsed="false">
      <c r="A11" s="58" t="s">
        <v>476</v>
      </c>
      <c r="B11" s="6" t="s">
        <v>477</v>
      </c>
      <c r="C11" s="34" t="n">
        <v>10</v>
      </c>
      <c r="D11" s="34" t="n">
        <v>2</v>
      </c>
    </row>
    <row r="12" customFormat="false" ht="27.75" hidden="false" customHeight="true" outlineLevel="0" collapsed="false">
      <c r="A12" s="58" t="s">
        <v>478</v>
      </c>
      <c r="B12" s="6" t="s">
        <v>479</v>
      </c>
      <c r="C12" s="34" t="n">
        <v>10</v>
      </c>
      <c r="D12" s="34" t="n">
        <v>2</v>
      </c>
    </row>
    <row r="13" customFormat="false" ht="27.75" hidden="false" customHeight="true" outlineLevel="0" collapsed="false">
      <c r="A13" s="58" t="s">
        <v>480</v>
      </c>
      <c r="B13" s="6" t="s">
        <v>481</v>
      </c>
      <c r="C13" s="34" t="n">
        <v>10</v>
      </c>
      <c r="D13" s="34" t="n">
        <v>2</v>
      </c>
    </row>
    <row r="14" customFormat="false" ht="27.75" hidden="false" customHeight="true" outlineLevel="0" collapsed="false">
      <c r="A14" s="58" t="s">
        <v>482</v>
      </c>
      <c r="B14" s="6" t="s">
        <v>483</v>
      </c>
      <c r="C14" s="34" t="n">
        <v>9</v>
      </c>
      <c r="D14" s="34" t="n">
        <v>2</v>
      </c>
    </row>
    <row r="17" customFormat="false" ht="31.5" hidden="false" customHeight="true" outlineLevel="0" collapsed="false">
      <c r="A17" s="59" t="s">
        <v>484</v>
      </c>
      <c r="B17" s="59"/>
      <c r="C17" s="59"/>
      <c r="D17" s="59"/>
    </row>
    <row r="18" customFormat="false" ht="27" hidden="false" customHeight="true" outlineLevel="0" collapsed="false">
      <c r="A18" s="60" t="s">
        <v>485</v>
      </c>
      <c r="B18" s="61" t="s">
        <v>486</v>
      </c>
      <c r="C18" s="61"/>
      <c r="D18" s="61"/>
    </row>
    <row r="19" customFormat="false" ht="18" hidden="false" customHeight="true" outlineLevel="0" collapsed="false">
      <c r="A19" s="60" t="s">
        <v>487</v>
      </c>
      <c r="B19" s="61" t="s">
        <v>488</v>
      </c>
      <c r="C19" s="61"/>
      <c r="D19" s="61"/>
    </row>
    <row r="20" customFormat="false" ht="27" hidden="false" customHeight="true" outlineLevel="0" collapsed="false">
      <c r="A20" s="60" t="s">
        <v>489</v>
      </c>
      <c r="B20" s="61" t="s">
        <v>490</v>
      </c>
      <c r="C20" s="61"/>
      <c r="D20" s="61"/>
    </row>
    <row r="21" customFormat="false" ht="67.5" hidden="false" customHeight="true" outlineLevel="0" collapsed="false">
      <c r="A21" s="60" t="s">
        <v>491</v>
      </c>
      <c r="B21" s="61" t="s">
        <v>492</v>
      </c>
      <c r="C21" s="61"/>
      <c r="D21" s="61"/>
    </row>
    <row r="22" customFormat="false" ht="54" hidden="false" customHeight="true" outlineLevel="0" collapsed="false">
      <c r="A22" s="60" t="s">
        <v>493</v>
      </c>
      <c r="B22" s="61" t="s">
        <v>494</v>
      </c>
      <c r="C22" s="61"/>
      <c r="D22" s="61"/>
    </row>
    <row r="23" customFormat="false" ht="18" hidden="false" customHeight="true" outlineLevel="0" collapsed="false">
      <c r="A23" s="60" t="s">
        <v>495</v>
      </c>
      <c r="B23" s="61" t="s">
        <v>496</v>
      </c>
      <c r="C23" s="61"/>
      <c r="D23" s="61"/>
    </row>
    <row r="24" customFormat="false" ht="162" hidden="false" customHeight="true" outlineLevel="0" collapsed="false">
      <c r="A24" s="60" t="s">
        <v>497</v>
      </c>
      <c r="B24" s="61" t="s">
        <v>498</v>
      </c>
      <c r="C24" s="61"/>
      <c r="D24" s="61"/>
    </row>
    <row r="25" customFormat="false" ht="40.5" hidden="false" customHeight="true" outlineLevel="0" collapsed="false">
      <c r="A25" s="60" t="s">
        <v>499</v>
      </c>
      <c r="B25" s="61" t="s">
        <v>500</v>
      </c>
      <c r="C25" s="61"/>
      <c r="D25" s="61"/>
    </row>
    <row r="26" customFormat="false" ht="135" hidden="false" customHeight="true" outlineLevel="0" collapsed="false">
      <c r="A26" s="60" t="s">
        <v>501</v>
      </c>
      <c r="B26" s="61" t="s">
        <v>502</v>
      </c>
      <c r="C26" s="61"/>
      <c r="D26" s="61"/>
    </row>
    <row r="27" customFormat="false" ht="27" hidden="false" customHeight="true" outlineLevel="0" collapsed="false">
      <c r="A27" s="60" t="s">
        <v>503</v>
      </c>
      <c r="B27" s="61" t="s">
        <v>504</v>
      </c>
      <c r="C27" s="61"/>
      <c r="D27" s="61"/>
    </row>
    <row r="28" customFormat="false" ht="40.5" hidden="false" customHeight="true" outlineLevel="0" collapsed="false">
      <c r="A28" s="60" t="s">
        <v>505</v>
      </c>
      <c r="B28" s="61" t="s">
        <v>506</v>
      </c>
      <c r="C28" s="61"/>
      <c r="D28" s="61"/>
    </row>
    <row r="29" customFormat="false" ht="27" hidden="false" customHeight="true" outlineLevel="0" collapsed="false">
      <c r="A29" s="60" t="s">
        <v>507</v>
      </c>
      <c r="B29" s="61" t="s">
        <v>508</v>
      </c>
      <c r="C29" s="61"/>
      <c r="D29" s="61"/>
    </row>
    <row r="30" customFormat="false" ht="40.5" hidden="false" customHeight="true" outlineLevel="0" collapsed="false">
      <c r="A30" s="60" t="s">
        <v>509</v>
      </c>
      <c r="B30" s="61" t="s">
        <v>510</v>
      </c>
      <c r="C30" s="61"/>
      <c r="D30" s="61"/>
    </row>
    <row r="31" customFormat="false" ht="30" hidden="false" customHeight="true" outlineLevel="0" collapsed="false">
      <c r="A31" s="60" t="s">
        <v>511</v>
      </c>
      <c r="B31" s="61" t="s">
        <v>512</v>
      </c>
      <c r="C31" s="61"/>
      <c r="D31" s="61"/>
    </row>
    <row r="32" customFormat="false" ht="30" hidden="false" customHeight="true" outlineLevel="0" collapsed="false">
      <c r="A32" s="60" t="s">
        <v>513</v>
      </c>
      <c r="B32" s="61" t="s">
        <v>514</v>
      </c>
      <c r="C32" s="61"/>
      <c r="D32" s="61"/>
    </row>
    <row r="33" customFormat="false" ht="40.5" hidden="false" customHeight="true" outlineLevel="0" collapsed="false">
      <c r="A33" s="60" t="s">
        <v>515</v>
      </c>
      <c r="B33" s="61" t="s">
        <v>516</v>
      </c>
      <c r="C33" s="61"/>
      <c r="D33" s="61"/>
    </row>
    <row r="34" customFormat="false" ht="15" hidden="false" customHeight="false" outlineLevel="0" collapsed="false">
      <c r="A34" s="5" t="s">
        <v>517</v>
      </c>
    </row>
    <row r="36" customFormat="false" ht="31.5" hidden="false" customHeight="true" outlineLevel="0" collapsed="false">
      <c r="A36" s="59" t="s">
        <v>518</v>
      </c>
      <c r="B36" s="59"/>
      <c r="C36" s="59"/>
      <c r="D36" s="59"/>
    </row>
    <row r="37" customFormat="false" ht="27" hidden="false" customHeight="true" outlineLevel="0" collapsed="false">
      <c r="A37" s="60" t="s">
        <v>485</v>
      </c>
      <c r="B37" s="61" t="s">
        <v>519</v>
      </c>
      <c r="C37" s="61"/>
      <c r="D37" s="61"/>
    </row>
    <row r="38" customFormat="false" ht="18" hidden="false" customHeight="true" outlineLevel="0" collapsed="false">
      <c r="A38" s="60" t="s">
        <v>487</v>
      </c>
      <c r="B38" s="61" t="s">
        <v>520</v>
      </c>
      <c r="C38" s="61"/>
      <c r="D38" s="61"/>
    </row>
    <row r="39" customFormat="false" ht="18" hidden="false" customHeight="true" outlineLevel="0" collapsed="false">
      <c r="A39" s="60" t="s">
        <v>489</v>
      </c>
      <c r="B39" s="61" t="s">
        <v>521</v>
      </c>
      <c r="C39" s="61"/>
      <c r="D39" s="61"/>
    </row>
    <row r="40" customFormat="false" ht="54" hidden="false" customHeight="true" outlineLevel="0" collapsed="false">
      <c r="A40" s="60" t="s">
        <v>491</v>
      </c>
      <c r="B40" s="61" t="s">
        <v>522</v>
      </c>
      <c r="C40" s="61"/>
      <c r="D40" s="61"/>
    </row>
    <row r="41" customFormat="false" ht="40.5" hidden="false" customHeight="true" outlineLevel="0" collapsed="false">
      <c r="A41" s="60" t="s">
        <v>493</v>
      </c>
      <c r="B41" s="61" t="s">
        <v>523</v>
      </c>
      <c r="C41" s="61"/>
      <c r="D41" s="61"/>
    </row>
    <row r="42" customFormat="false" ht="18" hidden="false" customHeight="true" outlineLevel="0" collapsed="false">
      <c r="A42" s="60" t="s">
        <v>495</v>
      </c>
      <c r="B42" s="61" t="s">
        <v>524</v>
      </c>
      <c r="C42" s="61"/>
      <c r="D42" s="61"/>
    </row>
    <row r="43" customFormat="false" ht="81" hidden="false" customHeight="true" outlineLevel="0" collapsed="false">
      <c r="A43" s="60" t="s">
        <v>497</v>
      </c>
      <c r="B43" s="61" t="s">
        <v>525</v>
      </c>
      <c r="C43" s="61"/>
      <c r="D43" s="61"/>
    </row>
    <row r="44" customFormat="false" ht="54" hidden="false" customHeight="true" outlineLevel="0" collapsed="false">
      <c r="A44" s="60" t="s">
        <v>499</v>
      </c>
      <c r="B44" s="61" t="s">
        <v>526</v>
      </c>
      <c r="C44" s="61"/>
      <c r="D44" s="61"/>
    </row>
    <row r="45" customFormat="false" ht="189" hidden="false" customHeight="true" outlineLevel="0" collapsed="false">
      <c r="A45" s="60" t="s">
        <v>501</v>
      </c>
      <c r="B45" s="61" t="s">
        <v>527</v>
      </c>
      <c r="C45" s="61"/>
      <c r="D45" s="61"/>
    </row>
    <row r="46" customFormat="false" ht="27" hidden="false" customHeight="true" outlineLevel="0" collapsed="false">
      <c r="A46" s="60" t="s">
        <v>503</v>
      </c>
      <c r="B46" s="61" t="s">
        <v>528</v>
      </c>
      <c r="C46" s="61"/>
      <c r="D46" s="61"/>
    </row>
    <row r="47" customFormat="false" ht="27" hidden="false" customHeight="true" outlineLevel="0" collapsed="false">
      <c r="A47" s="60" t="s">
        <v>505</v>
      </c>
      <c r="B47" s="61" t="s">
        <v>529</v>
      </c>
      <c r="C47" s="61"/>
      <c r="D47" s="61"/>
    </row>
    <row r="48" customFormat="false" ht="40.5" hidden="false" customHeight="true" outlineLevel="0" collapsed="false">
      <c r="A48" s="60" t="s">
        <v>507</v>
      </c>
      <c r="B48" s="61" t="s">
        <v>530</v>
      </c>
      <c r="C48" s="61"/>
      <c r="D48" s="61"/>
    </row>
    <row r="49" customFormat="false" ht="30" hidden="false" customHeight="true" outlineLevel="0" collapsed="false">
      <c r="A49" s="60" t="s">
        <v>509</v>
      </c>
      <c r="B49" s="61" t="s">
        <v>531</v>
      </c>
      <c r="C49" s="61"/>
      <c r="D49" s="61"/>
    </row>
    <row r="50" customFormat="false" ht="30" hidden="false" customHeight="true" outlineLevel="0" collapsed="false">
      <c r="A50" s="60" t="s">
        <v>511</v>
      </c>
      <c r="B50" s="61" t="s">
        <v>532</v>
      </c>
      <c r="C50" s="61"/>
      <c r="D50" s="61"/>
    </row>
    <row r="51" customFormat="false" ht="30" hidden="false" customHeight="true" outlineLevel="0" collapsed="false">
      <c r="A51" s="60" t="s">
        <v>513</v>
      </c>
      <c r="B51" s="61" t="s">
        <v>533</v>
      </c>
      <c r="C51" s="61"/>
      <c r="D51" s="61"/>
    </row>
    <row r="52" customFormat="false" ht="40.5" hidden="false" customHeight="true" outlineLevel="0" collapsed="false">
      <c r="A52" s="60" t="s">
        <v>515</v>
      </c>
      <c r="B52" s="61" t="s">
        <v>534</v>
      </c>
      <c r="C52" s="61"/>
      <c r="D52" s="61"/>
    </row>
    <row r="53" customFormat="false" ht="15" hidden="false" customHeight="false" outlineLevel="0" collapsed="false">
      <c r="A53" s="5" t="s">
        <v>517</v>
      </c>
    </row>
    <row r="55" customFormat="false" ht="31.5" hidden="false" customHeight="true" outlineLevel="0" collapsed="false">
      <c r="A55" s="59" t="s">
        <v>535</v>
      </c>
      <c r="B55" s="59"/>
      <c r="C55" s="59"/>
      <c r="D55" s="59"/>
    </row>
    <row r="56" customFormat="false" ht="27" hidden="false" customHeight="true" outlineLevel="0" collapsed="false">
      <c r="A56" s="60" t="s">
        <v>485</v>
      </c>
      <c r="B56" s="61" t="s">
        <v>536</v>
      </c>
      <c r="C56" s="61"/>
      <c r="D56" s="61"/>
    </row>
    <row r="57" customFormat="false" ht="18" hidden="false" customHeight="true" outlineLevel="0" collapsed="false">
      <c r="A57" s="60" t="s">
        <v>487</v>
      </c>
      <c r="B57" s="61" t="s">
        <v>537</v>
      </c>
      <c r="C57" s="61"/>
      <c r="D57" s="61"/>
    </row>
    <row r="58" customFormat="false" ht="27" hidden="false" customHeight="true" outlineLevel="0" collapsed="false">
      <c r="A58" s="60" t="s">
        <v>489</v>
      </c>
      <c r="B58" s="61" t="s">
        <v>538</v>
      </c>
      <c r="C58" s="61"/>
      <c r="D58" s="61"/>
    </row>
    <row r="59" customFormat="false" ht="94.5" hidden="false" customHeight="true" outlineLevel="0" collapsed="false">
      <c r="A59" s="60" t="s">
        <v>491</v>
      </c>
      <c r="B59" s="61" t="s">
        <v>539</v>
      </c>
      <c r="C59" s="61"/>
      <c r="D59" s="61"/>
    </row>
    <row r="60" customFormat="false" ht="40.5" hidden="false" customHeight="true" outlineLevel="0" collapsed="false">
      <c r="A60" s="60" t="s">
        <v>493</v>
      </c>
      <c r="B60" s="61" t="s">
        <v>540</v>
      </c>
      <c r="C60" s="61"/>
      <c r="D60" s="61"/>
    </row>
    <row r="61" customFormat="false" ht="18" hidden="false" customHeight="true" outlineLevel="0" collapsed="false">
      <c r="A61" s="60" t="s">
        <v>495</v>
      </c>
      <c r="B61" s="61" t="s">
        <v>541</v>
      </c>
      <c r="C61" s="61"/>
      <c r="D61" s="61"/>
    </row>
    <row r="62" customFormat="false" ht="67.5" hidden="false" customHeight="true" outlineLevel="0" collapsed="false">
      <c r="A62" s="60" t="s">
        <v>497</v>
      </c>
      <c r="B62" s="61" t="s">
        <v>542</v>
      </c>
      <c r="C62" s="61"/>
      <c r="D62" s="61"/>
    </row>
    <row r="63" customFormat="false" ht="40.5" hidden="false" customHeight="true" outlineLevel="0" collapsed="false">
      <c r="A63" s="60" t="s">
        <v>499</v>
      </c>
      <c r="B63" s="61" t="s">
        <v>543</v>
      </c>
      <c r="C63" s="61"/>
      <c r="D63" s="61"/>
    </row>
    <row r="64" customFormat="false" ht="94.5" hidden="false" customHeight="true" outlineLevel="0" collapsed="false">
      <c r="A64" s="60" t="s">
        <v>501</v>
      </c>
      <c r="B64" s="61" t="s">
        <v>544</v>
      </c>
      <c r="C64" s="61"/>
      <c r="D64" s="61"/>
    </row>
    <row r="65" customFormat="false" ht="27" hidden="false" customHeight="true" outlineLevel="0" collapsed="false">
      <c r="A65" s="60" t="s">
        <v>503</v>
      </c>
      <c r="B65" s="61" t="s">
        <v>545</v>
      </c>
      <c r="C65" s="61"/>
      <c r="D65" s="61"/>
    </row>
    <row r="66" customFormat="false" ht="54" hidden="false" customHeight="true" outlineLevel="0" collapsed="false">
      <c r="A66" s="60" t="s">
        <v>505</v>
      </c>
      <c r="B66" s="61" t="s">
        <v>546</v>
      </c>
      <c r="C66" s="61"/>
      <c r="D66" s="61"/>
    </row>
    <row r="67" customFormat="false" ht="40.5" hidden="false" customHeight="true" outlineLevel="0" collapsed="false">
      <c r="A67" s="60" t="s">
        <v>507</v>
      </c>
      <c r="B67" s="61" t="s">
        <v>547</v>
      </c>
      <c r="C67" s="61"/>
      <c r="D67" s="61"/>
    </row>
    <row r="68" customFormat="false" ht="30" hidden="false" customHeight="true" outlineLevel="0" collapsed="false">
      <c r="A68" s="60" t="s">
        <v>509</v>
      </c>
      <c r="B68" s="61" t="s">
        <v>548</v>
      </c>
      <c r="C68" s="61"/>
      <c r="D68" s="61"/>
    </row>
    <row r="69" customFormat="false" ht="30" hidden="false" customHeight="true" outlineLevel="0" collapsed="false">
      <c r="A69" s="60" t="s">
        <v>511</v>
      </c>
      <c r="B69" s="61" t="s">
        <v>549</v>
      </c>
      <c r="C69" s="61"/>
      <c r="D69" s="61"/>
    </row>
    <row r="70" customFormat="false" ht="30" hidden="false" customHeight="true" outlineLevel="0" collapsed="false">
      <c r="A70" s="60" t="s">
        <v>513</v>
      </c>
      <c r="B70" s="61" t="s">
        <v>550</v>
      </c>
      <c r="C70" s="61"/>
      <c r="D70" s="61"/>
    </row>
    <row r="71" customFormat="false" ht="40.5" hidden="false" customHeight="true" outlineLevel="0" collapsed="false">
      <c r="A71" s="60" t="s">
        <v>515</v>
      </c>
      <c r="B71" s="61" t="s">
        <v>551</v>
      </c>
      <c r="C71" s="61"/>
      <c r="D71" s="61"/>
    </row>
    <row r="72" customFormat="false" ht="15" hidden="false" customHeight="false" outlineLevel="0" collapsed="false">
      <c r="A72" s="5" t="s">
        <v>517</v>
      </c>
    </row>
    <row r="74" customFormat="false" ht="31.5" hidden="false" customHeight="true" outlineLevel="0" collapsed="false">
      <c r="A74" s="59" t="s">
        <v>552</v>
      </c>
      <c r="B74" s="59"/>
      <c r="C74" s="59"/>
      <c r="D74" s="59"/>
    </row>
    <row r="75" customFormat="false" ht="27" hidden="false" customHeight="true" outlineLevel="0" collapsed="false">
      <c r="A75" s="60" t="s">
        <v>485</v>
      </c>
      <c r="B75" s="61" t="s">
        <v>553</v>
      </c>
      <c r="C75" s="61"/>
      <c r="D75" s="61"/>
    </row>
    <row r="76" customFormat="false" ht="18" hidden="false" customHeight="true" outlineLevel="0" collapsed="false">
      <c r="A76" s="60" t="s">
        <v>487</v>
      </c>
      <c r="B76" s="61" t="s">
        <v>554</v>
      </c>
      <c r="C76" s="61"/>
      <c r="D76" s="61"/>
    </row>
    <row r="77" customFormat="false" ht="40.5" hidden="false" customHeight="true" outlineLevel="0" collapsed="false">
      <c r="A77" s="60" t="s">
        <v>489</v>
      </c>
      <c r="B77" s="61" t="s">
        <v>555</v>
      </c>
      <c r="C77" s="61"/>
      <c r="D77" s="61"/>
    </row>
    <row r="78" customFormat="false" ht="30" hidden="false" customHeight="true" outlineLevel="0" collapsed="false">
      <c r="A78" s="60" t="s">
        <v>491</v>
      </c>
      <c r="B78" s="61" t="s">
        <v>556</v>
      </c>
      <c r="C78" s="61"/>
      <c r="D78" s="61"/>
    </row>
    <row r="79" customFormat="false" ht="27" hidden="false" customHeight="true" outlineLevel="0" collapsed="false">
      <c r="A79" s="60" t="s">
        <v>493</v>
      </c>
      <c r="B79" s="61" t="s">
        <v>557</v>
      </c>
      <c r="C79" s="61"/>
      <c r="D79" s="61"/>
    </row>
    <row r="80" customFormat="false" ht="18" hidden="false" customHeight="true" outlineLevel="0" collapsed="false">
      <c r="A80" s="60" t="s">
        <v>495</v>
      </c>
      <c r="B80" s="61" t="s">
        <v>558</v>
      </c>
      <c r="C80" s="61"/>
      <c r="D80" s="61"/>
    </row>
    <row r="81" customFormat="false" ht="54" hidden="false" customHeight="true" outlineLevel="0" collapsed="false">
      <c r="A81" s="60" t="s">
        <v>497</v>
      </c>
      <c r="B81" s="61" t="s">
        <v>559</v>
      </c>
      <c r="C81" s="61"/>
      <c r="D81" s="61"/>
    </row>
    <row r="82" customFormat="false" ht="30" hidden="false" customHeight="true" outlineLevel="0" collapsed="false">
      <c r="A82" s="60" t="s">
        <v>499</v>
      </c>
      <c r="B82" s="61" t="s">
        <v>560</v>
      </c>
      <c r="C82" s="61"/>
      <c r="D82" s="61"/>
    </row>
    <row r="83" customFormat="false" ht="108" hidden="false" customHeight="true" outlineLevel="0" collapsed="false">
      <c r="A83" s="60" t="s">
        <v>501</v>
      </c>
      <c r="B83" s="61" t="s">
        <v>561</v>
      </c>
      <c r="C83" s="61"/>
      <c r="D83" s="61"/>
    </row>
    <row r="84" customFormat="false" ht="18" hidden="false" customHeight="true" outlineLevel="0" collapsed="false">
      <c r="A84" s="60" t="s">
        <v>503</v>
      </c>
      <c r="B84" s="61" t="s">
        <v>562</v>
      </c>
      <c r="C84" s="61"/>
      <c r="D84" s="61"/>
    </row>
    <row r="85" customFormat="false" ht="27" hidden="false" customHeight="true" outlineLevel="0" collapsed="false">
      <c r="A85" s="60" t="s">
        <v>505</v>
      </c>
      <c r="B85" s="61" t="s">
        <v>529</v>
      </c>
      <c r="C85" s="61"/>
      <c r="D85" s="61"/>
    </row>
    <row r="86" customFormat="false" ht="27" hidden="false" customHeight="true" outlineLevel="0" collapsed="false">
      <c r="A86" s="60" t="s">
        <v>507</v>
      </c>
      <c r="B86" s="61" t="s">
        <v>563</v>
      </c>
      <c r="C86" s="61"/>
      <c r="D86" s="61"/>
    </row>
    <row r="87" customFormat="false" ht="30" hidden="false" customHeight="true" outlineLevel="0" collapsed="false">
      <c r="A87" s="60" t="s">
        <v>509</v>
      </c>
      <c r="B87" s="61" t="s">
        <v>564</v>
      </c>
      <c r="C87" s="61"/>
      <c r="D87" s="61"/>
    </row>
    <row r="88" customFormat="false" ht="30" hidden="false" customHeight="true" outlineLevel="0" collapsed="false">
      <c r="A88" s="60" t="s">
        <v>511</v>
      </c>
      <c r="B88" s="61" t="s">
        <v>565</v>
      </c>
      <c r="C88" s="61"/>
      <c r="D88" s="61"/>
    </row>
    <row r="89" customFormat="false" ht="30" hidden="false" customHeight="true" outlineLevel="0" collapsed="false">
      <c r="A89" s="60" t="s">
        <v>513</v>
      </c>
      <c r="B89" s="61" t="s">
        <v>566</v>
      </c>
      <c r="C89" s="61"/>
      <c r="D89" s="61"/>
    </row>
    <row r="90" customFormat="false" ht="30" hidden="false" customHeight="true" outlineLevel="0" collapsed="false">
      <c r="A90" s="60" t="s">
        <v>515</v>
      </c>
      <c r="B90" s="61" t="s">
        <v>567</v>
      </c>
      <c r="C90" s="61"/>
      <c r="D90" s="61"/>
    </row>
    <row r="91" customFormat="false" ht="15" hidden="false" customHeight="false" outlineLevel="0" collapsed="false">
      <c r="A91" s="5" t="s">
        <v>517</v>
      </c>
    </row>
    <row r="93" customFormat="false" ht="31.5" hidden="false" customHeight="true" outlineLevel="0" collapsed="false">
      <c r="A93" s="59" t="s">
        <v>568</v>
      </c>
      <c r="B93" s="59"/>
      <c r="C93" s="59"/>
      <c r="D93" s="59"/>
    </row>
    <row r="94" customFormat="false" ht="27" hidden="false" customHeight="true" outlineLevel="0" collapsed="false">
      <c r="A94" s="60" t="s">
        <v>485</v>
      </c>
      <c r="B94" s="61" t="s">
        <v>569</v>
      </c>
      <c r="C94" s="61"/>
      <c r="D94" s="61"/>
    </row>
    <row r="95" customFormat="false" ht="18" hidden="false" customHeight="true" outlineLevel="0" collapsed="false">
      <c r="A95" s="60" t="s">
        <v>487</v>
      </c>
      <c r="B95" s="61" t="s">
        <v>570</v>
      </c>
      <c r="C95" s="61"/>
      <c r="D95" s="61"/>
    </row>
    <row r="96" customFormat="false" ht="54" hidden="false" customHeight="true" outlineLevel="0" collapsed="false">
      <c r="A96" s="60" t="s">
        <v>489</v>
      </c>
      <c r="B96" s="61" t="s">
        <v>571</v>
      </c>
      <c r="C96" s="61"/>
      <c r="D96" s="61"/>
    </row>
    <row r="97" customFormat="false" ht="108" hidden="false" customHeight="true" outlineLevel="0" collapsed="false">
      <c r="A97" s="60" t="s">
        <v>491</v>
      </c>
      <c r="B97" s="61" t="s">
        <v>572</v>
      </c>
      <c r="C97" s="61"/>
      <c r="D97" s="61"/>
    </row>
    <row r="98" customFormat="false" ht="18" hidden="false" customHeight="true" outlineLevel="0" collapsed="false">
      <c r="A98" s="60" t="s">
        <v>493</v>
      </c>
      <c r="B98" s="61" t="s">
        <v>573</v>
      </c>
      <c r="C98" s="61"/>
      <c r="D98" s="61"/>
    </row>
    <row r="99" customFormat="false" ht="18" hidden="false" customHeight="true" outlineLevel="0" collapsed="false">
      <c r="A99" s="60" t="s">
        <v>495</v>
      </c>
      <c r="B99" s="61" t="s">
        <v>574</v>
      </c>
      <c r="C99" s="61"/>
      <c r="D99" s="61"/>
    </row>
    <row r="100" customFormat="false" ht="67.5" hidden="false" customHeight="true" outlineLevel="0" collapsed="false">
      <c r="A100" s="60" t="s">
        <v>497</v>
      </c>
      <c r="B100" s="61" t="s">
        <v>575</v>
      </c>
      <c r="C100" s="61"/>
      <c r="D100" s="61"/>
    </row>
    <row r="101" customFormat="false" ht="30" hidden="false" customHeight="true" outlineLevel="0" collapsed="false">
      <c r="A101" s="60" t="s">
        <v>499</v>
      </c>
      <c r="B101" s="61" t="s">
        <v>576</v>
      </c>
      <c r="C101" s="61"/>
      <c r="D101" s="61"/>
    </row>
    <row r="102" customFormat="false" ht="108" hidden="false" customHeight="true" outlineLevel="0" collapsed="false">
      <c r="A102" s="60" t="s">
        <v>501</v>
      </c>
      <c r="B102" s="61" t="s">
        <v>577</v>
      </c>
      <c r="C102" s="61"/>
      <c r="D102" s="61"/>
    </row>
    <row r="103" customFormat="false" ht="27" hidden="false" customHeight="true" outlineLevel="0" collapsed="false">
      <c r="A103" s="60" t="s">
        <v>503</v>
      </c>
      <c r="B103" s="61" t="s">
        <v>578</v>
      </c>
      <c r="C103" s="61"/>
      <c r="D103" s="61"/>
    </row>
    <row r="104" customFormat="false" ht="27" hidden="false" customHeight="true" outlineLevel="0" collapsed="false">
      <c r="A104" s="60" t="s">
        <v>505</v>
      </c>
      <c r="B104" s="61" t="s">
        <v>529</v>
      </c>
      <c r="C104" s="61"/>
      <c r="D104" s="61"/>
    </row>
    <row r="105" customFormat="false" ht="40.5" hidden="false" customHeight="true" outlineLevel="0" collapsed="false">
      <c r="A105" s="60" t="s">
        <v>507</v>
      </c>
      <c r="B105" s="61" t="s">
        <v>579</v>
      </c>
      <c r="C105" s="61"/>
      <c r="D105" s="61"/>
    </row>
    <row r="106" customFormat="false" ht="30" hidden="false" customHeight="true" outlineLevel="0" collapsed="false">
      <c r="A106" s="60" t="s">
        <v>509</v>
      </c>
      <c r="B106" s="61" t="s">
        <v>580</v>
      </c>
      <c r="C106" s="61"/>
      <c r="D106" s="61"/>
    </row>
    <row r="107" customFormat="false" ht="30" hidden="false" customHeight="true" outlineLevel="0" collapsed="false">
      <c r="A107" s="60" t="s">
        <v>511</v>
      </c>
      <c r="B107" s="61" t="s">
        <v>581</v>
      </c>
      <c r="C107" s="61"/>
      <c r="D107" s="61"/>
    </row>
    <row r="108" customFormat="false" ht="30" hidden="false" customHeight="true" outlineLevel="0" collapsed="false">
      <c r="A108" s="60" t="s">
        <v>513</v>
      </c>
      <c r="B108" s="61" t="s">
        <v>582</v>
      </c>
      <c r="C108" s="61"/>
      <c r="D108" s="61"/>
    </row>
    <row r="109" customFormat="false" ht="40.5" hidden="false" customHeight="true" outlineLevel="0" collapsed="false">
      <c r="A109" s="60" t="s">
        <v>515</v>
      </c>
      <c r="B109" s="61" t="s">
        <v>583</v>
      </c>
      <c r="C109" s="61"/>
      <c r="D109" s="61"/>
    </row>
    <row r="110" customFormat="false" ht="15" hidden="false" customHeight="false" outlineLevel="0" collapsed="false">
      <c r="A110" s="5" t="s">
        <v>517</v>
      </c>
    </row>
    <row r="112" customFormat="false" ht="31.5" hidden="false" customHeight="true" outlineLevel="0" collapsed="false">
      <c r="A112" s="59" t="s">
        <v>584</v>
      </c>
      <c r="B112" s="59"/>
      <c r="C112" s="59"/>
      <c r="D112" s="59"/>
    </row>
    <row r="113" customFormat="false" ht="27" hidden="false" customHeight="true" outlineLevel="0" collapsed="false">
      <c r="A113" s="60" t="s">
        <v>485</v>
      </c>
      <c r="B113" s="61" t="s">
        <v>585</v>
      </c>
      <c r="C113" s="61"/>
      <c r="D113" s="61"/>
    </row>
    <row r="114" customFormat="false" ht="18" hidden="false" customHeight="true" outlineLevel="0" collapsed="false">
      <c r="A114" s="60" t="s">
        <v>487</v>
      </c>
      <c r="B114" s="61" t="s">
        <v>586</v>
      </c>
      <c r="C114" s="61"/>
      <c r="D114" s="61"/>
    </row>
    <row r="115" customFormat="false" ht="18" hidden="false" customHeight="true" outlineLevel="0" collapsed="false">
      <c r="A115" s="60" t="s">
        <v>489</v>
      </c>
      <c r="B115" s="61" t="s">
        <v>587</v>
      </c>
      <c r="C115" s="61"/>
      <c r="D115" s="61"/>
    </row>
    <row r="116" customFormat="false" ht="54" hidden="false" customHeight="true" outlineLevel="0" collapsed="false">
      <c r="A116" s="60" t="s">
        <v>491</v>
      </c>
      <c r="B116" s="61" t="s">
        <v>588</v>
      </c>
      <c r="C116" s="61"/>
      <c r="D116" s="61"/>
    </row>
    <row r="117" customFormat="false" ht="27" hidden="false" customHeight="true" outlineLevel="0" collapsed="false">
      <c r="A117" s="60" t="s">
        <v>493</v>
      </c>
      <c r="B117" s="61" t="s">
        <v>589</v>
      </c>
      <c r="C117" s="61"/>
      <c r="D117" s="61"/>
    </row>
    <row r="118" customFormat="false" ht="18" hidden="false" customHeight="true" outlineLevel="0" collapsed="false">
      <c r="A118" s="60" t="s">
        <v>495</v>
      </c>
      <c r="B118" s="61" t="s">
        <v>590</v>
      </c>
      <c r="C118" s="61"/>
      <c r="D118" s="61"/>
    </row>
    <row r="119" customFormat="false" ht="94.5" hidden="false" customHeight="true" outlineLevel="0" collapsed="false">
      <c r="A119" s="60" t="s">
        <v>497</v>
      </c>
      <c r="B119" s="61" t="s">
        <v>591</v>
      </c>
      <c r="C119" s="61"/>
      <c r="D119" s="61"/>
    </row>
    <row r="120" customFormat="false" ht="30" hidden="false" customHeight="true" outlineLevel="0" collapsed="false">
      <c r="A120" s="60" t="s">
        <v>499</v>
      </c>
      <c r="B120" s="61" t="s">
        <v>592</v>
      </c>
      <c r="C120" s="61"/>
      <c r="D120" s="61"/>
    </row>
    <row r="121" customFormat="false" ht="121.5" hidden="false" customHeight="true" outlineLevel="0" collapsed="false">
      <c r="A121" s="60" t="s">
        <v>501</v>
      </c>
      <c r="B121" s="61" t="s">
        <v>593</v>
      </c>
      <c r="C121" s="61"/>
      <c r="D121" s="61"/>
    </row>
    <row r="122" customFormat="false" ht="18" hidden="false" customHeight="true" outlineLevel="0" collapsed="false">
      <c r="A122" s="60" t="s">
        <v>503</v>
      </c>
      <c r="B122" s="61" t="s">
        <v>594</v>
      </c>
      <c r="C122" s="61"/>
      <c r="D122" s="61"/>
    </row>
    <row r="123" customFormat="false" ht="27" hidden="false" customHeight="true" outlineLevel="0" collapsed="false">
      <c r="A123" s="60" t="s">
        <v>505</v>
      </c>
      <c r="B123" s="61" t="s">
        <v>529</v>
      </c>
      <c r="C123" s="61"/>
      <c r="D123" s="61"/>
    </row>
    <row r="124" customFormat="false" ht="27" hidden="false" customHeight="true" outlineLevel="0" collapsed="false">
      <c r="A124" s="60" t="s">
        <v>507</v>
      </c>
      <c r="B124" s="61" t="s">
        <v>595</v>
      </c>
      <c r="C124" s="61"/>
      <c r="D124" s="61"/>
    </row>
    <row r="125" customFormat="false" ht="30" hidden="false" customHeight="true" outlineLevel="0" collapsed="false">
      <c r="A125" s="60" t="s">
        <v>509</v>
      </c>
      <c r="B125" s="61" t="s">
        <v>596</v>
      </c>
      <c r="C125" s="61"/>
      <c r="D125" s="61"/>
    </row>
    <row r="126" customFormat="false" ht="30" hidden="false" customHeight="true" outlineLevel="0" collapsed="false">
      <c r="A126" s="60" t="s">
        <v>511</v>
      </c>
      <c r="B126" s="61" t="s">
        <v>597</v>
      </c>
      <c r="C126" s="61"/>
      <c r="D126" s="61"/>
    </row>
    <row r="127" customFormat="false" ht="30" hidden="false" customHeight="true" outlineLevel="0" collapsed="false">
      <c r="A127" s="60" t="s">
        <v>513</v>
      </c>
      <c r="B127" s="61" t="s">
        <v>598</v>
      </c>
      <c r="C127" s="61"/>
      <c r="D127" s="61"/>
    </row>
    <row r="128" customFormat="false" ht="30" hidden="false" customHeight="true" outlineLevel="0" collapsed="false">
      <c r="A128" s="60" t="s">
        <v>515</v>
      </c>
      <c r="B128" s="61" t="s">
        <v>599</v>
      </c>
      <c r="C128" s="61"/>
      <c r="D128" s="61"/>
    </row>
    <row r="129" customFormat="false" ht="15" hidden="false" customHeight="false" outlineLevel="0" collapsed="false">
      <c r="A129" s="5" t="s">
        <v>517</v>
      </c>
    </row>
    <row r="131" customFormat="false" ht="31.5" hidden="false" customHeight="true" outlineLevel="0" collapsed="false">
      <c r="A131" s="59" t="s">
        <v>600</v>
      </c>
      <c r="B131" s="59"/>
      <c r="C131" s="59"/>
      <c r="D131" s="59"/>
    </row>
    <row r="132" customFormat="false" ht="18" hidden="false" customHeight="true" outlineLevel="0" collapsed="false">
      <c r="A132" s="60" t="s">
        <v>485</v>
      </c>
      <c r="B132" s="61" t="s">
        <v>601</v>
      </c>
      <c r="C132" s="61"/>
      <c r="D132" s="61"/>
    </row>
    <row r="133" customFormat="false" ht="18" hidden="false" customHeight="true" outlineLevel="0" collapsed="false">
      <c r="A133" s="60" t="s">
        <v>487</v>
      </c>
      <c r="B133" s="61" t="s">
        <v>602</v>
      </c>
      <c r="C133" s="61"/>
      <c r="D133" s="61"/>
    </row>
    <row r="134" customFormat="false" ht="18" hidden="false" customHeight="true" outlineLevel="0" collapsed="false">
      <c r="A134" s="60" t="s">
        <v>489</v>
      </c>
      <c r="B134" s="61" t="s">
        <v>603</v>
      </c>
      <c r="C134" s="61"/>
      <c r="D134" s="61"/>
    </row>
    <row r="135" customFormat="false" ht="67.5" hidden="false" customHeight="true" outlineLevel="0" collapsed="false">
      <c r="A135" s="60" t="s">
        <v>491</v>
      </c>
      <c r="B135" s="61" t="s">
        <v>604</v>
      </c>
      <c r="C135" s="61"/>
      <c r="D135" s="61"/>
    </row>
    <row r="136" customFormat="false" ht="40.5" hidden="false" customHeight="true" outlineLevel="0" collapsed="false">
      <c r="A136" s="60" t="s">
        <v>493</v>
      </c>
      <c r="B136" s="61" t="s">
        <v>605</v>
      </c>
      <c r="C136" s="61"/>
      <c r="D136" s="61"/>
    </row>
    <row r="137" customFormat="false" ht="18" hidden="false" customHeight="true" outlineLevel="0" collapsed="false">
      <c r="A137" s="60" t="s">
        <v>495</v>
      </c>
      <c r="B137" s="61" t="s">
        <v>606</v>
      </c>
      <c r="C137" s="61"/>
      <c r="D137" s="61"/>
    </row>
    <row r="138" customFormat="false" ht="81" hidden="false" customHeight="true" outlineLevel="0" collapsed="false">
      <c r="A138" s="60" t="s">
        <v>497</v>
      </c>
      <c r="B138" s="61" t="s">
        <v>607</v>
      </c>
      <c r="C138" s="61"/>
      <c r="D138" s="61"/>
    </row>
    <row r="139" customFormat="false" ht="30" hidden="false" customHeight="true" outlineLevel="0" collapsed="false">
      <c r="A139" s="60" t="s">
        <v>499</v>
      </c>
      <c r="B139" s="61" t="s">
        <v>608</v>
      </c>
      <c r="C139" s="61"/>
      <c r="D139" s="61"/>
    </row>
    <row r="140" customFormat="false" ht="94.5" hidden="false" customHeight="true" outlineLevel="0" collapsed="false">
      <c r="A140" s="60" t="s">
        <v>501</v>
      </c>
      <c r="B140" s="61" t="s">
        <v>609</v>
      </c>
      <c r="C140" s="61"/>
      <c r="D140" s="61"/>
    </row>
    <row r="141" customFormat="false" ht="27" hidden="false" customHeight="true" outlineLevel="0" collapsed="false">
      <c r="A141" s="60" t="s">
        <v>503</v>
      </c>
      <c r="B141" s="61" t="s">
        <v>610</v>
      </c>
      <c r="C141" s="61"/>
      <c r="D141" s="61"/>
    </row>
    <row r="142" customFormat="false" ht="54" hidden="false" customHeight="true" outlineLevel="0" collapsed="false">
      <c r="A142" s="60" t="s">
        <v>505</v>
      </c>
      <c r="B142" s="61" t="s">
        <v>611</v>
      </c>
      <c r="C142" s="61"/>
      <c r="D142" s="61"/>
    </row>
    <row r="143" customFormat="false" ht="27" hidden="false" customHeight="true" outlineLevel="0" collapsed="false">
      <c r="A143" s="60" t="s">
        <v>507</v>
      </c>
      <c r="B143" s="61" t="s">
        <v>612</v>
      </c>
      <c r="C143" s="61"/>
      <c r="D143" s="61"/>
    </row>
    <row r="144" customFormat="false" ht="30" hidden="false" customHeight="true" outlineLevel="0" collapsed="false">
      <c r="A144" s="60" t="s">
        <v>509</v>
      </c>
      <c r="B144" s="61" t="s">
        <v>613</v>
      </c>
      <c r="C144" s="61"/>
      <c r="D144" s="61"/>
    </row>
    <row r="145" customFormat="false" ht="30" hidden="false" customHeight="true" outlineLevel="0" collapsed="false">
      <c r="A145" s="60" t="s">
        <v>511</v>
      </c>
      <c r="B145" s="61" t="s">
        <v>614</v>
      </c>
      <c r="C145" s="61"/>
      <c r="D145" s="61"/>
    </row>
    <row r="146" customFormat="false" ht="30" hidden="false" customHeight="true" outlineLevel="0" collapsed="false">
      <c r="A146" s="60" t="s">
        <v>513</v>
      </c>
      <c r="B146" s="61" t="s">
        <v>615</v>
      </c>
      <c r="C146" s="61"/>
      <c r="D146" s="61"/>
    </row>
    <row r="147" customFormat="false" ht="30" hidden="false" customHeight="true" outlineLevel="0" collapsed="false">
      <c r="A147" s="60" t="s">
        <v>515</v>
      </c>
      <c r="B147" s="61" t="s">
        <v>616</v>
      </c>
      <c r="C147" s="61"/>
      <c r="D147" s="61"/>
    </row>
    <row r="148" customFormat="false" ht="15" hidden="false" customHeight="false" outlineLevel="0" collapsed="false">
      <c r="A148" s="5" t="s">
        <v>517</v>
      </c>
    </row>
    <row r="150" customFormat="false" ht="15" hidden="false" customHeight="false" outlineLevel="0" collapsed="false">
      <c r="A150" s="20" t="s">
        <v>617</v>
      </c>
      <c r="B150" s="21"/>
      <c r="C150" s="21"/>
      <c r="D150" s="21"/>
    </row>
    <row r="151" customFormat="false" ht="55.5" hidden="false" customHeight="true" outlineLevel="0" collapsed="false">
      <c r="A151" s="26" t="s">
        <v>618</v>
      </c>
      <c r="B151" s="26"/>
      <c r="C151" s="26"/>
      <c r="D151" s="26"/>
    </row>
    <row r="152" customFormat="false" ht="24" hidden="false" customHeight="true" outlineLevel="0" collapsed="false">
      <c r="A152" s="22" t="s">
        <v>619</v>
      </c>
      <c r="B152" s="22" t="s">
        <v>620</v>
      </c>
      <c r="C152" s="22" t="s">
        <v>621</v>
      </c>
      <c r="D152" s="22"/>
    </row>
    <row r="153" customFormat="false" ht="15" hidden="false" customHeight="false" outlineLevel="0" collapsed="false">
      <c r="A153" s="23" t="s">
        <v>622</v>
      </c>
      <c r="B153" s="62" t="s">
        <v>623</v>
      </c>
      <c r="C153" s="46" t="str">
        <f aca="false">IF(ISNUMBER(SEARCH(B153,B21)),"FOUND","NOT FOUND")</f>
        <v>FOUND</v>
      </c>
    </row>
    <row r="154" customFormat="false" ht="15" hidden="false" customHeight="false" outlineLevel="0" collapsed="false">
      <c r="A154" s="23" t="s">
        <v>624</v>
      </c>
      <c r="B154" s="62" t="s">
        <v>625</v>
      </c>
      <c r="C154" s="46" t="str">
        <f aca="false">IF(ISNUMBER(SEARCH(B154,B21)),"FOUND","NOT FOUND")</f>
        <v>FOUND</v>
      </c>
    </row>
    <row r="155" customFormat="false" ht="15" hidden="false" customHeight="false" outlineLevel="0" collapsed="false">
      <c r="A155" s="23" t="s">
        <v>626</v>
      </c>
      <c r="B155" s="62" t="s">
        <v>627</v>
      </c>
      <c r="C155" s="46" t="str">
        <f aca="false">IF(ISNUMBER(SEARCH(B155,B21)),"FOUND","NOT FOUND")</f>
        <v>FOUND</v>
      </c>
    </row>
    <row r="156" customFormat="false" ht="15" hidden="false" customHeight="false" outlineLevel="0" collapsed="false">
      <c r="A156" s="23" t="s">
        <v>628</v>
      </c>
      <c r="B156" s="62" t="s">
        <v>629</v>
      </c>
      <c r="C156" s="46" t="str">
        <f aca="false">IF(ISNUMBER(SEARCH(B156,B40)),"FOUND","NOT FOUND")</f>
        <v>FOUND</v>
      </c>
    </row>
    <row r="157" customFormat="false" ht="15" hidden="false" customHeight="false" outlineLevel="0" collapsed="false">
      <c r="A157" s="23" t="s">
        <v>630</v>
      </c>
      <c r="B157" s="62" t="s">
        <v>631</v>
      </c>
      <c r="C157" s="46" t="str">
        <f aca="false">IF(ISNUMBER(SEARCH(B157,B40)),"FOUND","NOT FOUND")</f>
        <v>FOUND</v>
      </c>
    </row>
    <row r="158" customFormat="false" ht="15" hidden="false" customHeight="false" outlineLevel="0" collapsed="false">
      <c r="A158" s="23" t="s">
        <v>632</v>
      </c>
      <c r="B158" s="62" t="s">
        <v>633</v>
      </c>
      <c r="C158" s="46" t="str">
        <f aca="false">IF(ISNUMBER(SEARCH(B158,B59)),"FOUND","NOT FOUND")</f>
        <v>FOUND</v>
      </c>
    </row>
    <row r="159" customFormat="false" ht="15" hidden="false" customHeight="false" outlineLevel="0" collapsed="false">
      <c r="A159" s="23" t="s">
        <v>634</v>
      </c>
      <c r="B159" s="62" t="s">
        <v>635</v>
      </c>
      <c r="C159" s="46" t="str">
        <f aca="false">IF(ISNUMBER(SEARCH(B159,B59)),"FOUND","NOT FOUND")</f>
        <v>FOUND</v>
      </c>
    </row>
    <row r="160" customFormat="false" ht="15" hidden="false" customHeight="false" outlineLevel="0" collapsed="false">
      <c r="A160" s="23" t="s">
        <v>636</v>
      </c>
      <c r="B160" s="62" t="s">
        <v>637</v>
      </c>
      <c r="C160" s="46" t="str">
        <f aca="false">IF(ISNUMBER(SEARCH(B160,B78)),"FOUND","NOT FOUND")</f>
        <v>FOUND</v>
      </c>
    </row>
    <row r="161" customFormat="false" ht="15" hidden="false" customHeight="false" outlineLevel="0" collapsed="false">
      <c r="A161" s="23" t="s">
        <v>638</v>
      </c>
      <c r="B161" s="62" t="s">
        <v>639</v>
      </c>
      <c r="C161" s="46" t="str">
        <f aca="false">IF(ISNUMBER(SEARCH(B161,B97)),"FOUND","NOT FOUND")</f>
        <v>FOUND</v>
      </c>
    </row>
    <row r="162" customFormat="false" ht="15" hidden="false" customHeight="false" outlineLevel="0" collapsed="false">
      <c r="A162" s="23" t="s">
        <v>640</v>
      </c>
      <c r="B162" s="62" t="s">
        <v>641</v>
      </c>
      <c r="C162" s="46" t="str">
        <f aca="false">IF(ISNUMBER(SEARCH(B162,B97)),"FOUND","NOT FOUND")</f>
        <v>FOUND</v>
      </c>
    </row>
    <row r="163" customFormat="false" ht="15" hidden="false" customHeight="false" outlineLevel="0" collapsed="false">
      <c r="A163" s="23" t="s">
        <v>642</v>
      </c>
      <c r="B163" s="62" t="s">
        <v>643</v>
      </c>
      <c r="C163" s="46" t="str">
        <f aca="false">IF(ISNUMBER(SEARCH(B163,B116)),"FOUND","NOT FOUND")</f>
        <v>FOUND</v>
      </c>
    </row>
    <row r="164" customFormat="false" ht="15" hidden="false" customHeight="false" outlineLevel="0" collapsed="false">
      <c r="A164" s="23" t="s">
        <v>644</v>
      </c>
      <c r="B164" s="62" t="s">
        <v>645</v>
      </c>
      <c r="C164" s="46" t="str">
        <f aca="false">IF(ISNUMBER(SEARCH(B164,B135)),"FOUND","NOT FOUND")</f>
        <v>FOUND</v>
      </c>
    </row>
  </sheetData>
  <mergeCells count="122">
    <mergeCell ref="A3:D3"/>
    <mergeCell ref="A6:D6"/>
    <mergeCell ref="A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A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A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A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88:D88"/>
    <mergeCell ref="B89:D89"/>
    <mergeCell ref="B90:D90"/>
    <mergeCell ref="A93:D93"/>
    <mergeCell ref="B94:D94"/>
    <mergeCell ref="B95:D95"/>
    <mergeCell ref="B96:D96"/>
    <mergeCell ref="B97:D97"/>
    <mergeCell ref="B98:D98"/>
    <mergeCell ref="B99:D99"/>
    <mergeCell ref="B100:D100"/>
    <mergeCell ref="B101:D101"/>
    <mergeCell ref="B102:D102"/>
    <mergeCell ref="B103:D103"/>
    <mergeCell ref="B104:D104"/>
    <mergeCell ref="B105:D105"/>
    <mergeCell ref="B106:D106"/>
    <mergeCell ref="B107:D107"/>
    <mergeCell ref="B108:D108"/>
    <mergeCell ref="B109:D109"/>
    <mergeCell ref="A112:D112"/>
    <mergeCell ref="B113:D113"/>
    <mergeCell ref="B114:D114"/>
    <mergeCell ref="B115:D115"/>
    <mergeCell ref="B116:D116"/>
    <mergeCell ref="B117:D117"/>
    <mergeCell ref="B118:D118"/>
    <mergeCell ref="B119:D119"/>
    <mergeCell ref="B120:D120"/>
    <mergeCell ref="B121:D121"/>
    <mergeCell ref="B122:D122"/>
    <mergeCell ref="B123:D123"/>
    <mergeCell ref="B124:D124"/>
    <mergeCell ref="B125:D125"/>
    <mergeCell ref="B126:D126"/>
    <mergeCell ref="B127:D127"/>
    <mergeCell ref="B128:D128"/>
    <mergeCell ref="A131:D131"/>
    <mergeCell ref="B132:D132"/>
    <mergeCell ref="B133:D133"/>
    <mergeCell ref="B134:D134"/>
    <mergeCell ref="B135:D135"/>
    <mergeCell ref="B136:D136"/>
    <mergeCell ref="B137:D137"/>
    <mergeCell ref="B138:D138"/>
    <mergeCell ref="B139:D139"/>
    <mergeCell ref="B140:D140"/>
    <mergeCell ref="B141:D141"/>
    <mergeCell ref="B142:D142"/>
    <mergeCell ref="B143:D143"/>
    <mergeCell ref="B144:D144"/>
    <mergeCell ref="B145:D145"/>
    <mergeCell ref="B146:D146"/>
    <mergeCell ref="B147:D147"/>
    <mergeCell ref="A151:D151"/>
  </mergeCells>
  <hyperlinks>
    <hyperlink ref="D1" location="'Start Here'!A1" display="Back to Start Here"/>
    <hyperlink ref="A8" location="'Insights &amp; Actions'!A17" display="#1  INS-01"/>
    <hyperlink ref="A9" location="'Insights &amp; Actions'!A36" display="#2  INS-02"/>
    <hyperlink ref="A10" location="'Insights &amp; Actions'!A55" display="#3  INS-03"/>
    <hyperlink ref="A11" location="'Insights &amp; Actions'!A74" display="#4  INS-04"/>
    <hyperlink ref="A12" location="'Insights &amp; Actions'!A93" display="#5  INS-05"/>
    <hyperlink ref="A13" location="'Insights &amp; Actions'!A112" display="#6  INS-06"/>
    <hyperlink ref="A14" location="'Insights &amp; Actions'!A131" display="#7  INS-07"/>
    <hyperlink ref="A34" location="'Insights &amp; Actions'!A7" display="Back to ranking"/>
    <hyperlink ref="A53" location="'Insights &amp; Actions'!A7" display="Back to ranking"/>
    <hyperlink ref="A72" location="'Insights &amp; Actions'!A7" display="Back to ranking"/>
    <hyperlink ref="A91" location="'Insights &amp; Actions'!A7" display="Back to ranking"/>
    <hyperlink ref="A110" location="'Insights &amp; Actions'!A7" display="Back to ranking"/>
    <hyperlink ref="A129" location="'Insights &amp; Actions'!A7" display="Back to ranking"/>
    <hyperlink ref="A148" location="'Insights &amp; Actions'!A7" display="Back to ranking"/>
  </hyperlink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DC3E6"/>
    <pageSetUpPr fitToPage="true"/>
  </sheetPr>
  <dimension ref="A1:I2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2.71"/>
    <col collapsed="false" customWidth="true" hidden="false" outlineLevel="0" max="2" min="2" style="0" width="34.71"/>
    <col collapsed="false" customWidth="true" hidden="false" outlineLevel="0" max="3" min="3" style="0" width="40.71"/>
    <col collapsed="false" customWidth="true" hidden="false" outlineLevel="0" max="4" min="4" style="0" width="18.71"/>
    <col collapsed="false" customWidth="true" hidden="false" outlineLevel="0" max="6" min="5" style="0" width="15.71"/>
    <col collapsed="false" customWidth="true" hidden="false" outlineLevel="0" max="7" min="7" style="0" width="18.71"/>
    <col collapsed="false" customWidth="true" hidden="false" outlineLevel="0" max="8" min="8" style="0" width="13.71"/>
    <col collapsed="false" customWidth="true" hidden="false" outlineLevel="0" max="9" min="9" style="0" width="14.71"/>
  </cols>
  <sheetData>
    <row r="1" customFormat="false" ht="19.7" hidden="false" customHeight="false" outlineLevel="0" collapsed="false">
      <c r="A1" s="19" t="s">
        <v>646</v>
      </c>
      <c r="I1" s="5" t="s">
        <v>61</v>
      </c>
    </row>
    <row r="2" customFormat="false" ht="15" hidden="false" customHeight="false" outlineLevel="0" collapsed="false">
      <c r="A2" s="2" t="s">
        <v>647</v>
      </c>
    </row>
    <row r="3" customFormat="false" ht="60" hidden="false" customHeight="true" outlineLevel="0" collapsed="false">
      <c r="A3" s="3" t="s">
        <v>648</v>
      </c>
      <c r="B3" s="3"/>
      <c r="C3" s="3"/>
      <c r="D3" s="3"/>
      <c r="E3" s="3"/>
      <c r="F3" s="3"/>
      <c r="G3" s="3"/>
      <c r="H3" s="3"/>
      <c r="I3" s="3"/>
    </row>
    <row r="5" customFormat="false" ht="15" hidden="false" customHeight="false" outlineLevel="0" collapsed="false">
      <c r="A5" s="20" t="s">
        <v>649</v>
      </c>
      <c r="B5" s="21"/>
      <c r="C5" s="21"/>
      <c r="D5" s="21"/>
      <c r="E5" s="21"/>
      <c r="F5" s="21"/>
      <c r="G5" s="21"/>
      <c r="H5" s="21"/>
      <c r="I5" s="21"/>
    </row>
    <row r="6" customFormat="false" ht="27.75" hidden="false" customHeight="true" outlineLevel="0" collapsed="false">
      <c r="A6" s="26" t="s">
        <v>650</v>
      </c>
      <c r="B6" s="26"/>
      <c r="C6" s="26"/>
      <c r="D6" s="26"/>
      <c r="E6" s="26"/>
      <c r="F6" s="26"/>
      <c r="G6" s="26"/>
      <c r="H6" s="26"/>
      <c r="I6" s="26"/>
    </row>
    <row r="7" customFormat="false" ht="31.5" hidden="false" customHeight="true" outlineLevel="0" collapsed="false">
      <c r="A7" s="22" t="s">
        <v>651</v>
      </c>
      <c r="B7" s="22" t="s">
        <v>652</v>
      </c>
      <c r="C7" s="22" t="s">
        <v>653</v>
      </c>
      <c r="D7" s="22" t="s">
        <v>654</v>
      </c>
    </row>
    <row r="8" customFormat="false" ht="15" hidden="false" customHeight="false" outlineLevel="0" collapsed="false">
      <c r="A8" s="23" t="s">
        <v>655</v>
      </c>
      <c r="B8" s="37" t="n">
        <v>350</v>
      </c>
      <c r="C8" s="39" t="n">
        <f aca="false">B8/SUM($B$8:$B$15)</f>
        <v>0.00229234618357108</v>
      </c>
      <c r="D8" s="37" t="n">
        <v>32701017.9372</v>
      </c>
    </row>
    <row r="9" customFormat="false" ht="15" hidden="false" customHeight="false" outlineLevel="0" collapsed="false">
      <c r="A9" s="23" t="s">
        <v>656</v>
      </c>
      <c r="B9" s="37" t="n">
        <v>204</v>
      </c>
      <c r="C9" s="39" t="n">
        <f aca="false">B9/SUM($B$8:$B$15)</f>
        <v>0.00133611034699572</v>
      </c>
      <c r="D9" s="37"/>
    </row>
    <row r="10" customFormat="false" ht="15" hidden="false" customHeight="false" outlineLevel="0" collapsed="false">
      <c r="A10" s="23" t="s">
        <v>657</v>
      </c>
      <c r="B10" s="37" t="n">
        <v>16</v>
      </c>
      <c r="C10" s="39" t="n">
        <f aca="false">B10/SUM($B$8:$B$15)</f>
        <v>0.000104792968391821</v>
      </c>
      <c r="D10" s="37"/>
    </row>
    <row r="11" customFormat="false" ht="15" hidden="false" customHeight="false" outlineLevel="0" collapsed="false">
      <c r="A11" s="23" t="s">
        <v>658</v>
      </c>
      <c r="B11" s="37" t="n">
        <v>7125</v>
      </c>
      <c r="C11" s="39" t="n">
        <f aca="false">B11/SUM($B$8:$B$15)</f>
        <v>0.0466656187369828</v>
      </c>
      <c r="D11" s="37" t="n">
        <v>1821602401.0497</v>
      </c>
    </row>
    <row r="12" customFormat="false" ht="15" hidden="false" customHeight="false" outlineLevel="0" collapsed="false">
      <c r="A12" s="23" t="s">
        <v>659</v>
      </c>
      <c r="B12" s="37" t="n">
        <v>82986</v>
      </c>
      <c r="C12" s="39" t="n">
        <f aca="false">B12/SUM($B$8:$B$15)</f>
        <v>0.543521829685228</v>
      </c>
      <c r="D12" s="37" t="n">
        <v>651228064.948698</v>
      </c>
    </row>
    <row r="13" customFormat="false" ht="15" hidden="false" customHeight="false" outlineLevel="0" collapsed="false">
      <c r="A13" s="23" t="s">
        <v>660</v>
      </c>
      <c r="B13" s="37" t="n">
        <v>3637</v>
      </c>
      <c r="C13" s="39" t="n">
        <f aca="false">B13/SUM($B$8:$B$15)</f>
        <v>0.0238207516275658</v>
      </c>
      <c r="D13" s="37"/>
    </row>
    <row r="14" customFormat="false" ht="15" hidden="false" customHeight="false" outlineLevel="0" collapsed="false">
      <c r="A14" s="23" t="s">
        <v>661</v>
      </c>
      <c r="B14" s="37" t="n">
        <v>24</v>
      </c>
      <c r="C14" s="39" t="n">
        <f aca="false">B14/SUM($B$8:$B$15)</f>
        <v>0.000157189452587731</v>
      </c>
      <c r="D14" s="37" t="n">
        <v>2369.3083</v>
      </c>
    </row>
    <row r="15" customFormat="false" ht="15" hidden="false" customHeight="false" outlineLevel="0" collapsed="false">
      <c r="A15" s="23" t="s">
        <v>662</v>
      </c>
      <c r="B15" s="37" t="n">
        <v>58340</v>
      </c>
      <c r="C15" s="39" t="n">
        <f aca="false">B15/SUM($B$8:$B$15)</f>
        <v>0.382101360998677</v>
      </c>
      <c r="D15" s="37" t="n">
        <v>484785050.892798</v>
      </c>
    </row>
    <row r="16" customFormat="false" ht="15" hidden="false" customHeight="false" outlineLevel="0" collapsed="false">
      <c r="A16" s="41" t="s">
        <v>663</v>
      </c>
      <c r="B16" s="42" t="n">
        <f aca="false">SUM($B$8:$B$15)</f>
        <v>152682</v>
      </c>
    </row>
    <row r="19" customFormat="false" ht="15" hidden="false" customHeight="false" outlineLevel="0" collapsed="false">
      <c r="A19" s="20" t="s">
        <v>664</v>
      </c>
      <c r="B19" s="21"/>
      <c r="C19" s="21"/>
      <c r="D19" s="21"/>
      <c r="E19" s="21"/>
      <c r="F19" s="21"/>
      <c r="G19" s="21"/>
      <c r="H19" s="21"/>
      <c r="I19" s="21"/>
    </row>
    <row r="20" customFormat="false" ht="13.5" hidden="false" customHeight="true" outlineLevel="0" collapsed="false">
      <c r="A20" s="26" t="s">
        <v>665</v>
      </c>
      <c r="B20" s="26"/>
      <c r="C20" s="26"/>
      <c r="D20" s="26"/>
      <c r="E20" s="26"/>
      <c r="F20" s="26"/>
      <c r="G20" s="26"/>
      <c r="H20" s="26"/>
      <c r="I20" s="26"/>
    </row>
    <row r="21" customFormat="false" ht="43.5" hidden="false" customHeight="true" outlineLevel="0" collapsed="false">
      <c r="A21" s="22" t="s">
        <v>666</v>
      </c>
      <c r="B21" s="22" t="s">
        <v>667</v>
      </c>
      <c r="C21" s="22" t="s">
        <v>668</v>
      </c>
      <c r="D21" s="22" t="s">
        <v>669</v>
      </c>
      <c r="E21" s="22" t="s">
        <v>670</v>
      </c>
    </row>
    <row r="22" customFormat="false" ht="15" hidden="false" customHeight="false" outlineLevel="0" collapsed="false">
      <c r="A22" s="23" t="s">
        <v>671</v>
      </c>
      <c r="B22" s="37" t="n">
        <v>952</v>
      </c>
      <c r="C22" s="37" t="n">
        <v>8170230.2686</v>
      </c>
      <c r="D22" s="45" t="n">
        <v>0.0163181350702777</v>
      </c>
      <c r="E22" s="45" t="n">
        <v>0.016164450799697</v>
      </c>
    </row>
    <row r="23" customFormat="false" ht="15" hidden="false" customHeight="false" outlineLevel="0" collapsed="false">
      <c r="A23" s="23" t="s">
        <v>672</v>
      </c>
      <c r="B23" s="37" t="n">
        <v>3004</v>
      </c>
      <c r="C23" s="37" t="n">
        <v>24654079.143</v>
      </c>
      <c r="D23" s="45" t="n">
        <v>0.0514912581419266</v>
      </c>
      <c r="E23" s="45" t="n">
        <v>0.0487770400854502</v>
      </c>
    </row>
    <row r="24" customFormat="false" ht="15" hidden="false" customHeight="false" outlineLevel="0" collapsed="false">
      <c r="A24" s="23" t="s">
        <v>673</v>
      </c>
      <c r="B24" s="37" t="n">
        <v>8622</v>
      </c>
      <c r="C24" s="37" t="n">
        <v>120892235.7434</v>
      </c>
      <c r="D24" s="45" t="n">
        <v>0.147788824134385</v>
      </c>
      <c r="E24" s="45" t="n">
        <v>0.239180112738049</v>
      </c>
    </row>
    <row r="25" customFormat="false" ht="15" hidden="false" customHeight="false" outlineLevel="0" collapsed="false">
      <c r="A25" s="23" t="s">
        <v>674</v>
      </c>
      <c r="B25" s="37" t="n">
        <v>8623</v>
      </c>
      <c r="C25" s="37" t="n">
        <v>120036976.423401</v>
      </c>
      <c r="D25" s="45" t="n">
        <v>0.147805965032568</v>
      </c>
      <c r="E25" s="45" t="n">
        <v>0.237488018789088</v>
      </c>
    </row>
    <row r="26" customFormat="false" ht="15" hidden="false" customHeight="false" outlineLevel="0" collapsed="false">
      <c r="A26" s="23" t="s">
        <v>675</v>
      </c>
      <c r="B26" s="37" t="n">
        <v>6249</v>
      </c>
      <c r="C26" s="37" t="n">
        <v>60688262.0940999</v>
      </c>
      <c r="D26" s="45" t="n">
        <v>0.107113472745972</v>
      </c>
      <c r="E26" s="45" t="n">
        <v>0.12006912834628</v>
      </c>
    </row>
    <row r="27" customFormat="false" ht="15" hidden="false" customHeight="false" outlineLevel="0" collapsed="false">
      <c r="A27" s="23" t="s">
        <v>676</v>
      </c>
      <c r="B27" s="37" t="n">
        <v>12735</v>
      </c>
      <c r="C27" s="37" t="n">
        <v>121418334.6</v>
      </c>
      <c r="D27" s="45" t="n">
        <v>0.21828933836133</v>
      </c>
      <c r="E27" s="45" t="n">
        <v>0.240220976802305</v>
      </c>
    </row>
    <row r="28" customFormat="false" ht="15" hidden="false" customHeight="false" outlineLevel="0" collapsed="false">
      <c r="A28" s="23" t="s">
        <v>677</v>
      </c>
      <c r="B28" s="37" t="n">
        <v>7889</v>
      </c>
      <c r="C28" s="37" t="n">
        <v>25991475.5046</v>
      </c>
      <c r="D28" s="45" t="n">
        <v>0.135224545766198</v>
      </c>
      <c r="E28" s="45" t="n">
        <v>0.0514230215297996</v>
      </c>
    </row>
    <row r="29" customFormat="false" ht="15" hidden="false" customHeight="false" outlineLevel="0" collapsed="false">
      <c r="A29" s="23" t="s">
        <v>678</v>
      </c>
      <c r="B29" s="37" t="n">
        <v>2374</v>
      </c>
      <c r="C29" s="37" t="n">
        <v>20675658.5</v>
      </c>
      <c r="D29" s="45" t="n">
        <v>0.0406924922865958</v>
      </c>
      <c r="E29" s="45" t="n">
        <v>0.0409059051687972</v>
      </c>
    </row>
    <row r="30" customFormat="false" ht="15" hidden="false" customHeight="false" outlineLevel="0" collapsed="false">
      <c r="A30" s="23" t="s">
        <v>679</v>
      </c>
      <c r="B30" s="37" t="n">
        <v>1087</v>
      </c>
      <c r="C30" s="37" t="n">
        <v>8918763.7683</v>
      </c>
      <c r="D30" s="45" t="n">
        <v>0.0186321563249914</v>
      </c>
      <c r="E30" s="45" t="n">
        <v>0.017645392282378</v>
      </c>
    </row>
    <row r="31" customFormat="false" ht="15" hidden="false" customHeight="false" outlineLevel="0" collapsed="false">
      <c r="A31" s="23" t="s">
        <v>680</v>
      </c>
      <c r="B31" s="37" t="n">
        <v>91</v>
      </c>
      <c r="C31" s="37" t="n">
        <v>4303.0018</v>
      </c>
      <c r="D31" s="45" t="n">
        <v>0.0015598217346589</v>
      </c>
      <c r="E31" s="45" t="n">
        <v>8.51330483969657E-006</v>
      </c>
    </row>
    <row r="32" customFormat="false" ht="15" hidden="false" customHeight="false" outlineLevel="0" collapsed="false">
      <c r="A32" s="23" t="s">
        <v>681</v>
      </c>
      <c r="B32" s="37" t="n">
        <v>0</v>
      </c>
      <c r="C32" s="37"/>
      <c r="D32" s="45" t="n">
        <v>0</v>
      </c>
      <c r="E32" s="45"/>
    </row>
    <row r="33" customFormat="false" ht="15" hidden="false" customHeight="false" outlineLevel="0" collapsed="false">
      <c r="A33" s="23" t="s">
        <v>682</v>
      </c>
      <c r="B33" s="37" t="n">
        <v>598</v>
      </c>
      <c r="C33" s="37" t="n">
        <v>4785990.4308</v>
      </c>
      <c r="D33" s="45" t="n">
        <v>0.0102502571134728</v>
      </c>
      <c r="E33" s="45" t="n">
        <v>0.00946887716785782</v>
      </c>
    </row>
    <row r="34" customFormat="false" ht="15" hidden="false" customHeight="false" outlineLevel="0" collapsed="false">
      <c r="A34" s="23" t="s">
        <v>683</v>
      </c>
      <c r="B34" s="37" t="n">
        <v>2664</v>
      </c>
      <c r="C34" s="37" t="n">
        <v>22806356.5993</v>
      </c>
      <c r="D34" s="45" t="n">
        <v>0.0456633527596846</v>
      </c>
      <c r="E34" s="45" t="n">
        <v>0.0451214001380772</v>
      </c>
    </row>
    <row r="37" customFormat="false" ht="15" hidden="false" customHeight="false" outlineLevel="0" collapsed="false">
      <c r="A37" s="20" t="s">
        <v>684</v>
      </c>
      <c r="B37" s="21"/>
      <c r="C37" s="21"/>
      <c r="D37" s="21"/>
      <c r="E37" s="21"/>
      <c r="F37" s="21"/>
      <c r="G37" s="21"/>
      <c r="H37" s="21"/>
      <c r="I37" s="21"/>
    </row>
    <row r="38" customFormat="false" ht="27.75" hidden="false" customHeight="true" outlineLevel="0" collapsed="false">
      <c r="A38" s="26" t="s">
        <v>685</v>
      </c>
      <c r="B38" s="26"/>
      <c r="C38" s="26"/>
      <c r="D38" s="26"/>
      <c r="E38" s="26"/>
      <c r="F38" s="26"/>
      <c r="G38" s="26"/>
      <c r="H38" s="26"/>
      <c r="I38" s="26"/>
    </row>
    <row r="39" customFormat="false" ht="31.5" hidden="false" customHeight="true" outlineLevel="0" collapsed="false">
      <c r="A39" s="22" t="s">
        <v>686</v>
      </c>
      <c r="B39" s="22" t="s">
        <v>162</v>
      </c>
      <c r="C39" s="22" t="s">
        <v>687</v>
      </c>
      <c r="D39" s="22" t="s">
        <v>688</v>
      </c>
      <c r="E39" s="22" t="s">
        <v>689</v>
      </c>
      <c r="F39" s="22" t="s">
        <v>690</v>
      </c>
      <c r="G39" s="22" t="s">
        <v>691</v>
      </c>
    </row>
    <row r="40" customFormat="false" ht="15" hidden="false" customHeight="false" outlineLevel="0" collapsed="false">
      <c r="A40" s="23" t="s">
        <v>692</v>
      </c>
      <c r="B40" s="23" t="s">
        <v>228</v>
      </c>
      <c r="C40" s="37" t="n">
        <v>697</v>
      </c>
      <c r="D40" s="37" t="n">
        <v>26</v>
      </c>
      <c r="E40" s="39" t="n">
        <f aca="false">IF(C40&gt;0,D40/C40,"n/a")</f>
        <v>0.0373027259684362</v>
      </c>
      <c r="F40" s="37" t="n">
        <v>2</v>
      </c>
      <c r="G40" s="23" t="s">
        <v>693</v>
      </c>
    </row>
    <row r="41" customFormat="false" ht="15" hidden="false" customHeight="false" outlineLevel="0" collapsed="false">
      <c r="A41" s="23" t="s">
        <v>692</v>
      </c>
      <c r="B41" s="23" t="s">
        <v>172</v>
      </c>
      <c r="C41" s="37" t="n">
        <v>12198</v>
      </c>
      <c r="D41" s="37" t="n">
        <v>10717</v>
      </c>
      <c r="E41" s="39" t="n">
        <f aca="false">IF(C41&gt;0,D41/C41,"n/a")</f>
        <v>0.878586653549762</v>
      </c>
      <c r="F41" s="37" t="n">
        <v>2</v>
      </c>
      <c r="G41" s="23" t="s">
        <v>694</v>
      </c>
    </row>
    <row r="42" customFormat="false" ht="15" hidden="false" customHeight="false" outlineLevel="0" collapsed="false">
      <c r="A42" s="23" t="s">
        <v>692</v>
      </c>
      <c r="B42" s="23" t="s">
        <v>227</v>
      </c>
      <c r="C42" s="37" t="n">
        <v>345</v>
      </c>
      <c r="D42" s="37" t="n">
        <v>12</v>
      </c>
      <c r="E42" s="39" t="n">
        <f aca="false">IF(C42&gt;0,D42/C42,"n/a")</f>
        <v>0.0347826086956522</v>
      </c>
      <c r="F42" s="37" t="n">
        <v>2</v>
      </c>
      <c r="G42" s="23" t="s">
        <v>693</v>
      </c>
    </row>
    <row r="43" customFormat="false" ht="15" hidden="false" customHeight="false" outlineLevel="0" collapsed="false">
      <c r="A43" s="23" t="s">
        <v>692</v>
      </c>
      <c r="B43" s="23" t="s">
        <v>226</v>
      </c>
      <c r="C43" s="37" t="n">
        <v>8645</v>
      </c>
      <c r="D43" s="37" t="n">
        <v>320</v>
      </c>
      <c r="E43" s="39" t="n">
        <f aca="false">IF(C43&gt;0,D43/C43,"n/a")</f>
        <v>0.0370156159629844</v>
      </c>
      <c r="F43" s="37" t="n">
        <v>2</v>
      </c>
      <c r="G43" s="23" t="s">
        <v>693</v>
      </c>
    </row>
    <row r="44" customFormat="false" ht="15" hidden="false" customHeight="false" outlineLevel="0" collapsed="false">
      <c r="A44" s="23" t="s">
        <v>692</v>
      </c>
      <c r="B44" s="23" t="s">
        <v>225</v>
      </c>
      <c r="C44" s="37" t="n">
        <v>3285</v>
      </c>
      <c r="D44" s="37" t="n">
        <v>118</v>
      </c>
      <c r="E44" s="39" t="n">
        <f aca="false">IF(C44&gt;0,D44/C44,"n/a")</f>
        <v>0.0359208523592085</v>
      </c>
      <c r="F44" s="37" t="n">
        <v>2</v>
      </c>
      <c r="G44" s="23" t="s">
        <v>693</v>
      </c>
    </row>
    <row r="45" customFormat="false" ht="15" hidden="false" customHeight="false" outlineLevel="0" collapsed="false">
      <c r="A45" s="23" t="s">
        <v>692</v>
      </c>
      <c r="B45" s="23" t="s">
        <v>224</v>
      </c>
      <c r="C45" s="37" t="n">
        <v>32813</v>
      </c>
      <c r="D45" s="37" t="n">
        <v>32063</v>
      </c>
      <c r="E45" s="39" t="n">
        <f aca="false">IF(C45&gt;0,D45/C45,"n/a")</f>
        <v>0.97714320543687</v>
      </c>
      <c r="F45" s="37" t="n">
        <v>2</v>
      </c>
      <c r="G45" s="23" t="s">
        <v>694</v>
      </c>
    </row>
    <row r="46" customFormat="false" ht="15" hidden="false" customHeight="false" outlineLevel="0" collapsed="false">
      <c r="A46" s="23" t="s">
        <v>692</v>
      </c>
      <c r="B46" s="23" t="s">
        <v>229</v>
      </c>
      <c r="C46" s="37" t="n">
        <v>357</v>
      </c>
      <c r="D46" s="37" t="n">
        <v>15</v>
      </c>
      <c r="E46" s="39" t="n">
        <f aca="false">IF(C46&gt;0,D46/C46,"n/a")</f>
        <v>0.0420168067226891</v>
      </c>
      <c r="F46" s="37" t="n">
        <v>2</v>
      </c>
      <c r="G46" s="23" t="s">
        <v>693</v>
      </c>
    </row>
    <row r="47" customFormat="false" ht="15" hidden="false" customHeight="false" outlineLevel="0" collapsed="false">
      <c r="A47" s="23" t="s">
        <v>695</v>
      </c>
      <c r="B47" s="23" t="s">
        <v>228</v>
      </c>
      <c r="C47" s="37" t="n">
        <v>697</v>
      </c>
      <c r="D47" s="37" t="n">
        <v>667</v>
      </c>
      <c r="E47" s="39" t="n">
        <f aca="false">IF(C47&gt;0,D47/C47,"n/a")</f>
        <v>0.956958393113343</v>
      </c>
      <c r="F47" s="37" t="n">
        <v>1</v>
      </c>
      <c r="G47" s="23" t="s">
        <v>694</v>
      </c>
    </row>
    <row r="48" customFormat="false" ht="15" hidden="false" customHeight="false" outlineLevel="0" collapsed="false">
      <c r="A48" s="23" t="s">
        <v>695</v>
      </c>
      <c r="B48" s="23" t="s">
        <v>172</v>
      </c>
      <c r="C48" s="37" t="n">
        <v>12198</v>
      </c>
      <c r="D48" s="37" t="n">
        <v>11648</v>
      </c>
      <c r="E48" s="39" t="n">
        <f aca="false">IF(C48&gt;0,D48/C48,"n/a")</f>
        <v>0.954910641088703</v>
      </c>
      <c r="F48" s="37" t="n">
        <v>3</v>
      </c>
      <c r="G48" s="23" t="s">
        <v>694</v>
      </c>
    </row>
    <row r="49" customFormat="false" ht="15" hidden="false" customHeight="false" outlineLevel="0" collapsed="false">
      <c r="A49" s="23" t="s">
        <v>695</v>
      </c>
      <c r="B49" s="23" t="s">
        <v>227</v>
      </c>
      <c r="C49" s="37" t="n">
        <v>345</v>
      </c>
      <c r="D49" s="37" t="n">
        <v>328</v>
      </c>
      <c r="E49" s="39" t="n">
        <f aca="false">IF(C49&gt;0,D49/C49,"n/a")</f>
        <v>0.950724637681159</v>
      </c>
      <c r="F49" s="37" t="n">
        <v>2</v>
      </c>
      <c r="G49" s="23" t="s">
        <v>694</v>
      </c>
    </row>
    <row r="50" customFormat="false" ht="15" hidden="false" customHeight="false" outlineLevel="0" collapsed="false">
      <c r="A50" s="23" t="s">
        <v>695</v>
      </c>
      <c r="B50" s="23" t="s">
        <v>226</v>
      </c>
      <c r="C50" s="37" t="n">
        <v>8645</v>
      </c>
      <c r="D50" s="37" t="n">
        <v>8202</v>
      </c>
      <c r="E50" s="39" t="n">
        <f aca="false">IF(C50&gt;0,D50/C50,"n/a")</f>
        <v>0.948756506651243</v>
      </c>
      <c r="F50" s="37" t="n">
        <v>6</v>
      </c>
      <c r="G50" s="23" t="s">
        <v>694</v>
      </c>
    </row>
    <row r="51" customFormat="false" ht="15" hidden="false" customHeight="false" outlineLevel="0" collapsed="false">
      <c r="A51" s="23" t="s">
        <v>695</v>
      </c>
      <c r="B51" s="23" t="s">
        <v>225</v>
      </c>
      <c r="C51" s="37" t="n">
        <v>3285</v>
      </c>
      <c r="D51" s="37" t="n">
        <v>3130</v>
      </c>
      <c r="E51" s="39" t="n">
        <f aca="false">IF(C51&gt;0,D51/C51,"n/a")</f>
        <v>0.952815829528158</v>
      </c>
      <c r="F51" s="37" t="n">
        <v>5</v>
      </c>
      <c r="G51" s="23" t="s">
        <v>694</v>
      </c>
    </row>
    <row r="52" customFormat="false" ht="15" hidden="false" customHeight="false" outlineLevel="0" collapsed="false">
      <c r="A52" s="23" t="s">
        <v>695</v>
      </c>
      <c r="B52" s="23" t="s">
        <v>224</v>
      </c>
      <c r="C52" s="37" t="n">
        <v>32813</v>
      </c>
      <c r="D52" s="37" t="n">
        <v>31363</v>
      </c>
      <c r="E52" s="39" t="n">
        <f aca="false">IF(C52&gt;0,D52/C52,"n/a")</f>
        <v>0.955810197177948</v>
      </c>
      <c r="F52" s="37" t="n">
        <v>2</v>
      </c>
      <c r="G52" s="23" t="s">
        <v>694</v>
      </c>
    </row>
    <row r="53" customFormat="false" ht="15" hidden="false" customHeight="false" outlineLevel="0" collapsed="false">
      <c r="A53" s="23" t="s">
        <v>695</v>
      </c>
      <c r="B53" s="23" t="s">
        <v>229</v>
      </c>
      <c r="C53" s="37" t="n">
        <v>357</v>
      </c>
      <c r="D53" s="37" t="n">
        <v>338</v>
      </c>
      <c r="E53" s="39" t="n">
        <f aca="false">IF(C53&gt;0,D53/C53,"n/a")</f>
        <v>0.946778711484594</v>
      </c>
      <c r="F53" s="37" t="n">
        <v>1</v>
      </c>
      <c r="G53" s="23" t="s">
        <v>694</v>
      </c>
    </row>
    <row r="54" customFormat="false" ht="15" hidden="false" customHeight="false" outlineLevel="0" collapsed="false">
      <c r="A54" s="23" t="s">
        <v>696</v>
      </c>
      <c r="B54" s="23" t="s">
        <v>228</v>
      </c>
      <c r="C54" s="37" t="n">
        <v>697</v>
      </c>
      <c r="D54" s="37" t="n">
        <v>0</v>
      </c>
      <c r="E54" s="39" t="n">
        <f aca="false">IF(C54&gt;0,D54/C54,"n/a")</f>
        <v>0</v>
      </c>
      <c r="F54" s="37" t="n">
        <v>0</v>
      </c>
      <c r="G54" s="23" t="s">
        <v>697</v>
      </c>
    </row>
    <row r="55" customFormat="false" ht="15" hidden="false" customHeight="false" outlineLevel="0" collapsed="false">
      <c r="A55" s="23" t="s">
        <v>696</v>
      </c>
      <c r="B55" s="23" t="s">
        <v>172</v>
      </c>
      <c r="C55" s="37" t="n">
        <v>12198</v>
      </c>
      <c r="D55" s="37" t="n">
        <v>10174</v>
      </c>
      <c r="E55" s="39" t="n">
        <f aca="false">IF(C55&gt;0,D55/C55,"n/a")</f>
        <v>0.834071159206427</v>
      </c>
      <c r="F55" s="37" t="n">
        <v>3</v>
      </c>
      <c r="G55" s="23" t="s">
        <v>694</v>
      </c>
    </row>
    <row r="56" customFormat="false" ht="15" hidden="false" customHeight="false" outlineLevel="0" collapsed="false">
      <c r="A56" s="23" t="s">
        <v>696</v>
      </c>
      <c r="B56" s="23" t="s">
        <v>227</v>
      </c>
      <c r="C56" s="37" t="n">
        <v>345</v>
      </c>
      <c r="D56" s="37" t="n">
        <v>0</v>
      </c>
      <c r="E56" s="39" t="n">
        <f aca="false">IF(C56&gt;0,D56/C56,"n/a")</f>
        <v>0</v>
      </c>
      <c r="F56" s="37" t="n">
        <v>0</v>
      </c>
      <c r="G56" s="23" t="s">
        <v>697</v>
      </c>
    </row>
    <row r="57" customFormat="false" ht="15" hidden="false" customHeight="false" outlineLevel="0" collapsed="false">
      <c r="A57" s="23" t="s">
        <v>696</v>
      </c>
      <c r="B57" s="23" t="s">
        <v>226</v>
      </c>
      <c r="C57" s="37" t="n">
        <v>8645</v>
      </c>
      <c r="D57" s="37" t="n">
        <v>0</v>
      </c>
      <c r="E57" s="39" t="n">
        <f aca="false">IF(C57&gt;0,D57/C57,"n/a")</f>
        <v>0</v>
      </c>
      <c r="F57" s="37" t="n">
        <v>0</v>
      </c>
      <c r="G57" s="23" t="s">
        <v>697</v>
      </c>
    </row>
    <row r="58" customFormat="false" ht="15" hidden="false" customHeight="false" outlineLevel="0" collapsed="false">
      <c r="A58" s="23" t="s">
        <v>696</v>
      </c>
      <c r="B58" s="23" t="s">
        <v>225</v>
      </c>
      <c r="C58" s="37" t="n">
        <v>3285</v>
      </c>
      <c r="D58" s="37" t="n">
        <v>0</v>
      </c>
      <c r="E58" s="39" t="n">
        <f aca="false">IF(C58&gt;0,D58/C58,"n/a")</f>
        <v>0</v>
      </c>
      <c r="F58" s="37" t="n">
        <v>0</v>
      </c>
      <c r="G58" s="23" t="s">
        <v>697</v>
      </c>
    </row>
    <row r="59" customFormat="false" ht="15" hidden="false" customHeight="false" outlineLevel="0" collapsed="false">
      <c r="A59" s="23" t="s">
        <v>696</v>
      </c>
      <c r="B59" s="23" t="s">
        <v>224</v>
      </c>
      <c r="C59" s="37" t="n">
        <v>32813</v>
      </c>
      <c r="D59" s="37" t="n">
        <v>30467</v>
      </c>
      <c r="E59" s="39" t="n">
        <f aca="false">IF(C59&gt;0,D59/C59,"n/a")</f>
        <v>0.928503946606528</v>
      </c>
      <c r="F59" s="37" t="n">
        <v>3</v>
      </c>
      <c r="G59" s="23" t="s">
        <v>694</v>
      </c>
    </row>
    <row r="60" customFormat="false" ht="15" hidden="false" customHeight="false" outlineLevel="0" collapsed="false">
      <c r="A60" s="23" t="s">
        <v>696</v>
      </c>
      <c r="B60" s="23" t="s">
        <v>229</v>
      </c>
      <c r="C60" s="37" t="n">
        <v>357</v>
      </c>
      <c r="D60" s="37" t="n">
        <v>0</v>
      </c>
      <c r="E60" s="39" t="n">
        <f aca="false">IF(C60&gt;0,D60/C60,"n/a")</f>
        <v>0</v>
      </c>
      <c r="F60" s="37" t="n">
        <v>0</v>
      </c>
      <c r="G60" s="23" t="s">
        <v>697</v>
      </c>
    </row>
    <row r="61" customFormat="false" ht="15" hidden="false" customHeight="false" outlineLevel="0" collapsed="false">
      <c r="A61" s="23" t="s">
        <v>411</v>
      </c>
      <c r="B61" s="23" t="s">
        <v>228</v>
      </c>
      <c r="C61" s="37" t="n">
        <v>697</v>
      </c>
      <c r="D61" s="37" t="n">
        <v>697</v>
      </c>
      <c r="E61" s="39" t="n">
        <f aca="false">IF(C61&gt;0,D61/C61,"n/a")</f>
        <v>1</v>
      </c>
      <c r="F61" s="37" t="n">
        <v>5</v>
      </c>
      <c r="G61" s="23" t="s">
        <v>698</v>
      </c>
    </row>
    <row r="62" customFormat="false" ht="15" hidden="false" customHeight="false" outlineLevel="0" collapsed="false">
      <c r="A62" s="23" t="s">
        <v>411</v>
      </c>
      <c r="B62" s="23" t="s">
        <v>172</v>
      </c>
      <c r="C62" s="37" t="n">
        <v>12198</v>
      </c>
      <c r="D62" s="37" t="n">
        <v>12198</v>
      </c>
      <c r="E62" s="39" t="n">
        <f aca="false">IF(C62&gt;0,D62/C62,"n/a")</f>
        <v>1</v>
      </c>
      <c r="F62" s="37" t="n">
        <v>5</v>
      </c>
      <c r="G62" s="23" t="s">
        <v>698</v>
      </c>
    </row>
    <row r="63" customFormat="false" ht="15" hidden="false" customHeight="false" outlineLevel="0" collapsed="false">
      <c r="A63" s="23" t="s">
        <v>411</v>
      </c>
      <c r="B63" s="23" t="s">
        <v>227</v>
      </c>
      <c r="C63" s="37" t="n">
        <v>345</v>
      </c>
      <c r="D63" s="37" t="n">
        <v>345</v>
      </c>
      <c r="E63" s="39" t="n">
        <f aca="false">IF(C63&gt;0,D63/C63,"n/a")</f>
        <v>1</v>
      </c>
      <c r="F63" s="37" t="n">
        <v>5</v>
      </c>
      <c r="G63" s="23" t="s">
        <v>698</v>
      </c>
    </row>
    <row r="64" customFormat="false" ht="15" hidden="false" customHeight="false" outlineLevel="0" collapsed="false">
      <c r="A64" s="23" t="s">
        <v>411</v>
      </c>
      <c r="B64" s="23" t="s">
        <v>226</v>
      </c>
      <c r="C64" s="37" t="n">
        <v>8645</v>
      </c>
      <c r="D64" s="37" t="n">
        <v>8645</v>
      </c>
      <c r="E64" s="39" t="n">
        <f aca="false">IF(C64&gt;0,D64/C64,"n/a")</f>
        <v>1</v>
      </c>
      <c r="F64" s="37" t="n">
        <v>5</v>
      </c>
      <c r="G64" s="23" t="s">
        <v>698</v>
      </c>
    </row>
    <row r="65" customFormat="false" ht="15" hidden="false" customHeight="false" outlineLevel="0" collapsed="false">
      <c r="A65" s="23" t="s">
        <v>411</v>
      </c>
      <c r="B65" s="23" t="s">
        <v>225</v>
      </c>
      <c r="C65" s="37" t="n">
        <v>3285</v>
      </c>
      <c r="D65" s="37" t="n">
        <v>3285</v>
      </c>
      <c r="E65" s="39" t="n">
        <f aca="false">IF(C65&gt;0,D65/C65,"n/a")</f>
        <v>1</v>
      </c>
      <c r="F65" s="37" t="n">
        <v>5</v>
      </c>
      <c r="G65" s="23" t="s">
        <v>698</v>
      </c>
    </row>
    <row r="66" customFormat="false" ht="15" hidden="false" customHeight="false" outlineLevel="0" collapsed="false">
      <c r="A66" s="23" t="s">
        <v>411</v>
      </c>
      <c r="B66" s="23" t="s">
        <v>224</v>
      </c>
      <c r="C66" s="37" t="n">
        <v>32813</v>
      </c>
      <c r="D66" s="37" t="n">
        <v>32813</v>
      </c>
      <c r="E66" s="39" t="n">
        <f aca="false">IF(C66&gt;0,D66/C66,"n/a")</f>
        <v>1</v>
      </c>
      <c r="F66" s="37" t="n">
        <v>5</v>
      </c>
      <c r="G66" s="23" t="s">
        <v>698</v>
      </c>
    </row>
    <row r="67" customFormat="false" ht="15" hidden="false" customHeight="false" outlineLevel="0" collapsed="false">
      <c r="A67" s="23" t="s">
        <v>411</v>
      </c>
      <c r="B67" s="23" t="s">
        <v>229</v>
      </c>
      <c r="C67" s="37" t="n">
        <v>357</v>
      </c>
      <c r="D67" s="37" t="n">
        <v>357</v>
      </c>
      <c r="E67" s="39" t="n">
        <f aca="false">IF(C67&gt;0,D67/C67,"n/a")</f>
        <v>1</v>
      </c>
      <c r="F67" s="37" t="n">
        <v>5</v>
      </c>
      <c r="G67" s="23" t="s">
        <v>698</v>
      </c>
    </row>
    <row r="68" customFormat="false" ht="15" hidden="false" customHeight="false" outlineLevel="0" collapsed="false">
      <c r="A68" s="23" t="s">
        <v>699</v>
      </c>
      <c r="B68" s="23" t="s">
        <v>228</v>
      </c>
      <c r="C68" s="37" t="n">
        <v>697</v>
      </c>
      <c r="D68" s="37" t="n">
        <v>0</v>
      </c>
      <c r="E68" s="39" t="n">
        <f aca="false">IF(C68&gt;0,D68/C68,"n/a")</f>
        <v>0</v>
      </c>
      <c r="F68" s="37" t="n">
        <v>0</v>
      </c>
      <c r="G68" s="23" t="s">
        <v>697</v>
      </c>
    </row>
    <row r="69" customFormat="false" ht="15" hidden="false" customHeight="false" outlineLevel="0" collapsed="false">
      <c r="A69" s="23" t="s">
        <v>699</v>
      </c>
      <c r="B69" s="23" t="s">
        <v>172</v>
      </c>
      <c r="C69" s="37" t="n">
        <v>12198</v>
      </c>
      <c r="D69" s="37" t="n">
        <v>10361</v>
      </c>
      <c r="E69" s="39" t="n">
        <f aca="false">IF(C69&gt;0,D69/C69,"n/a")</f>
        <v>0.849401541236268</v>
      </c>
      <c r="F69" s="37" t="n">
        <v>5</v>
      </c>
      <c r="G69" s="23" t="s">
        <v>694</v>
      </c>
    </row>
    <row r="70" customFormat="false" ht="15" hidden="false" customHeight="false" outlineLevel="0" collapsed="false">
      <c r="A70" s="23" t="s">
        <v>699</v>
      </c>
      <c r="B70" s="23" t="s">
        <v>227</v>
      </c>
      <c r="C70" s="37" t="n">
        <v>345</v>
      </c>
      <c r="D70" s="37" t="n">
        <v>0</v>
      </c>
      <c r="E70" s="39" t="n">
        <f aca="false">IF(C70&gt;0,D70/C70,"n/a")</f>
        <v>0</v>
      </c>
      <c r="F70" s="37" t="n">
        <v>0</v>
      </c>
      <c r="G70" s="23" t="s">
        <v>697</v>
      </c>
    </row>
    <row r="71" customFormat="false" ht="15" hidden="false" customHeight="false" outlineLevel="0" collapsed="false">
      <c r="A71" s="23" t="s">
        <v>699</v>
      </c>
      <c r="B71" s="23" t="s">
        <v>226</v>
      </c>
      <c r="C71" s="37" t="n">
        <v>8645</v>
      </c>
      <c r="D71" s="37" t="n">
        <v>0</v>
      </c>
      <c r="E71" s="39" t="n">
        <f aca="false">IF(C71&gt;0,D71/C71,"n/a")</f>
        <v>0</v>
      </c>
      <c r="F71" s="37" t="n">
        <v>0</v>
      </c>
      <c r="G71" s="23" t="s">
        <v>697</v>
      </c>
    </row>
    <row r="72" customFormat="false" ht="15" hidden="false" customHeight="false" outlineLevel="0" collapsed="false">
      <c r="A72" s="23" t="s">
        <v>699</v>
      </c>
      <c r="B72" s="23" t="s">
        <v>225</v>
      </c>
      <c r="C72" s="37" t="n">
        <v>3285</v>
      </c>
      <c r="D72" s="37" t="n">
        <v>0</v>
      </c>
      <c r="E72" s="39" t="n">
        <f aca="false">IF(C72&gt;0,D72/C72,"n/a")</f>
        <v>0</v>
      </c>
      <c r="F72" s="37" t="n">
        <v>0</v>
      </c>
      <c r="G72" s="23" t="s">
        <v>697</v>
      </c>
    </row>
    <row r="73" customFormat="false" ht="15" hidden="false" customHeight="false" outlineLevel="0" collapsed="false">
      <c r="A73" s="23" t="s">
        <v>699</v>
      </c>
      <c r="B73" s="23" t="s">
        <v>224</v>
      </c>
      <c r="C73" s="37" t="n">
        <v>32813</v>
      </c>
      <c r="D73" s="37" t="n">
        <v>31103</v>
      </c>
      <c r="E73" s="39" t="n">
        <f aca="false">IF(C73&gt;0,D73/C73,"n/a")</f>
        <v>0.947886508396063</v>
      </c>
      <c r="F73" s="37" t="n">
        <v>5</v>
      </c>
      <c r="G73" s="23" t="s">
        <v>694</v>
      </c>
    </row>
    <row r="74" customFormat="false" ht="15" hidden="false" customHeight="false" outlineLevel="0" collapsed="false">
      <c r="A74" s="23" t="s">
        <v>699</v>
      </c>
      <c r="B74" s="23" t="s">
        <v>229</v>
      </c>
      <c r="C74" s="37" t="n">
        <v>357</v>
      </c>
      <c r="D74" s="37" t="n">
        <v>0</v>
      </c>
      <c r="E74" s="39" t="n">
        <f aca="false">IF(C74&gt;0,D74/C74,"n/a")</f>
        <v>0</v>
      </c>
      <c r="F74" s="37" t="n">
        <v>0</v>
      </c>
      <c r="G74" s="23" t="s">
        <v>697</v>
      </c>
    </row>
    <row r="75" customFormat="false" ht="15" hidden="false" customHeight="false" outlineLevel="0" collapsed="false">
      <c r="A75" s="23" t="s">
        <v>700</v>
      </c>
      <c r="B75" s="23" t="s">
        <v>228</v>
      </c>
      <c r="C75" s="37" t="n">
        <v>697</v>
      </c>
      <c r="D75" s="37" t="n">
        <v>0</v>
      </c>
      <c r="E75" s="39" t="n">
        <f aca="false">IF(C75&gt;0,D75/C75,"n/a")</f>
        <v>0</v>
      </c>
      <c r="F75" s="37" t="n">
        <v>0</v>
      </c>
      <c r="G75" s="23" t="s">
        <v>697</v>
      </c>
    </row>
    <row r="76" customFormat="false" ht="15" hidden="false" customHeight="false" outlineLevel="0" collapsed="false">
      <c r="A76" s="23" t="s">
        <v>700</v>
      </c>
      <c r="B76" s="23" t="s">
        <v>172</v>
      </c>
      <c r="C76" s="37" t="n">
        <v>12198</v>
      </c>
      <c r="D76" s="37" t="n">
        <v>10559</v>
      </c>
      <c r="E76" s="39" t="n">
        <f aca="false">IF(C76&gt;0,D76/C76,"n/a")</f>
        <v>0.865633710444335</v>
      </c>
      <c r="F76" s="37" t="n">
        <v>1</v>
      </c>
      <c r="G76" s="23" t="s">
        <v>694</v>
      </c>
    </row>
    <row r="77" customFormat="false" ht="15" hidden="false" customHeight="false" outlineLevel="0" collapsed="false">
      <c r="A77" s="23" t="s">
        <v>700</v>
      </c>
      <c r="B77" s="23" t="s">
        <v>227</v>
      </c>
      <c r="C77" s="37" t="n">
        <v>345</v>
      </c>
      <c r="D77" s="37" t="n">
        <v>0</v>
      </c>
      <c r="E77" s="39" t="n">
        <f aca="false">IF(C77&gt;0,D77/C77,"n/a")</f>
        <v>0</v>
      </c>
      <c r="F77" s="37" t="n">
        <v>0</v>
      </c>
      <c r="G77" s="23" t="s">
        <v>697</v>
      </c>
    </row>
    <row r="78" customFormat="false" ht="15" hidden="false" customHeight="false" outlineLevel="0" collapsed="false">
      <c r="A78" s="23" t="s">
        <v>700</v>
      </c>
      <c r="B78" s="23" t="s">
        <v>226</v>
      </c>
      <c r="C78" s="37" t="n">
        <v>8645</v>
      </c>
      <c r="D78" s="37" t="n">
        <v>0</v>
      </c>
      <c r="E78" s="39" t="n">
        <f aca="false">IF(C78&gt;0,D78/C78,"n/a")</f>
        <v>0</v>
      </c>
      <c r="F78" s="37" t="n">
        <v>0</v>
      </c>
      <c r="G78" s="23" t="s">
        <v>697</v>
      </c>
    </row>
    <row r="79" customFormat="false" ht="15" hidden="false" customHeight="false" outlineLevel="0" collapsed="false">
      <c r="A79" s="23" t="s">
        <v>700</v>
      </c>
      <c r="B79" s="23" t="s">
        <v>225</v>
      </c>
      <c r="C79" s="37" t="n">
        <v>3285</v>
      </c>
      <c r="D79" s="37" t="n">
        <v>0</v>
      </c>
      <c r="E79" s="39" t="n">
        <f aca="false">IF(C79&gt;0,D79/C79,"n/a")</f>
        <v>0</v>
      </c>
      <c r="F79" s="37" t="n">
        <v>0</v>
      </c>
      <c r="G79" s="23" t="s">
        <v>697</v>
      </c>
    </row>
    <row r="80" customFormat="false" ht="15" hidden="false" customHeight="false" outlineLevel="0" collapsed="false">
      <c r="A80" s="23" t="s">
        <v>700</v>
      </c>
      <c r="B80" s="23" t="s">
        <v>224</v>
      </c>
      <c r="C80" s="37" t="n">
        <v>32813</v>
      </c>
      <c r="D80" s="37" t="n">
        <v>10785</v>
      </c>
      <c r="E80" s="39" t="n">
        <f aca="false">IF(C80&gt;0,D80/C80,"n/a")</f>
        <v>0.328680705817816</v>
      </c>
      <c r="F80" s="37" t="n">
        <v>1</v>
      </c>
      <c r="G80" s="23" t="s">
        <v>693</v>
      </c>
    </row>
    <row r="81" customFormat="false" ht="15" hidden="false" customHeight="false" outlineLevel="0" collapsed="false">
      <c r="A81" s="23" t="s">
        <v>700</v>
      </c>
      <c r="B81" s="23" t="s">
        <v>229</v>
      </c>
      <c r="C81" s="37" t="n">
        <v>357</v>
      </c>
      <c r="D81" s="37" t="n">
        <v>0</v>
      </c>
      <c r="E81" s="39" t="n">
        <f aca="false">IF(C81&gt;0,D81/C81,"n/a")</f>
        <v>0</v>
      </c>
      <c r="F81" s="37" t="n">
        <v>0</v>
      </c>
      <c r="G81" s="23" t="s">
        <v>697</v>
      </c>
    </row>
    <row r="82" customFormat="false" ht="15" hidden="false" customHeight="false" outlineLevel="0" collapsed="false">
      <c r="A82" s="23" t="s">
        <v>701</v>
      </c>
      <c r="B82" s="23" t="s">
        <v>228</v>
      </c>
      <c r="C82" s="37" t="n">
        <v>697</v>
      </c>
      <c r="D82" s="37" t="n">
        <v>697</v>
      </c>
      <c r="E82" s="39" t="n">
        <f aca="false">IF(C82&gt;0,D82/C82,"n/a")</f>
        <v>1</v>
      </c>
      <c r="F82" s="37" t="n">
        <v>5</v>
      </c>
      <c r="G82" s="23" t="s">
        <v>698</v>
      </c>
    </row>
    <row r="83" customFormat="false" ht="15" hidden="false" customHeight="false" outlineLevel="0" collapsed="false">
      <c r="A83" s="23" t="s">
        <v>701</v>
      </c>
      <c r="B83" s="23" t="s">
        <v>172</v>
      </c>
      <c r="C83" s="37" t="n">
        <v>12198</v>
      </c>
      <c r="D83" s="37" t="n">
        <v>12198</v>
      </c>
      <c r="E83" s="39" t="n">
        <f aca="false">IF(C83&gt;0,D83/C83,"n/a")</f>
        <v>1</v>
      </c>
      <c r="F83" s="37" t="n">
        <v>5</v>
      </c>
      <c r="G83" s="23" t="s">
        <v>698</v>
      </c>
    </row>
    <row r="84" customFormat="false" ht="15" hidden="false" customHeight="false" outlineLevel="0" collapsed="false">
      <c r="A84" s="23" t="s">
        <v>701</v>
      </c>
      <c r="B84" s="23" t="s">
        <v>227</v>
      </c>
      <c r="C84" s="37" t="n">
        <v>345</v>
      </c>
      <c r="D84" s="37" t="n">
        <v>345</v>
      </c>
      <c r="E84" s="39" t="n">
        <f aca="false">IF(C84&gt;0,D84/C84,"n/a")</f>
        <v>1</v>
      </c>
      <c r="F84" s="37" t="n">
        <v>5</v>
      </c>
      <c r="G84" s="23" t="s">
        <v>698</v>
      </c>
    </row>
    <row r="85" customFormat="false" ht="15" hidden="false" customHeight="false" outlineLevel="0" collapsed="false">
      <c r="A85" s="23" t="s">
        <v>701</v>
      </c>
      <c r="B85" s="23" t="s">
        <v>226</v>
      </c>
      <c r="C85" s="37" t="n">
        <v>8645</v>
      </c>
      <c r="D85" s="37" t="n">
        <v>8645</v>
      </c>
      <c r="E85" s="39" t="n">
        <f aca="false">IF(C85&gt;0,D85/C85,"n/a")</f>
        <v>1</v>
      </c>
      <c r="F85" s="37" t="n">
        <v>5</v>
      </c>
      <c r="G85" s="23" t="s">
        <v>698</v>
      </c>
    </row>
    <row r="86" customFormat="false" ht="15" hidden="false" customHeight="false" outlineLevel="0" collapsed="false">
      <c r="A86" s="23" t="s">
        <v>701</v>
      </c>
      <c r="B86" s="23" t="s">
        <v>225</v>
      </c>
      <c r="C86" s="37" t="n">
        <v>3285</v>
      </c>
      <c r="D86" s="37" t="n">
        <v>3285</v>
      </c>
      <c r="E86" s="39" t="n">
        <f aca="false">IF(C86&gt;0,D86/C86,"n/a")</f>
        <v>1</v>
      </c>
      <c r="F86" s="37" t="n">
        <v>5</v>
      </c>
      <c r="G86" s="23" t="s">
        <v>698</v>
      </c>
    </row>
    <row r="87" customFormat="false" ht="15" hidden="false" customHeight="false" outlineLevel="0" collapsed="false">
      <c r="A87" s="23" t="s">
        <v>701</v>
      </c>
      <c r="B87" s="23" t="s">
        <v>224</v>
      </c>
      <c r="C87" s="37" t="n">
        <v>32813</v>
      </c>
      <c r="D87" s="37" t="n">
        <v>32813</v>
      </c>
      <c r="E87" s="39" t="n">
        <f aca="false">IF(C87&gt;0,D87/C87,"n/a")</f>
        <v>1</v>
      </c>
      <c r="F87" s="37" t="n">
        <v>5</v>
      </c>
      <c r="G87" s="23" t="s">
        <v>698</v>
      </c>
    </row>
    <row r="88" customFormat="false" ht="15" hidden="false" customHeight="false" outlineLevel="0" collapsed="false">
      <c r="A88" s="23" t="s">
        <v>701</v>
      </c>
      <c r="B88" s="23" t="s">
        <v>229</v>
      </c>
      <c r="C88" s="37" t="n">
        <v>357</v>
      </c>
      <c r="D88" s="37" t="n">
        <v>357</v>
      </c>
      <c r="E88" s="39" t="n">
        <f aca="false">IF(C88&gt;0,D88/C88,"n/a")</f>
        <v>1</v>
      </c>
      <c r="F88" s="37" t="n">
        <v>5</v>
      </c>
      <c r="G88" s="23" t="s">
        <v>698</v>
      </c>
    </row>
    <row r="89" customFormat="false" ht="15" hidden="false" customHeight="false" outlineLevel="0" collapsed="false">
      <c r="A89" s="23" t="s">
        <v>702</v>
      </c>
      <c r="B89" s="23" t="s">
        <v>228</v>
      </c>
      <c r="C89" s="37" t="n">
        <v>697</v>
      </c>
      <c r="D89" s="37" t="n">
        <v>24</v>
      </c>
      <c r="E89" s="39" t="n">
        <f aca="false">IF(C89&gt;0,D89/C89,"n/a")</f>
        <v>0.0344332855093257</v>
      </c>
      <c r="F89" s="37" t="n">
        <v>3</v>
      </c>
      <c r="G89" s="23" t="s">
        <v>693</v>
      </c>
    </row>
    <row r="90" customFormat="false" ht="15" hidden="false" customHeight="false" outlineLevel="0" collapsed="false">
      <c r="A90" s="23" t="s">
        <v>702</v>
      </c>
      <c r="B90" s="23" t="s">
        <v>172</v>
      </c>
      <c r="C90" s="37" t="n">
        <v>12198</v>
      </c>
      <c r="D90" s="37" t="n">
        <v>10772</v>
      </c>
      <c r="E90" s="39" t="n">
        <f aca="false">IF(C90&gt;0,D90/C90,"n/a")</f>
        <v>0.883095589440892</v>
      </c>
      <c r="F90" s="37" t="n">
        <v>3</v>
      </c>
      <c r="G90" s="23" t="s">
        <v>694</v>
      </c>
    </row>
    <row r="91" customFormat="false" ht="15" hidden="false" customHeight="false" outlineLevel="0" collapsed="false">
      <c r="A91" s="23" t="s">
        <v>702</v>
      </c>
      <c r="B91" s="23" t="s">
        <v>227</v>
      </c>
      <c r="C91" s="37" t="n">
        <v>345</v>
      </c>
      <c r="D91" s="37" t="n">
        <v>6</v>
      </c>
      <c r="E91" s="39" t="n">
        <f aca="false">IF(C91&gt;0,D91/C91,"n/a")</f>
        <v>0.0173913043478261</v>
      </c>
      <c r="F91" s="37" t="n">
        <v>3</v>
      </c>
      <c r="G91" s="23" t="s">
        <v>693</v>
      </c>
    </row>
    <row r="92" customFormat="false" ht="15" hidden="false" customHeight="false" outlineLevel="0" collapsed="false">
      <c r="A92" s="23" t="s">
        <v>702</v>
      </c>
      <c r="B92" s="23" t="s">
        <v>226</v>
      </c>
      <c r="C92" s="37" t="n">
        <v>8645</v>
      </c>
      <c r="D92" s="37" t="n">
        <v>262</v>
      </c>
      <c r="E92" s="39" t="n">
        <f aca="false">IF(C92&gt;0,D92/C92,"n/a")</f>
        <v>0.0303065355696935</v>
      </c>
      <c r="F92" s="37" t="n">
        <v>3</v>
      </c>
      <c r="G92" s="23" t="s">
        <v>693</v>
      </c>
    </row>
    <row r="93" customFormat="false" ht="15" hidden="false" customHeight="false" outlineLevel="0" collapsed="false">
      <c r="A93" s="23" t="s">
        <v>702</v>
      </c>
      <c r="B93" s="23" t="s">
        <v>225</v>
      </c>
      <c r="C93" s="37" t="n">
        <v>3285</v>
      </c>
      <c r="D93" s="37" t="n">
        <v>93</v>
      </c>
      <c r="E93" s="39" t="n">
        <f aca="false">IF(C93&gt;0,D93/C93,"n/a")</f>
        <v>0.028310502283105</v>
      </c>
      <c r="F93" s="37" t="n">
        <v>3</v>
      </c>
      <c r="G93" s="23" t="s">
        <v>693</v>
      </c>
    </row>
    <row r="94" customFormat="false" ht="15" hidden="false" customHeight="false" outlineLevel="0" collapsed="false">
      <c r="A94" s="23" t="s">
        <v>702</v>
      </c>
      <c r="B94" s="23" t="s">
        <v>224</v>
      </c>
      <c r="C94" s="37" t="n">
        <v>32813</v>
      </c>
      <c r="D94" s="37" t="n">
        <v>11653</v>
      </c>
      <c r="E94" s="39" t="n">
        <f aca="false">IF(C94&gt;0,D94/C94,"n/a")</f>
        <v>0.355133636058879</v>
      </c>
      <c r="F94" s="37" t="n">
        <v>3</v>
      </c>
      <c r="G94" s="23" t="s">
        <v>693</v>
      </c>
    </row>
    <row r="95" customFormat="false" ht="15" hidden="false" customHeight="false" outlineLevel="0" collapsed="false">
      <c r="A95" s="23" t="s">
        <v>702</v>
      </c>
      <c r="B95" s="23" t="s">
        <v>229</v>
      </c>
      <c r="C95" s="37" t="n">
        <v>357</v>
      </c>
      <c r="D95" s="37" t="n">
        <v>10</v>
      </c>
      <c r="E95" s="39" t="n">
        <f aca="false">IF(C95&gt;0,D95/C95,"n/a")</f>
        <v>0.0280112044817927</v>
      </c>
      <c r="F95" s="37" t="n">
        <v>3</v>
      </c>
      <c r="G95" s="23" t="s">
        <v>693</v>
      </c>
    </row>
    <row r="97" customFormat="false" ht="15" hidden="false" customHeight="false" outlineLevel="0" collapsed="false">
      <c r="A97" s="63" t="s">
        <v>703</v>
      </c>
      <c r="B97" s="63"/>
      <c r="C97" s="63"/>
      <c r="D97" s="63"/>
      <c r="E97" s="63"/>
      <c r="F97" s="63"/>
      <c r="G97" s="63"/>
      <c r="H97" s="63"/>
      <c r="I97" s="63"/>
    </row>
    <row r="100" customFormat="false" ht="15" hidden="false" customHeight="false" outlineLevel="0" collapsed="false">
      <c r="A100" s="20" t="s">
        <v>704</v>
      </c>
      <c r="B100" s="21"/>
      <c r="C100" s="21"/>
      <c r="D100" s="21"/>
      <c r="E100" s="21"/>
      <c r="F100" s="21"/>
      <c r="G100" s="21"/>
      <c r="H100" s="21"/>
      <c r="I100" s="21"/>
    </row>
    <row r="101" customFormat="false" ht="42" hidden="false" customHeight="true" outlineLevel="0" collapsed="false">
      <c r="A101" s="26" t="s">
        <v>705</v>
      </c>
      <c r="B101" s="26"/>
      <c r="C101" s="26"/>
      <c r="D101" s="26"/>
      <c r="E101" s="26"/>
      <c r="F101" s="26"/>
      <c r="G101" s="26"/>
      <c r="H101" s="26"/>
      <c r="I101" s="26"/>
    </row>
    <row r="102" customFormat="false" ht="43.5" hidden="false" customHeight="true" outlineLevel="0" collapsed="false">
      <c r="A102" s="22" t="s">
        <v>706</v>
      </c>
      <c r="B102" s="22" t="s">
        <v>707</v>
      </c>
      <c r="C102" s="22" t="s">
        <v>708</v>
      </c>
      <c r="D102" s="22" t="s">
        <v>652</v>
      </c>
      <c r="E102" s="22" t="s">
        <v>68</v>
      </c>
      <c r="F102" s="22" t="s">
        <v>709</v>
      </c>
      <c r="G102" s="22" t="s">
        <v>710</v>
      </c>
      <c r="H102" s="22" t="s">
        <v>711</v>
      </c>
      <c r="I102" s="22" t="s">
        <v>712</v>
      </c>
    </row>
    <row r="103" customFormat="false" ht="15" hidden="false" customHeight="false" outlineLevel="0" collapsed="false">
      <c r="A103" s="23" t="s">
        <v>713</v>
      </c>
      <c r="B103" s="23" t="s">
        <v>714</v>
      </c>
      <c r="C103" s="23" t="s">
        <v>715</v>
      </c>
      <c r="D103" s="37" t="n">
        <v>58340</v>
      </c>
      <c r="E103" s="37" t="n">
        <v>202649002.152202</v>
      </c>
      <c r="F103" s="37" t="n">
        <v>176329755.9877</v>
      </c>
      <c r="G103" s="38" t="n">
        <f aca="false">E103-F103</f>
        <v>26319246.164502</v>
      </c>
      <c r="H103" s="39" t="n">
        <f aca="false">E103/$E$119-1</f>
        <v>0</v>
      </c>
      <c r="I103" s="39" t="n">
        <f aca="false">G103/$G$119-1</f>
        <v>0</v>
      </c>
    </row>
    <row r="104" customFormat="false" ht="15" hidden="false" customHeight="false" outlineLevel="0" collapsed="false">
      <c r="A104" s="23" t="s">
        <v>713</v>
      </c>
      <c r="B104" s="23" t="s">
        <v>716</v>
      </c>
      <c r="C104" s="23" t="s">
        <v>717</v>
      </c>
      <c r="D104" s="37" t="n">
        <v>57742</v>
      </c>
      <c r="E104" s="37" t="n">
        <v>201016749.511501</v>
      </c>
      <c r="F104" s="37" t="n">
        <v>174539649.222999</v>
      </c>
      <c r="G104" s="38" t="n">
        <f aca="false">E104-F104</f>
        <v>26477100.288502</v>
      </c>
      <c r="H104" s="39" t="n">
        <f aca="false">E104/$E$119-1</f>
        <v>-0.00805458020204908</v>
      </c>
      <c r="I104" s="39" t="n">
        <f aca="false">G104/$G$119-1</f>
        <v>0.00599766889269593</v>
      </c>
    </row>
    <row r="105" customFormat="false" ht="15" hidden="false" customHeight="false" outlineLevel="0" collapsed="false">
      <c r="A105" s="23" t="s">
        <v>713</v>
      </c>
      <c r="B105" s="23" t="s">
        <v>718</v>
      </c>
      <c r="C105" s="23" t="s">
        <v>717</v>
      </c>
      <c r="D105" s="37" t="n">
        <v>57977</v>
      </c>
      <c r="E105" s="37" t="n">
        <v>201559257.458302</v>
      </c>
      <c r="F105" s="37" t="n">
        <v>175404144.060599</v>
      </c>
      <c r="G105" s="38" t="n">
        <f aca="false">E105-F105</f>
        <v>26155113.3977021</v>
      </c>
      <c r="H105" s="39" t="n">
        <f aca="false">E105/$E$119-1</f>
        <v>-0.00537749844473234</v>
      </c>
      <c r="I105" s="39" t="n">
        <f aca="false">G105/$G$119-1</f>
        <v>-0.00623622598360252</v>
      </c>
    </row>
    <row r="106" customFormat="false" ht="15" hidden="false" customHeight="false" outlineLevel="0" collapsed="false">
      <c r="A106" s="23" t="s">
        <v>719</v>
      </c>
      <c r="B106" s="23" t="s">
        <v>720</v>
      </c>
      <c r="C106" s="23" t="s">
        <v>715</v>
      </c>
      <c r="D106" s="37" t="n">
        <v>58340</v>
      </c>
      <c r="E106" s="37" t="n">
        <v>202649002.152202</v>
      </c>
      <c r="F106" s="37" t="n">
        <v>176329755.9877</v>
      </c>
      <c r="G106" s="38" t="n">
        <f aca="false">E106-F106</f>
        <v>26319246.164502</v>
      </c>
      <c r="H106" s="39" t="n">
        <f aca="false">E106/$E$119-1</f>
        <v>0</v>
      </c>
      <c r="I106" s="39" t="n">
        <f aca="false">G106/$G$119-1</f>
        <v>0</v>
      </c>
    </row>
    <row r="107" customFormat="false" ht="15" hidden="false" customHeight="false" outlineLevel="0" collapsed="false">
      <c r="A107" s="23" t="s">
        <v>719</v>
      </c>
      <c r="B107" s="23" t="s">
        <v>721</v>
      </c>
      <c r="C107" s="23" t="s">
        <v>717</v>
      </c>
      <c r="D107" s="37" t="n">
        <v>58340</v>
      </c>
      <c r="E107" s="37" t="n">
        <v>194401777.436902</v>
      </c>
      <c r="F107" s="37" t="n">
        <v>168895795.661499</v>
      </c>
      <c r="G107" s="38" t="n">
        <f aca="false">E107-F107</f>
        <v>25505981.7754022</v>
      </c>
      <c r="H107" s="39" t="n">
        <f aca="false">E107/$E$119-1</f>
        <v>-0.0406970901791358</v>
      </c>
      <c r="I107" s="39" t="n">
        <f aca="false">G107/$G$119-1</f>
        <v>-0.0308999879410196</v>
      </c>
    </row>
    <row r="108" customFormat="false" ht="15" hidden="false" customHeight="false" outlineLevel="0" collapsed="false">
      <c r="A108" s="23" t="s">
        <v>719</v>
      </c>
      <c r="B108" s="23" t="s">
        <v>722</v>
      </c>
      <c r="C108" s="23" t="s">
        <v>717</v>
      </c>
      <c r="D108" s="37" t="n">
        <v>55966</v>
      </c>
      <c r="E108" s="37" t="n">
        <v>194395545.352201</v>
      </c>
      <c r="F108" s="37" t="n">
        <v>168889883.4877</v>
      </c>
      <c r="G108" s="38" t="n">
        <f aca="false">E108-F108</f>
        <v>25505661.8645015</v>
      </c>
      <c r="H108" s="39" t="n">
        <f aca="false">E108/$E$119-1</f>
        <v>-0.0407278432775193</v>
      </c>
      <c r="I108" s="39" t="n">
        <f aca="false">G108/$G$119-1</f>
        <v>-0.0309121429586322</v>
      </c>
    </row>
    <row r="109" customFormat="false" ht="15" hidden="false" customHeight="false" outlineLevel="0" collapsed="false">
      <c r="A109" s="23" t="s">
        <v>719</v>
      </c>
      <c r="B109" s="23" t="s">
        <v>723</v>
      </c>
      <c r="C109" s="23" t="s">
        <v>717</v>
      </c>
      <c r="D109" s="37" t="n">
        <v>56746</v>
      </c>
      <c r="E109" s="37" t="n">
        <v>200878067.052201</v>
      </c>
      <c r="F109" s="37" t="n">
        <v>171433670.6877</v>
      </c>
      <c r="G109" s="38" t="n">
        <f aca="false">E109-F109</f>
        <v>29444396.3645019</v>
      </c>
      <c r="H109" s="39" t="n">
        <f aca="false">E109/$E$119-1</f>
        <v>-0.00873892830061918</v>
      </c>
      <c r="I109" s="39" t="n">
        <f aca="false">G109/$G$119-1</f>
        <v>0.118740110581698</v>
      </c>
    </row>
    <row r="110" customFormat="false" ht="15" hidden="false" customHeight="false" outlineLevel="0" collapsed="false">
      <c r="A110" s="23" t="s">
        <v>719</v>
      </c>
      <c r="B110" s="23" t="s">
        <v>724</v>
      </c>
      <c r="C110" s="23" t="s">
        <v>717</v>
      </c>
      <c r="D110" s="37" t="n">
        <v>58340</v>
      </c>
      <c r="E110" s="37" t="n">
        <v>200879523.949402</v>
      </c>
      <c r="F110" s="37" t="n">
        <v>171437540.142999</v>
      </c>
      <c r="G110" s="38" t="n">
        <f aca="false">E110-F110</f>
        <v>29441983.8064024</v>
      </c>
      <c r="H110" s="39" t="n">
        <f aca="false">E110/$E$119-1</f>
        <v>-0.00873173903649838</v>
      </c>
      <c r="I110" s="39" t="n">
        <f aca="false">G110/$G$119-1</f>
        <v>0.118648445414525</v>
      </c>
    </row>
    <row r="111" customFormat="false" ht="15" hidden="false" customHeight="false" outlineLevel="0" collapsed="false">
      <c r="A111" s="23" t="s">
        <v>725</v>
      </c>
      <c r="B111" s="23" t="s">
        <v>726</v>
      </c>
      <c r="C111" s="23" t="s">
        <v>717</v>
      </c>
      <c r="D111" s="37" t="n">
        <v>35520</v>
      </c>
      <c r="E111" s="37" t="n">
        <v>171904041.691401</v>
      </c>
      <c r="F111" s="37" t="n">
        <v>160280619.179</v>
      </c>
      <c r="G111" s="38" t="n">
        <f aca="false">E111-F111</f>
        <v>11623422.5124008</v>
      </c>
      <c r="H111" s="39" t="n">
        <f aca="false">E111/$E$119-1</f>
        <v>-0.151715331110831</v>
      </c>
      <c r="I111" s="39" t="n">
        <f aca="false">G111/$G$119-1</f>
        <v>-0.55836795477532</v>
      </c>
    </row>
    <row r="112" customFormat="false" ht="15" hidden="false" customHeight="false" outlineLevel="0" collapsed="false">
      <c r="A112" s="23" t="s">
        <v>725</v>
      </c>
      <c r="B112" s="23" t="s">
        <v>727</v>
      </c>
      <c r="C112" s="23" t="s">
        <v>715</v>
      </c>
      <c r="D112" s="37" t="n">
        <v>58340</v>
      </c>
      <c r="E112" s="37" t="n">
        <v>202649002.152202</v>
      </c>
      <c r="F112" s="37" t="n">
        <v>176329755.9877</v>
      </c>
      <c r="G112" s="38" t="n">
        <f aca="false">E112-F112</f>
        <v>26319246.164502</v>
      </c>
      <c r="H112" s="39" t="n">
        <f aca="false">E112/$E$119-1</f>
        <v>0</v>
      </c>
      <c r="I112" s="39" t="n">
        <f aca="false">G112/$G$119-1</f>
        <v>0</v>
      </c>
    </row>
    <row r="113" customFormat="false" ht="15" hidden="false" customHeight="false" outlineLevel="0" collapsed="false">
      <c r="A113" s="23" t="s">
        <v>725</v>
      </c>
      <c r="B113" s="23" t="s">
        <v>728</v>
      </c>
      <c r="C113" s="23" t="s">
        <v>717</v>
      </c>
      <c r="D113" s="37" t="n">
        <v>45605</v>
      </c>
      <c r="E113" s="37" t="n">
        <v>164268815.4747</v>
      </c>
      <c r="F113" s="37" t="n">
        <v>144325019.086399</v>
      </c>
      <c r="G113" s="38" t="n">
        <f aca="false">E113-F113</f>
        <v>19943796.3883008</v>
      </c>
      <c r="H113" s="39" t="n">
        <f aca="false">E113/$E$119-1</f>
        <v>-0.18939242863222</v>
      </c>
      <c r="I113" s="39" t="n">
        <f aca="false">G113/$G$119-1</f>
        <v>-0.242235272862794</v>
      </c>
    </row>
    <row r="114" customFormat="false" ht="15" hidden="false" customHeight="false" outlineLevel="0" collapsed="false">
      <c r="A114" s="23" t="s">
        <v>729</v>
      </c>
      <c r="B114" s="23" t="s">
        <v>730</v>
      </c>
      <c r="C114" s="23" t="s">
        <v>717</v>
      </c>
      <c r="D114" s="37" t="n">
        <v>116863</v>
      </c>
      <c r="E114" s="37" t="n">
        <v>404384413.546998</v>
      </c>
      <c r="F114" s="37" t="n">
        <v>355227743.141602</v>
      </c>
      <c r="G114" s="38" t="n">
        <f aca="false">E114-F114</f>
        <v>49156670.4053968</v>
      </c>
      <c r="H114" s="39" t="n">
        <f aca="false">E114/$E$119-1</f>
        <v>0.995491757927737</v>
      </c>
      <c r="I114" s="39" t="n">
        <f aca="false">G114/$G$119-1</f>
        <v>0.867708144000596</v>
      </c>
    </row>
    <row r="115" customFormat="false" ht="15" hidden="false" customHeight="false" outlineLevel="0" collapsed="false">
      <c r="A115" s="23" t="s">
        <v>729</v>
      </c>
      <c r="B115" s="23" t="s">
        <v>731</v>
      </c>
      <c r="C115" s="23" t="s">
        <v>717</v>
      </c>
      <c r="D115" s="37" t="n">
        <v>136330</v>
      </c>
      <c r="E115" s="37" t="n">
        <v>471577513.158496</v>
      </c>
      <c r="F115" s="37" t="n">
        <v>417696328.804999</v>
      </c>
      <c r="G115" s="38" t="n">
        <f aca="false">E115-F115</f>
        <v>53881184.3534965</v>
      </c>
      <c r="H115" s="39" t="n">
        <f aca="false">E115/$E$119-1</f>
        <v>1.32706555744258</v>
      </c>
      <c r="I115" s="39" t="n">
        <f aca="false">G115/$G$119-1</f>
        <v>1.04721609489593</v>
      </c>
    </row>
    <row r="116" customFormat="false" ht="15" hidden="false" customHeight="false" outlineLevel="0" collapsed="false">
      <c r="A116" s="23" t="s">
        <v>729</v>
      </c>
      <c r="B116" s="23" t="s">
        <v>732</v>
      </c>
      <c r="C116" s="23" t="s">
        <v>733</v>
      </c>
      <c r="D116" s="37" t="n">
        <v>19444</v>
      </c>
      <c r="E116" s="37" t="n">
        <v>67132919.2741001</v>
      </c>
      <c r="F116" s="37" t="n">
        <v>59282056.8709999</v>
      </c>
      <c r="G116" s="38" t="n">
        <f aca="false">E116-F116</f>
        <v>7850862.40310014</v>
      </c>
      <c r="H116" s="39" t="n">
        <f aca="false">E116/$E$119-1</f>
        <v>-0.668723168823308</v>
      </c>
      <c r="I116" s="39" t="n">
        <f aca="false">G116/$G$119-1</f>
        <v>-0.701706410813203</v>
      </c>
    </row>
    <row r="117" customFormat="false" ht="15" hidden="false" customHeight="false" outlineLevel="0" collapsed="false">
      <c r="A117" s="23" t="s">
        <v>729</v>
      </c>
      <c r="B117" s="23" t="s">
        <v>734</v>
      </c>
      <c r="C117" s="23" t="s">
        <v>733</v>
      </c>
      <c r="D117" s="37" t="n">
        <v>19302</v>
      </c>
      <c r="E117" s="37" t="n">
        <v>67035118.1538998</v>
      </c>
      <c r="F117" s="37" t="n">
        <v>61726547.0677</v>
      </c>
      <c r="G117" s="38" t="n">
        <f aca="false">E117-F117</f>
        <v>5308571.08619987</v>
      </c>
      <c r="H117" s="39" t="n">
        <f aca="false">E117/$E$119-1</f>
        <v>-0.669205782204877</v>
      </c>
      <c r="I117" s="39" t="n">
        <f aca="false">G117/$G$119-1</f>
        <v>-0.798300792772713</v>
      </c>
    </row>
    <row r="118" customFormat="false" ht="15" hidden="false" customHeight="false" outlineLevel="0" collapsed="false">
      <c r="A118" s="23" t="s">
        <v>729</v>
      </c>
      <c r="B118" s="23" t="s">
        <v>735</v>
      </c>
      <c r="C118" s="23" t="s">
        <v>733</v>
      </c>
      <c r="D118" s="37" t="n">
        <v>19777</v>
      </c>
      <c r="E118" s="37" t="n">
        <v>67567373.9667999</v>
      </c>
      <c r="F118" s="37" t="n">
        <v>57889383.2152002</v>
      </c>
      <c r="G118" s="38" t="n">
        <f aca="false">E118-F118</f>
        <v>9677990.75159966</v>
      </c>
      <c r="H118" s="39" t="n">
        <f aca="false">E118/$E$119-1</f>
        <v>-0.666579291044065</v>
      </c>
      <c r="I118" s="39" t="n">
        <f aca="false">G118/$G$119-1</f>
        <v>-0.632284652413304</v>
      </c>
    </row>
    <row r="119" customFormat="false" ht="15" hidden="false" customHeight="false" outlineLevel="0" collapsed="false">
      <c r="A119" s="23" t="s">
        <v>729</v>
      </c>
      <c r="B119" s="23" t="s">
        <v>736</v>
      </c>
      <c r="C119" s="23" t="s">
        <v>715</v>
      </c>
      <c r="D119" s="37" t="n">
        <v>58340</v>
      </c>
      <c r="E119" s="37" t="n">
        <v>202649002.152202</v>
      </c>
      <c r="F119" s="37" t="n">
        <v>176329755.9877</v>
      </c>
      <c r="G119" s="38" t="n">
        <f aca="false">E119-F119</f>
        <v>26319246.164502</v>
      </c>
      <c r="H119" s="39" t="n">
        <f aca="false">E119/$E$119-1</f>
        <v>0</v>
      </c>
      <c r="I119" s="39" t="n">
        <f aca="false">G119/$G$119-1</f>
        <v>0</v>
      </c>
    </row>
    <row r="120" customFormat="false" ht="15" hidden="false" customHeight="false" outlineLevel="0" collapsed="false">
      <c r="A120" s="23" t="s">
        <v>729</v>
      </c>
      <c r="B120" s="23" t="s">
        <v>737</v>
      </c>
      <c r="C120" s="23" t="s">
        <v>733</v>
      </c>
      <c r="D120" s="37" t="n">
        <v>19467</v>
      </c>
      <c r="E120" s="37" t="n">
        <v>67193099.6115002</v>
      </c>
      <c r="F120" s="37" t="n">
        <v>62468585.6634002</v>
      </c>
      <c r="G120" s="38" t="n">
        <f aca="false">E120-F120</f>
        <v>4724513.94810003</v>
      </c>
      <c r="H120" s="39" t="n">
        <f aca="false">E120/$E$119-1</f>
        <v>-0.668426200485142</v>
      </c>
      <c r="I120" s="39" t="n">
        <f aca="false">G120/$G$119-1</f>
        <v>-0.820492049104651</v>
      </c>
    </row>
    <row r="123" customFormat="false" ht="43.5" hidden="false" customHeight="true" outlineLevel="0" collapsed="false">
      <c r="A123" s="22" t="s">
        <v>738</v>
      </c>
      <c r="B123" s="22" t="s">
        <v>739</v>
      </c>
      <c r="C123" s="22" t="s">
        <v>740</v>
      </c>
      <c r="D123" s="22" t="s">
        <v>741</v>
      </c>
      <c r="E123" s="22" t="s">
        <v>742</v>
      </c>
      <c r="F123" s="22" t="s">
        <v>743</v>
      </c>
      <c r="G123" s="22" t="s">
        <v>744</v>
      </c>
      <c r="H123" s="22" t="s">
        <v>745</v>
      </c>
    </row>
    <row r="124" customFormat="false" ht="15" hidden="false" customHeight="false" outlineLevel="0" collapsed="false">
      <c r="A124" s="23" t="s">
        <v>729</v>
      </c>
      <c r="B124" s="37" t="n">
        <v>3</v>
      </c>
      <c r="C124" s="37" t="n">
        <v>202649002.152202</v>
      </c>
      <c r="D124" s="37" t="n">
        <v>471577513.158496</v>
      </c>
      <c r="E124" s="45" t="n">
        <v>1.32706555744258</v>
      </c>
      <c r="F124" s="37" t="n">
        <v>26319246.164502</v>
      </c>
      <c r="G124" s="37" t="n">
        <v>53881184.3534965</v>
      </c>
      <c r="H124" s="45" t="n">
        <v>1.04721609489593</v>
      </c>
    </row>
    <row r="125" customFormat="false" ht="15" hidden="false" customHeight="false" outlineLevel="0" collapsed="false">
      <c r="A125" s="23" t="s">
        <v>725</v>
      </c>
      <c r="B125" s="37" t="n">
        <v>3</v>
      </c>
      <c r="C125" s="37" t="n">
        <v>164268815.4747</v>
      </c>
      <c r="D125" s="37" t="n">
        <v>202649002.152202</v>
      </c>
      <c r="E125" s="45" t="n">
        <v>0.18939242863222</v>
      </c>
      <c r="F125" s="37" t="n">
        <v>11623422.5124008</v>
      </c>
      <c r="G125" s="37" t="n">
        <v>26319246.164502</v>
      </c>
      <c r="H125" s="45" t="n">
        <v>0.55836795477532</v>
      </c>
    </row>
    <row r="126" customFormat="false" ht="15" hidden="false" customHeight="false" outlineLevel="0" collapsed="false">
      <c r="A126" s="23" t="s">
        <v>719</v>
      </c>
      <c r="B126" s="37" t="n">
        <v>5</v>
      </c>
      <c r="C126" s="37" t="n">
        <v>194395545.352201</v>
      </c>
      <c r="D126" s="37" t="n">
        <v>202649002.152202</v>
      </c>
      <c r="E126" s="45" t="n">
        <v>0.0407278432775194</v>
      </c>
      <c r="F126" s="37" t="n">
        <v>25505661.8645015</v>
      </c>
      <c r="G126" s="37" t="n">
        <v>29444396.3645019</v>
      </c>
      <c r="H126" s="45" t="n">
        <v>0.14965225354033</v>
      </c>
    </row>
    <row r="127" customFormat="false" ht="15" hidden="false" customHeight="false" outlineLevel="0" collapsed="false">
      <c r="A127" s="23" t="s">
        <v>713</v>
      </c>
      <c r="B127" s="37" t="n">
        <v>3</v>
      </c>
      <c r="C127" s="37" t="n">
        <v>201016749.511501</v>
      </c>
      <c r="D127" s="37" t="n">
        <v>202649002.152202</v>
      </c>
      <c r="E127" s="45" t="n">
        <v>0.00805458020204912</v>
      </c>
      <c r="F127" s="37" t="n">
        <v>26155113.3977021</v>
      </c>
      <c r="G127" s="37" t="n">
        <v>26477100.288502</v>
      </c>
      <c r="H127" s="45" t="n">
        <v>0.0122338948762985</v>
      </c>
    </row>
    <row r="138" customFormat="false" ht="15" hidden="false" customHeight="false" outlineLevel="0" collapsed="false">
      <c r="A138" s="20" t="s">
        <v>746</v>
      </c>
      <c r="B138" s="21"/>
      <c r="C138" s="21"/>
      <c r="D138" s="21"/>
      <c r="E138" s="21"/>
      <c r="F138" s="21"/>
      <c r="G138" s="21"/>
      <c r="H138" s="21"/>
      <c r="I138" s="21"/>
    </row>
    <row r="139" customFormat="false" ht="27.75" hidden="false" customHeight="true" outlineLevel="0" collapsed="false">
      <c r="A139" s="26" t="s">
        <v>747</v>
      </c>
      <c r="B139" s="26"/>
      <c r="C139" s="26"/>
      <c r="D139" s="26"/>
      <c r="E139" s="26"/>
      <c r="F139" s="26"/>
      <c r="G139" s="26"/>
      <c r="H139" s="26"/>
      <c r="I139" s="26"/>
    </row>
    <row r="140" customFormat="false" ht="43.5" hidden="false" customHeight="true" outlineLevel="0" collapsed="false">
      <c r="A140" s="22" t="s">
        <v>162</v>
      </c>
      <c r="B140" s="22" t="s">
        <v>748</v>
      </c>
      <c r="C140" s="22" t="s">
        <v>749</v>
      </c>
      <c r="D140" s="22" t="s">
        <v>652</v>
      </c>
      <c r="E140" s="22" t="s">
        <v>750</v>
      </c>
      <c r="F140" s="22" t="s">
        <v>751</v>
      </c>
      <c r="G140" s="22" t="s">
        <v>752</v>
      </c>
    </row>
    <row r="141" customFormat="false" ht="15" hidden="false" customHeight="false" outlineLevel="0" collapsed="false">
      <c r="A141" s="23" t="s">
        <v>171</v>
      </c>
      <c r="B141" s="23" t="s">
        <v>753</v>
      </c>
      <c r="C141" s="23" t="s">
        <v>754</v>
      </c>
      <c r="D141" s="37" t="n">
        <v>319</v>
      </c>
      <c r="E141" s="37" t="n">
        <v>5300241.7</v>
      </c>
      <c r="F141" s="37" t="n">
        <v>5300.2417</v>
      </c>
      <c r="G141" s="45" t="n">
        <v>0.0208235985184807</v>
      </c>
    </row>
    <row r="142" customFormat="false" ht="15" hidden="false" customHeight="false" outlineLevel="0" collapsed="false">
      <c r="A142" s="23" t="s">
        <v>171</v>
      </c>
      <c r="B142" s="23" t="s">
        <v>753</v>
      </c>
      <c r="C142" s="23" t="s">
        <v>755</v>
      </c>
      <c r="D142" s="37" t="n">
        <v>58</v>
      </c>
      <c r="E142" s="37" t="n">
        <v>1834580</v>
      </c>
      <c r="F142" s="37" t="n">
        <v>18.3458</v>
      </c>
      <c r="G142" s="45" t="n">
        <v>0.00720770099409511</v>
      </c>
    </row>
    <row r="143" customFormat="false" ht="15" hidden="false" customHeight="false" outlineLevel="0" collapsed="false">
      <c r="A143" s="23" t="s">
        <v>171</v>
      </c>
      <c r="B143" s="23" t="s">
        <v>756</v>
      </c>
      <c r="C143" s="23" t="s">
        <v>755</v>
      </c>
      <c r="D143" s="37" t="n">
        <v>139</v>
      </c>
      <c r="E143" s="37" t="n">
        <v>467470</v>
      </c>
      <c r="F143" s="37" t="n">
        <v>4.67469999999999</v>
      </c>
      <c r="G143" s="45" t="n">
        <v>0.00183659692338826</v>
      </c>
    </row>
    <row r="144" customFormat="false" ht="15" hidden="false" customHeight="false" outlineLevel="0" collapsed="false">
      <c r="A144" s="23" t="s">
        <v>171</v>
      </c>
      <c r="B144" s="23" t="s">
        <v>756</v>
      </c>
      <c r="C144" s="23" t="s">
        <v>754</v>
      </c>
      <c r="D144" s="37" t="n">
        <v>801</v>
      </c>
      <c r="E144" s="37" t="n">
        <v>2271156.7</v>
      </c>
      <c r="F144" s="37" t="n">
        <v>2271.1567</v>
      </c>
      <c r="G144" s="45" t="n">
        <v>0.0089229242684079</v>
      </c>
    </row>
    <row r="145" customFormat="false" ht="15" hidden="false" customHeight="false" outlineLevel="0" collapsed="false">
      <c r="A145" s="23" t="s">
        <v>172</v>
      </c>
      <c r="B145" s="23" t="s">
        <v>753</v>
      </c>
      <c r="C145" s="23" t="s">
        <v>754</v>
      </c>
      <c r="D145" s="37" t="n">
        <v>356</v>
      </c>
      <c r="E145" s="37" t="n">
        <v>3092617.2</v>
      </c>
      <c r="F145" s="37" t="n">
        <v>3092.6172</v>
      </c>
      <c r="G145" s="45" t="n">
        <v>0.0241611886138979</v>
      </c>
    </row>
    <row r="146" customFormat="false" ht="15" hidden="false" customHeight="false" outlineLevel="0" collapsed="false">
      <c r="A146" s="23" t="s">
        <v>172</v>
      </c>
      <c r="B146" s="23" t="s">
        <v>753</v>
      </c>
      <c r="C146" s="23" t="s">
        <v>755</v>
      </c>
      <c r="D146" s="37" t="n">
        <v>47</v>
      </c>
      <c r="E146" s="37" t="n">
        <v>604130</v>
      </c>
      <c r="F146" s="37" t="n">
        <v>6.0413</v>
      </c>
      <c r="G146" s="45" t="n">
        <v>0.00471978842946166</v>
      </c>
    </row>
    <row r="147" customFormat="false" ht="15" hidden="false" customHeight="false" outlineLevel="0" collapsed="false">
      <c r="A147" s="23" t="s">
        <v>172</v>
      </c>
      <c r="B147" s="23" t="s">
        <v>756</v>
      </c>
      <c r="C147" s="23" t="s">
        <v>754</v>
      </c>
      <c r="D147" s="37" t="n">
        <v>84</v>
      </c>
      <c r="E147" s="37" t="n">
        <v>1267603.9</v>
      </c>
      <c r="F147" s="37" t="n">
        <v>1267.6039</v>
      </c>
      <c r="G147" s="45" t="n">
        <v>0.00990320331776352</v>
      </c>
    </row>
    <row r="148" customFormat="false" ht="15" hidden="false" customHeight="false" outlineLevel="0" collapsed="false">
      <c r="A148" s="23" t="s">
        <v>172</v>
      </c>
      <c r="B148" s="23" t="s">
        <v>756</v>
      </c>
      <c r="C148" s="23" t="s">
        <v>755</v>
      </c>
      <c r="D148" s="37" t="n">
        <v>29</v>
      </c>
      <c r="E148" s="37" t="n">
        <v>473000</v>
      </c>
      <c r="F148" s="37" t="n">
        <v>4.73</v>
      </c>
      <c r="G148" s="45" t="n">
        <v>0.00369533035461799</v>
      </c>
    </row>
    <row r="149" customFormat="false" ht="15" hidden="false" customHeight="false" outlineLevel="0" collapsed="false">
      <c r="A149" s="23" t="s">
        <v>173</v>
      </c>
      <c r="B149" s="23" t="s">
        <v>756</v>
      </c>
      <c r="C149" s="23" t="s">
        <v>754</v>
      </c>
      <c r="D149" s="37" t="n">
        <v>125</v>
      </c>
      <c r="E149" s="37" t="n">
        <v>2314582.9</v>
      </c>
      <c r="F149" s="37" t="n">
        <v>2314.5829</v>
      </c>
      <c r="G149" s="45" t="n">
        <v>0.0421657863380474</v>
      </c>
    </row>
    <row r="150" customFormat="false" ht="15" hidden="false" customHeight="false" outlineLevel="0" collapsed="false">
      <c r="A150" s="23" t="s">
        <v>173</v>
      </c>
      <c r="B150" s="23" t="s">
        <v>756</v>
      </c>
      <c r="C150" s="23" t="s">
        <v>755</v>
      </c>
      <c r="D150" s="37" t="n">
        <v>23</v>
      </c>
      <c r="E150" s="37" t="n">
        <v>397000</v>
      </c>
      <c r="F150" s="37" t="n">
        <v>3.97</v>
      </c>
      <c r="G150" s="45" t="n">
        <v>0.0072323256065725</v>
      </c>
    </row>
    <row r="151" customFormat="false" ht="15" hidden="false" customHeight="false" outlineLevel="0" collapsed="false">
      <c r="A151" s="23" t="s">
        <v>174</v>
      </c>
      <c r="B151" s="23" t="s">
        <v>756</v>
      </c>
      <c r="C151" s="23" t="s">
        <v>755</v>
      </c>
      <c r="D151" s="37" t="n">
        <v>49</v>
      </c>
      <c r="E151" s="37" t="n">
        <v>479000</v>
      </c>
      <c r="F151" s="37" t="n">
        <v>4.79</v>
      </c>
      <c r="G151" s="45" t="n">
        <v>0.00788883556050726</v>
      </c>
    </row>
    <row r="152" customFormat="false" ht="15" hidden="false" customHeight="false" outlineLevel="0" collapsed="false">
      <c r="A152" s="23" t="s">
        <v>174</v>
      </c>
      <c r="B152" s="23" t="s">
        <v>756</v>
      </c>
      <c r="C152" s="23" t="s">
        <v>754</v>
      </c>
      <c r="D152" s="37" t="n">
        <v>282</v>
      </c>
      <c r="E152" s="37" t="n">
        <v>1827316.9</v>
      </c>
      <c r="F152" s="37" t="n">
        <v>1827.3169</v>
      </c>
      <c r="G152" s="45" t="n">
        <v>0.030094786098196</v>
      </c>
    </row>
    <row r="153" customFormat="false" ht="15" hidden="false" customHeight="false" outlineLevel="0" collapsed="false">
      <c r="A153" s="23" t="s">
        <v>175</v>
      </c>
      <c r="B153" s="23" t="s">
        <v>756</v>
      </c>
      <c r="C153" s="23" t="s">
        <v>754</v>
      </c>
      <c r="D153" s="37" t="n">
        <v>13</v>
      </c>
      <c r="E153" s="37" t="n">
        <v>65128.5</v>
      </c>
      <c r="F153" s="37" t="n">
        <v>65.1285</v>
      </c>
      <c r="G153" s="45" t="n">
        <v>0.0267764086273871</v>
      </c>
    </row>
    <row r="154" customFormat="false" ht="15" hidden="false" customHeight="false" outlineLevel="0" collapsed="false">
      <c r="A154" s="23" t="s">
        <v>175</v>
      </c>
      <c r="B154" s="23" t="s">
        <v>756</v>
      </c>
      <c r="C154" s="23" t="s">
        <v>755</v>
      </c>
      <c r="D154" s="37" t="n">
        <v>4</v>
      </c>
      <c r="E154" s="37" t="n">
        <v>46000</v>
      </c>
      <c r="F154" s="37" t="n">
        <v>0.46</v>
      </c>
      <c r="G154" s="45" t="n">
        <v>0.0189120707042202</v>
      </c>
    </row>
    <row r="155" customFormat="false" ht="15" hidden="false" customHeight="false" outlineLevel="0" collapsed="false">
      <c r="A155" s="23" t="s">
        <v>176</v>
      </c>
      <c r="B155" s="23" t="s">
        <v>756</v>
      </c>
      <c r="C155" s="23" t="s">
        <v>754</v>
      </c>
      <c r="D155" s="37" t="n">
        <v>22</v>
      </c>
      <c r="E155" s="37" t="n">
        <v>48720</v>
      </c>
      <c r="F155" s="37" t="n">
        <v>48.72</v>
      </c>
      <c r="G155" s="45" t="n">
        <v>0.0449417103249738</v>
      </c>
    </row>
    <row r="156" customFormat="false" ht="15" hidden="false" customHeight="false" outlineLevel="0" collapsed="false">
      <c r="A156" s="23" t="s">
        <v>176</v>
      </c>
      <c r="B156" s="23" t="s">
        <v>756</v>
      </c>
      <c r="C156" s="23" t="s">
        <v>755</v>
      </c>
      <c r="D156" s="37" t="n">
        <v>5</v>
      </c>
      <c r="E156" s="37" t="n">
        <v>14000</v>
      </c>
      <c r="F156" s="37" t="n">
        <v>0.14</v>
      </c>
      <c r="G156" s="45" t="n">
        <v>0.0129142845761419</v>
      </c>
    </row>
    <row r="157" customFormat="false" ht="15" hidden="false" customHeight="false" outlineLevel="0" collapsed="false">
      <c r="A157" s="23" t="s">
        <v>177</v>
      </c>
      <c r="B157" s="23" t="s">
        <v>756</v>
      </c>
      <c r="C157" s="23" t="s">
        <v>754</v>
      </c>
      <c r="D157" s="37" t="n">
        <v>15</v>
      </c>
      <c r="E157" s="37" t="n">
        <v>132110.7</v>
      </c>
      <c r="F157" s="37" t="n">
        <v>132.1107</v>
      </c>
      <c r="G157" s="45" t="n">
        <v>0.0348863486473865</v>
      </c>
    </row>
    <row r="158" customFormat="false" ht="15" hidden="false" customHeight="false" outlineLevel="0" collapsed="false">
      <c r="A158" s="23" t="s">
        <v>177</v>
      </c>
      <c r="B158" s="23" t="s">
        <v>756</v>
      </c>
      <c r="C158" s="23" t="s">
        <v>755</v>
      </c>
      <c r="D158" s="37" t="n">
        <v>3</v>
      </c>
      <c r="E158" s="37" t="n">
        <v>41000</v>
      </c>
      <c r="F158" s="37" t="n">
        <v>0.41</v>
      </c>
      <c r="G158" s="45" t="n">
        <v>0.0108268315476555</v>
      </c>
    </row>
    <row r="160" customFormat="false" ht="43.5" hidden="false" customHeight="true" outlineLevel="0" collapsed="false">
      <c r="A160" s="22" t="s">
        <v>757</v>
      </c>
      <c r="B160" s="22" t="s">
        <v>758</v>
      </c>
      <c r="C160" s="22" t="s">
        <v>759</v>
      </c>
      <c r="D160" s="22" t="s">
        <v>751</v>
      </c>
      <c r="E160" s="22" t="s">
        <v>760</v>
      </c>
      <c r="F160" s="22" t="s">
        <v>761</v>
      </c>
    </row>
    <row r="161" customFormat="false" ht="15" hidden="false" customHeight="false" outlineLevel="0" collapsed="false">
      <c r="A161" s="23" t="s">
        <v>762</v>
      </c>
      <c r="B161" s="37" t="n">
        <v>1</v>
      </c>
      <c r="C161" s="37" t="n">
        <v>1</v>
      </c>
      <c r="D161" s="37" t="n">
        <v>18633.51</v>
      </c>
      <c r="E161" s="37" t="n">
        <v>18633510</v>
      </c>
      <c r="F161" s="37" t="n">
        <v>1863351000</v>
      </c>
    </row>
    <row r="162" customFormat="false" ht="15" hidden="false" customHeight="false" outlineLevel="0" collapsed="false">
      <c r="A162" s="23" t="s">
        <v>228</v>
      </c>
      <c r="B162" s="37" t="n">
        <v>2</v>
      </c>
      <c r="C162" s="37" t="n">
        <v>0</v>
      </c>
      <c r="D162" s="37" t="n">
        <v>0</v>
      </c>
      <c r="E162" s="37" t="n">
        <v>0</v>
      </c>
      <c r="F162" s="37" t="n">
        <v>0</v>
      </c>
    </row>
    <row r="163" customFormat="false" ht="15" hidden="false" customHeight="false" outlineLevel="0" collapsed="false">
      <c r="A163" s="23" t="s">
        <v>172</v>
      </c>
      <c r="B163" s="37" t="n">
        <v>6</v>
      </c>
      <c r="C163" s="37" t="n">
        <v>2</v>
      </c>
      <c r="D163" s="37" t="n">
        <v>1954.1985</v>
      </c>
      <c r="E163" s="37" t="n">
        <v>1954198.5</v>
      </c>
      <c r="F163" s="37" t="n">
        <v>195419850</v>
      </c>
    </row>
    <row r="164" customFormat="false" ht="15" hidden="false" customHeight="false" outlineLevel="0" collapsed="false">
      <c r="A164" s="23" t="s">
        <v>226</v>
      </c>
      <c r="B164" s="37" t="n">
        <v>4</v>
      </c>
      <c r="C164" s="37" t="n">
        <v>2</v>
      </c>
      <c r="D164" s="37" t="n">
        <v>1298.37</v>
      </c>
      <c r="E164" s="37" t="n">
        <v>1298370</v>
      </c>
      <c r="F164" s="37" t="n">
        <v>129837000</v>
      </c>
    </row>
    <row r="165" customFormat="false" ht="15" hidden="false" customHeight="false" outlineLevel="0" collapsed="false">
      <c r="A165" s="23" t="s">
        <v>224</v>
      </c>
      <c r="B165" s="37" t="n">
        <v>60</v>
      </c>
      <c r="C165" s="37" t="n">
        <v>23</v>
      </c>
      <c r="D165" s="37" t="n">
        <v>599.3498</v>
      </c>
      <c r="E165" s="37" t="n">
        <v>599349.8</v>
      </c>
      <c r="F165" s="37" t="n">
        <v>59934980</v>
      </c>
    </row>
    <row r="169" customFormat="false" ht="15" hidden="false" customHeight="false" outlineLevel="0" collapsed="false">
      <c r="A169" s="20" t="s">
        <v>763</v>
      </c>
      <c r="B169" s="21"/>
      <c r="C169" s="21"/>
      <c r="D169" s="21"/>
      <c r="E169" s="21"/>
      <c r="F169" s="21"/>
      <c r="G169" s="21"/>
      <c r="H169" s="21"/>
      <c r="I169" s="21"/>
    </row>
    <row r="170" customFormat="false" ht="27.75" hidden="false" customHeight="true" outlineLevel="0" collapsed="false">
      <c r="A170" s="26" t="s">
        <v>764</v>
      </c>
      <c r="B170" s="26"/>
      <c r="C170" s="26"/>
      <c r="D170" s="26"/>
      <c r="E170" s="26"/>
      <c r="F170" s="26"/>
      <c r="G170" s="26"/>
      <c r="H170" s="26"/>
      <c r="I170" s="26"/>
    </row>
    <row r="171" customFormat="false" ht="31.5" hidden="false" customHeight="true" outlineLevel="0" collapsed="false">
      <c r="A171" s="22" t="s">
        <v>765</v>
      </c>
      <c r="B171" s="22" t="s">
        <v>687</v>
      </c>
      <c r="C171" s="22" t="s">
        <v>374</v>
      </c>
      <c r="D171" s="22" t="s">
        <v>669</v>
      </c>
      <c r="E171" s="22" t="s">
        <v>766</v>
      </c>
    </row>
    <row r="172" customFormat="false" ht="15" hidden="false" customHeight="false" outlineLevel="0" collapsed="false">
      <c r="A172" s="23" t="s">
        <v>767</v>
      </c>
      <c r="B172" s="37" t="n">
        <v>55420</v>
      </c>
      <c r="C172" s="37" t="n">
        <v>480740149.386099</v>
      </c>
      <c r="D172" s="45" t="n">
        <v>0.949948577305451</v>
      </c>
      <c r="E172" s="45" t="n">
        <v>0.951123803946615</v>
      </c>
    </row>
    <row r="173" customFormat="false" ht="15" hidden="false" customHeight="false" outlineLevel="0" collapsed="false">
      <c r="A173" s="23" t="s">
        <v>768</v>
      </c>
      <c r="B173" s="37" t="n">
        <v>2322</v>
      </c>
      <c r="C173" s="37" t="n">
        <v>19918206.5356</v>
      </c>
      <c r="D173" s="45" t="n">
        <v>0.0398011655810765</v>
      </c>
      <c r="E173" s="45" t="n">
        <v>0.0394073188855277</v>
      </c>
    </row>
    <row r="174" customFormat="false" ht="15" hidden="false" customHeight="false" outlineLevel="0" collapsed="false">
      <c r="A174" s="23" t="s">
        <v>769</v>
      </c>
      <c r="B174" s="37" t="n">
        <v>363</v>
      </c>
      <c r="C174" s="37" t="n">
        <v>2607683.2862</v>
      </c>
      <c r="D174" s="45" t="n">
        <v>0.00622214604045252</v>
      </c>
      <c r="E174" s="45" t="n">
        <v>0.00515918974070667</v>
      </c>
    </row>
    <row r="175" customFormat="false" ht="15" hidden="false" customHeight="false" outlineLevel="0" collapsed="false">
      <c r="A175" s="23" t="s">
        <v>770</v>
      </c>
      <c r="B175" s="37" t="n">
        <v>235</v>
      </c>
      <c r="C175" s="37" t="n">
        <v>2178307.1446</v>
      </c>
      <c r="D175" s="45" t="n">
        <v>0.00402811107302023</v>
      </c>
      <c r="E175" s="45" t="n">
        <v>0.00430968742715116</v>
      </c>
    </row>
    <row r="177" customFormat="false" ht="31.5" hidden="false" customHeight="true" outlineLevel="0" collapsed="false">
      <c r="A177" s="22" t="s">
        <v>771</v>
      </c>
      <c r="B177" s="22" t="s">
        <v>772</v>
      </c>
      <c r="C177" s="22" t="s">
        <v>773</v>
      </c>
    </row>
    <row r="178" customFormat="false" ht="15" hidden="false" customHeight="false" outlineLevel="0" collapsed="false">
      <c r="A178" s="23" t="s">
        <v>774</v>
      </c>
      <c r="B178" s="37" t="n">
        <v>0</v>
      </c>
      <c r="C178" s="37" t="n">
        <v>0</v>
      </c>
    </row>
    <row r="179" customFormat="false" ht="15" hidden="false" customHeight="false" outlineLevel="0" collapsed="false">
      <c r="A179" s="23" t="s">
        <v>775</v>
      </c>
      <c r="B179" s="37" t="n">
        <v>0</v>
      </c>
      <c r="C179" s="37" t="n">
        <v>0</v>
      </c>
    </row>
    <row r="180" customFormat="false" ht="15" hidden="false" customHeight="false" outlineLevel="0" collapsed="false">
      <c r="A180" s="23" t="s">
        <v>776</v>
      </c>
      <c r="B180" s="37" t="n">
        <v>9</v>
      </c>
      <c r="C180" s="37" t="n">
        <v>18</v>
      </c>
    </row>
    <row r="184" customFormat="false" ht="15" hidden="false" customHeight="false" outlineLevel="0" collapsed="false">
      <c r="A184" s="20" t="s">
        <v>777</v>
      </c>
      <c r="B184" s="21"/>
      <c r="C184" s="21"/>
      <c r="D184" s="21"/>
      <c r="E184" s="21"/>
      <c r="F184" s="21"/>
      <c r="G184" s="21"/>
      <c r="H184" s="21"/>
      <c r="I184" s="21"/>
    </row>
    <row r="185" customFormat="false" ht="27.75" hidden="false" customHeight="true" outlineLevel="0" collapsed="false">
      <c r="A185" s="26" t="s">
        <v>778</v>
      </c>
      <c r="B185" s="26"/>
      <c r="C185" s="26"/>
      <c r="D185" s="26"/>
      <c r="E185" s="26"/>
      <c r="F185" s="26"/>
      <c r="G185" s="26"/>
      <c r="H185" s="26"/>
      <c r="I185" s="26"/>
    </row>
    <row r="186" customFormat="false" ht="24" hidden="false" customHeight="true" outlineLevel="0" collapsed="false">
      <c r="A186" s="22" t="s">
        <v>779</v>
      </c>
      <c r="B186" s="22" t="s">
        <v>66</v>
      </c>
      <c r="C186" s="22" t="s">
        <v>780</v>
      </c>
    </row>
    <row r="187" customFormat="false" ht="15" hidden="false" customHeight="false" outlineLevel="0" collapsed="false">
      <c r="A187" s="23" t="s">
        <v>781</v>
      </c>
      <c r="B187" s="37" t="n">
        <v>4907</v>
      </c>
      <c r="C187" s="23"/>
    </row>
    <row r="188" customFormat="false" ht="15" hidden="false" customHeight="false" outlineLevel="0" collapsed="false">
      <c r="A188" s="23" t="s">
        <v>782</v>
      </c>
      <c r="B188" s="37" t="n">
        <v>4210</v>
      </c>
      <c r="C188" s="23"/>
    </row>
    <row r="189" customFormat="false" ht="15" hidden="false" customHeight="false" outlineLevel="0" collapsed="false">
      <c r="A189" s="23" t="s">
        <v>783</v>
      </c>
      <c r="B189" s="37" t="n">
        <v>3</v>
      </c>
      <c r="C189" s="23" t="s">
        <v>784</v>
      </c>
    </row>
    <row r="190" customFormat="false" ht="15" hidden="false" customHeight="false" outlineLevel="0" collapsed="false">
      <c r="A190" s="23" t="s">
        <v>785</v>
      </c>
      <c r="B190" s="37" t="n">
        <v>9</v>
      </c>
      <c r="C190" s="23" t="s">
        <v>784</v>
      </c>
    </row>
    <row r="191" customFormat="false" ht="15" hidden="false" customHeight="false" outlineLevel="0" collapsed="false">
      <c r="A191" s="23" t="s">
        <v>786</v>
      </c>
      <c r="B191" s="37" t="n">
        <v>7</v>
      </c>
      <c r="C191" s="23" t="s">
        <v>784</v>
      </c>
    </row>
    <row r="192" customFormat="false" ht="15" hidden="false" customHeight="false" outlineLevel="0" collapsed="false">
      <c r="A192" s="23" t="s">
        <v>787</v>
      </c>
      <c r="B192" s="37" t="n">
        <v>9</v>
      </c>
      <c r="C192" s="23" t="s">
        <v>784</v>
      </c>
    </row>
    <row r="193" customFormat="false" ht="15" hidden="false" customHeight="false" outlineLevel="0" collapsed="false">
      <c r="A193" s="23" t="s">
        <v>788</v>
      </c>
      <c r="B193" s="37" t="n">
        <v>4121</v>
      </c>
      <c r="C193" s="23" t="s">
        <v>789</v>
      </c>
    </row>
    <row r="194" customFormat="false" ht="15" hidden="false" customHeight="false" outlineLevel="0" collapsed="false">
      <c r="A194" s="23" t="s">
        <v>790</v>
      </c>
      <c r="B194" s="37" t="n">
        <v>4104</v>
      </c>
      <c r="C194" s="23" t="s">
        <v>789</v>
      </c>
    </row>
    <row r="195" customFormat="false" ht="15" hidden="false" customHeight="false" outlineLevel="0" collapsed="false">
      <c r="A195" s="23" t="s">
        <v>791</v>
      </c>
      <c r="B195" s="37" t="n">
        <v>4118</v>
      </c>
      <c r="C195" s="23" t="s">
        <v>789</v>
      </c>
    </row>
    <row r="196" customFormat="false" ht="15" hidden="false" customHeight="false" outlineLevel="0" collapsed="false">
      <c r="A196" s="23" t="s">
        <v>792</v>
      </c>
      <c r="B196" s="37" t="n">
        <v>4201</v>
      </c>
      <c r="C196" s="23" t="s">
        <v>789</v>
      </c>
    </row>
    <row r="197" customFormat="false" ht="15" hidden="false" customHeight="false" outlineLevel="0" collapsed="false">
      <c r="A197" s="23" t="s">
        <v>793</v>
      </c>
      <c r="B197" s="37" t="n">
        <v>80</v>
      </c>
      <c r="C197" s="23"/>
    </row>
    <row r="198" customFormat="false" ht="15" hidden="false" customHeight="false" outlineLevel="0" collapsed="false">
      <c r="A198" s="23" t="s">
        <v>794</v>
      </c>
      <c r="B198" s="37" t="n">
        <v>93</v>
      </c>
      <c r="C198" s="23"/>
    </row>
    <row r="199" customFormat="false" ht="15" hidden="false" customHeight="false" outlineLevel="0" collapsed="false">
      <c r="A199" s="23" t="s">
        <v>795</v>
      </c>
      <c r="B199" s="37" t="n">
        <v>81</v>
      </c>
      <c r="C199" s="23"/>
    </row>
    <row r="200" customFormat="false" ht="15" hidden="false" customHeight="false" outlineLevel="0" collapsed="false">
      <c r="A200" s="23" t="s">
        <v>796</v>
      </c>
      <c r="B200" s="37" t="n">
        <v>0</v>
      </c>
      <c r="C200" s="23"/>
    </row>
    <row r="201" customFormat="false" ht="15" hidden="false" customHeight="false" outlineLevel="0" collapsed="false">
      <c r="A201" s="23" t="s">
        <v>797</v>
      </c>
      <c r="B201" s="37" t="n">
        <v>6</v>
      </c>
      <c r="C201" s="23"/>
    </row>
    <row r="202" customFormat="false" ht="15" hidden="false" customHeight="false" outlineLevel="0" collapsed="false">
      <c r="A202" s="23" t="s">
        <v>798</v>
      </c>
      <c r="B202" s="37" t="n">
        <v>4</v>
      </c>
      <c r="C202" s="23"/>
    </row>
    <row r="203" customFormat="false" ht="15" hidden="false" customHeight="false" outlineLevel="0" collapsed="false">
      <c r="A203" s="23" t="s">
        <v>799</v>
      </c>
      <c r="B203" s="37" t="n">
        <v>4</v>
      </c>
      <c r="C203" s="23"/>
    </row>
    <row r="204" customFormat="false" ht="15" hidden="false" customHeight="false" outlineLevel="0" collapsed="false">
      <c r="A204" s="23" t="s">
        <v>800</v>
      </c>
      <c r="B204" s="37" t="n">
        <v>0</v>
      </c>
      <c r="C204" s="23"/>
    </row>
    <row r="205" customFormat="false" ht="15" hidden="false" customHeight="false" outlineLevel="0" collapsed="false">
      <c r="A205" s="23" t="s">
        <v>801</v>
      </c>
      <c r="B205" s="37" t="n">
        <v>58340</v>
      </c>
      <c r="C205" s="23"/>
    </row>
    <row r="206" customFormat="false" ht="15" hidden="false" customHeight="false" outlineLevel="0" collapsed="false">
      <c r="A206" s="23" t="s">
        <v>802</v>
      </c>
      <c r="B206" s="37" t="n">
        <v>57749</v>
      </c>
      <c r="C206" s="23" t="s">
        <v>803</v>
      </c>
    </row>
    <row r="207" customFormat="false" ht="15" hidden="false" customHeight="false" outlineLevel="0" collapsed="false">
      <c r="A207" s="23" t="s">
        <v>804</v>
      </c>
      <c r="B207" s="37" t="n">
        <v>350</v>
      </c>
      <c r="C207" s="23" t="s">
        <v>805</v>
      </c>
    </row>
    <row r="208" customFormat="false" ht="15" hidden="false" customHeight="false" outlineLevel="0" collapsed="false">
      <c r="A208" s="23" t="s">
        <v>806</v>
      </c>
      <c r="B208" s="37" t="n">
        <v>0</v>
      </c>
      <c r="C208" s="23" t="s">
        <v>807</v>
      </c>
    </row>
    <row r="212" customFormat="false" ht="15" hidden="false" customHeight="false" outlineLevel="0" collapsed="false">
      <c r="A212" s="20" t="s">
        <v>808</v>
      </c>
      <c r="B212" s="21"/>
      <c r="C212" s="21"/>
      <c r="D212" s="21"/>
      <c r="E212" s="21"/>
      <c r="F212" s="21"/>
      <c r="G212" s="21"/>
      <c r="H212" s="21"/>
      <c r="I212" s="21"/>
    </row>
    <row r="213" customFormat="false" ht="13.5" hidden="false" customHeight="true" outlineLevel="0" collapsed="false">
      <c r="A213" s="26" t="s">
        <v>809</v>
      </c>
      <c r="B213" s="26"/>
      <c r="C213" s="26"/>
      <c r="D213" s="26"/>
      <c r="E213" s="26"/>
      <c r="F213" s="26"/>
      <c r="G213" s="26"/>
      <c r="H213" s="26"/>
      <c r="I213" s="26"/>
    </row>
    <row r="214" customFormat="false" ht="31.5" hidden="false" customHeight="true" outlineLevel="0" collapsed="false">
      <c r="A214" s="22" t="s">
        <v>190</v>
      </c>
      <c r="B214" s="22" t="s">
        <v>810</v>
      </c>
      <c r="C214" s="22" t="s">
        <v>811</v>
      </c>
      <c r="D214" s="22" t="s">
        <v>812</v>
      </c>
      <c r="E214" s="22" t="s">
        <v>813</v>
      </c>
      <c r="F214" s="22" t="s">
        <v>814</v>
      </c>
      <c r="G214" s="22" t="s">
        <v>815</v>
      </c>
    </row>
    <row r="215" customFormat="false" ht="15" hidden="false" customHeight="false" outlineLevel="0" collapsed="false">
      <c r="A215" s="34" t="n">
        <v>1100</v>
      </c>
      <c r="B215" s="37" t="n">
        <v>885</v>
      </c>
      <c r="C215" s="37" t="n">
        <v>1</v>
      </c>
      <c r="D215" s="37" t="n">
        <v>1</v>
      </c>
      <c r="E215" s="37" t="n">
        <v>1</v>
      </c>
      <c r="F215" s="37" t="n">
        <v>1</v>
      </c>
      <c r="G215" s="23" t="s">
        <v>816</v>
      </c>
    </row>
    <row r="216" customFormat="false" ht="15" hidden="false" customHeight="false" outlineLevel="0" collapsed="false">
      <c r="A216" s="34" t="n">
        <v>1200</v>
      </c>
      <c r="B216" s="37" t="n">
        <v>893</v>
      </c>
      <c r="C216" s="37" t="n">
        <v>1</v>
      </c>
      <c r="D216" s="37" t="n">
        <v>1</v>
      </c>
      <c r="E216" s="37" t="n">
        <v>1</v>
      </c>
      <c r="F216" s="37" t="n">
        <v>1</v>
      </c>
      <c r="G216" s="23" t="s">
        <v>816</v>
      </c>
    </row>
    <row r="217" customFormat="false" ht="15" hidden="false" customHeight="false" outlineLevel="0" collapsed="false">
      <c r="A217" s="34" t="n">
        <v>1300</v>
      </c>
      <c r="B217" s="37" t="n">
        <v>857</v>
      </c>
      <c r="C217" s="37" t="n">
        <v>1</v>
      </c>
      <c r="D217" s="37" t="n">
        <v>1</v>
      </c>
      <c r="E217" s="37" t="n">
        <v>1</v>
      </c>
      <c r="F217" s="37" t="n">
        <v>1</v>
      </c>
      <c r="G217" s="23" t="s">
        <v>816</v>
      </c>
    </row>
    <row r="218" customFormat="false" ht="15" hidden="false" customHeight="false" outlineLevel="0" collapsed="false">
      <c r="A218" s="34" t="n">
        <v>1400</v>
      </c>
      <c r="B218" s="37" t="n">
        <v>905</v>
      </c>
      <c r="C218" s="37" t="n">
        <v>1</v>
      </c>
      <c r="D218" s="37" t="n">
        <v>1</v>
      </c>
      <c r="E218" s="37" t="n">
        <v>1</v>
      </c>
      <c r="F218" s="37" t="n">
        <v>1</v>
      </c>
      <c r="G218" s="23" t="s">
        <v>816</v>
      </c>
    </row>
    <row r="219" customFormat="false" ht="15" hidden="false" customHeight="false" outlineLevel="0" collapsed="false">
      <c r="A219" s="34" t="n">
        <v>1500</v>
      </c>
      <c r="B219" s="37" t="n">
        <v>892</v>
      </c>
      <c r="C219" s="37" t="n">
        <v>1</v>
      </c>
      <c r="D219" s="37" t="n">
        <v>1</v>
      </c>
      <c r="E219" s="37" t="n">
        <v>1</v>
      </c>
      <c r="F219" s="37" t="n">
        <v>1</v>
      </c>
      <c r="G219" s="23" t="s">
        <v>816</v>
      </c>
    </row>
    <row r="220" customFormat="false" ht="15" hidden="false" customHeight="false" outlineLevel="0" collapsed="false">
      <c r="A220" s="34" t="n">
        <v>2100</v>
      </c>
      <c r="B220" s="37" t="n">
        <v>896</v>
      </c>
      <c r="C220" s="37" t="n">
        <v>1</v>
      </c>
      <c r="D220" s="37" t="n">
        <v>1</v>
      </c>
      <c r="E220" s="37" t="n">
        <v>1</v>
      </c>
      <c r="F220" s="37" t="n">
        <v>1</v>
      </c>
      <c r="G220" s="23" t="s">
        <v>816</v>
      </c>
    </row>
    <row r="221" customFormat="false" ht="15" hidden="false" customHeight="false" outlineLevel="0" collapsed="false">
      <c r="A221" s="34" t="n">
        <v>2200</v>
      </c>
      <c r="B221" s="37" t="n">
        <v>885</v>
      </c>
      <c r="C221" s="37" t="n">
        <v>1</v>
      </c>
      <c r="D221" s="37" t="n">
        <v>1</v>
      </c>
      <c r="E221" s="37" t="n">
        <v>1</v>
      </c>
      <c r="F221" s="37" t="n">
        <v>1</v>
      </c>
      <c r="G221" s="23" t="s">
        <v>816</v>
      </c>
    </row>
    <row r="222" customFormat="false" ht="15" hidden="false" customHeight="false" outlineLevel="0" collapsed="false">
      <c r="A222" s="34" t="n">
        <v>2300</v>
      </c>
      <c r="B222" s="37" t="n">
        <v>919</v>
      </c>
      <c r="C222" s="37" t="n">
        <v>1</v>
      </c>
      <c r="D222" s="37" t="n">
        <v>1</v>
      </c>
      <c r="E222" s="37" t="n">
        <v>1</v>
      </c>
      <c r="F222" s="37" t="n">
        <v>1</v>
      </c>
      <c r="G222" s="23" t="s">
        <v>816</v>
      </c>
    </row>
    <row r="223" customFormat="false" ht="15" hidden="false" customHeight="false" outlineLevel="0" collapsed="false">
      <c r="A223" s="34" t="n">
        <v>4100</v>
      </c>
      <c r="B223" s="37" t="n">
        <v>27197</v>
      </c>
      <c r="C223" s="37" t="n">
        <v>1</v>
      </c>
      <c r="D223" s="37" t="n">
        <v>1</v>
      </c>
      <c r="E223" s="37" t="n">
        <v>1</v>
      </c>
      <c r="F223" s="37" t="n">
        <v>1</v>
      </c>
      <c r="G223" s="23" t="s">
        <v>816</v>
      </c>
    </row>
    <row r="224" customFormat="false" ht="15" hidden="false" customHeight="false" outlineLevel="0" collapsed="false">
      <c r="A224" s="34" t="n">
        <v>4110</v>
      </c>
      <c r="B224" s="37" t="n">
        <v>26844</v>
      </c>
      <c r="C224" s="37" t="n">
        <v>1</v>
      </c>
      <c r="D224" s="37" t="n">
        <v>1</v>
      </c>
      <c r="E224" s="37" t="n">
        <v>1</v>
      </c>
      <c r="F224" s="37" t="n">
        <v>1</v>
      </c>
      <c r="G224" s="23" t="s">
        <v>816</v>
      </c>
    </row>
    <row r="225" customFormat="false" ht="15" hidden="false" customHeight="false" outlineLevel="0" collapsed="false">
      <c r="A225" s="34" t="n">
        <v>4120</v>
      </c>
      <c r="B225" s="37" t="n">
        <v>915</v>
      </c>
      <c r="C225" s="37" t="n">
        <v>1</v>
      </c>
      <c r="D225" s="37" t="n">
        <v>1</v>
      </c>
      <c r="E225" s="37" t="n">
        <v>1</v>
      </c>
      <c r="F225" s="37" t="n">
        <v>1</v>
      </c>
      <c r="G225" s="23" t="s">
        <v>816</v>
      </c>
    </row>
    <row r="226" customFormat="false" ht="15" hidden="false" customHeight="false" outlineLevel="0" collapsed="false">
      <c r="A226" s="34" t="n">
        <v>4190</v>
      </c>
      <c r="B226" s="37" t="n">
        <v>26844</v>
      </c>
      <c r="C226" s="37" t="n">
        <v>1</v>
      </c>
      <c r="D226" s="37" t="n">
        <v>1</v>
      </c>
      <c r="E226" s="37" t="n">
        <v>1</v>
      </c>
      <c r="F226" s="37" t="n">
        <v>1</v>
      </c>
      <c r="G226" s="23" t="s">
        <v>816</v>
      </c>
    </row>
    <row r="227" customFormat="false" ht="15" hidden="false" customHeight="false" outlineLevel="0" collapsed="false">
      <c r="A227" s="34" t="n">
        <v>5100</v>
      </c>
      <c r="B227" s="37" t="n">
        <v>26745</v>
      </c>
      <c r="C227" s="37" t="n">
        <v>1</v>
      </c>
      <c r="D227" s="37" t="n">
        <v>1</v>
      </c>
      <c r="E227" s="37" t="n">
        <v>1</v>
      </c>
      <c r="F227" s="37" t="n">
        <v>1</v>
      </c>
      <c r="G227" s="23" t="s">
        <v>816</v>
      </c>
    </row>
    <row r="228" customFormat="false" ht="15" hidden="false" customHeight="false" outlineLevel="0" collapsed="false">
      <c r="A228" s="34" t="n">
        <v>5110</v>
      </c>
      <c r="B228" s="37" t="n">
        <v>880</v>
      </c>
      <c r="C228" s="37" t="n">
        <v>1</v>
      </c>
      <c r="D228" s="37" t="n">
        <v>1</v>
      </c>
      <c r="E228" s="37" t="n">
        <v>1</v>
      </c>
      <c r="F228" s="37" t="n">
        <v>1</v>
      </c>
      <c r="G228" s="23" t="s">
        <v>816</v>
      </c>
    </row>
    <row r="229" customFormat="false" ht="15" hidden="false" customHeight="false" outlineLevel="0" collapsed="false">
      <c r="A229" s="34" t="n">
        <v>5120</v>
      </c>
      <c r="B229" s="37" t="n">
        <v>898</v>
      </c>
      <c r="C229" s="37" t="n">
        <v>1</v>
      </c>
      <c r="D229" s="37" t="n">
        <v>1</v>
      </c>
      <c r="E229" s="37" t="n">
        <v>1</v>
      </c>
      <c r="F229" s="37" t="n">
        <v>1</v>
      </c>
      <c r="G229" s="23" t="s">
        <v>816</v>
      </c>
    </row>
    <row r="230" customFormat="false" ht="15" hidden="false" customHeight="false" outlineLevel="0" collapsed="false">
      <c r="A230" s="34" t="n">
        <v>5200</v>
      </c>
      <c r="B230" s="37" t="n">
        <v>895</v>
      </c>
      <c r="C230" s="37" t="n">
        <v>1</v>
      </c>
      <c r="D230" s="37" t="n">
        <v>1</v>
      </c>
      <c r="E230" s="37" t="n">
        <v>1</v>
      </c>
      <c r="F230" s="37" t="n">
        <v>1</v>
      </c>
      <c r="G230" s="23" t="s">
        <v>816</v>
      </c>
    </row>
    <row r="231" customFormat="false" ht="15" hidden="false" customHeight="false" outlineLevel="0" collapsed="false">
      <c r="A231" s="34" t="n">
        <v>5300</v>
      </c>
      <c r="B231" s="37" t="n">
        <v>859</v>
      </c>
      <c r="C231" s="37" t="n">
        <v>1</v>
      </c>
      <c r="D231" s="37" t="n">
        <v>1</v>
      </c>
      <c r="E231" s="37" t="n">
        <v>1</v>
      </c>
      <c r="F231" s="37" t="n">
        <v>1</v>
      </c>
      <c r="G231" s="23" t="s">
        <v>816</v>
      </c>
    </row>
    <row r="232" customFormat="false" ht="15" hidden="false" customHeight="false" outlineLevel="0" collapsed="false">
      <c r="A232" s="34" t="n">
        <v>6100</v>
      </c>
      <c r="B232" s="37" t="n">
        <v>2695</v>
      </c>
      <c r="C232" s="37" t="n">
        <v>1</v>
      </c>
      <c r="D232" s="37" t="n">
        <v>1</v>
      </c>
      <c r="E232" s="37" t="n">
        <v>1</v>
      </c>
      <c r="F232" s="37" t="n">
        <v>1</v>
      </c>
      <c r="G232" s="23" t="s">
        <v>816</v>
      </c>
    </row>
    <row r="233" customFormat="false" ht="15" hidden="false" customHeight="false" outlineLevel="0" collapsed="false">
      <c r="A233" s="34" t="n">
        <v>6110</v>
      </c>
      <c r="B233" s="37" t="n">
        <v>2713</v>
      </c>
      <c r="C233" s="37" t="n">
        <v>1</v>
      </c>
      <c r="D233" s="37" t="n">
        <v>1</v>
      </c>
      <c r="E233" s="37" t="n">
        <v>1</v>
      </c>
      <c r="F233" s="37" t="n">
        <v>1</v>
      </c>
      <c r="G233" s="23" t="s">
        <v>816</v>
      </c>
    </row>
    <row r="234" customFormat="false" ht="15" hidden="false" customHeight="false" outlineLevel="0" collapsed="false">
      <c r="A234" s="34" t="n">
        <v>6120</v>
      </c>
      <c r="B234" s="37" t="n">
        <v>2697</v>
      </c>
      <c r="C234" s="37" t="n">
        <v>1</v>
      </c>
      <c r="D234" s="37" t="n">
        <v>1</v>
      </c>
      <c r="E234" s="37" t="n">
        <v>1</v>
      </c>
      <c r="F234" s="37" t="n">
        <v>1</v>
      </c>
      <c r="G234" s="23" t="s">
        <v>816</v>
      </c>
    </row>
    <row r="235" customFormat="false" ht="15" hidden="false" customHeight="false" outlineLevel="0" collapsed="false">
      <c r="A235" s="34" t="n">
        <v>6200</v>
      </c>
      <c r="B235" s="37" t="n">
        <v>2700</v>
      </c>
      <c r="C235" s="37" t="n">
        <v>1</v>
      </c>
      <c r="D235" s="37" t="n">
        <v>1</v>
      </c>
      <c r="E235" s="37" t="n">
        <v>1</v>
      </c>
      <c r="F235" s="37" t="n">
        <v>1</v>
      </c>
      <c r="G235" s="23" t="s">
        <v>816</v>
      </c>
    </row>
    <row r="236" customFormat="false" ht="15" hidden="false" customHeight="false" outlineLevel="0" collapsed="false">
      <c r="A236" s="34" t="n">
        <v>6210</v>
      </c>
      <c r="B236" s="37" t="n">
        <v>2682</v>
      </c>
      <c r="C236" s="37" t="n">
        <v>1</v>
      </c>
      <c r="D236" s="37" t="n">
        <v>1</v>
      </c>
      <c r="E236" s="37" t="n">
        <v>1</v>
      </c>
      <c r="F236" s="37" t="n">
        <v>1</v>
      </c>
      <c r="G236" s="23" t="s">
        <v>816</v>
      </c>
    </row>
    <row r="237" customFormat="false" ht="15" hidden="false" customHeight="false" outlineLevel="0" collapsed="false">
      <c r="A237" s="34" t="n">
        <v>6220</v>
      </c>
      <c r="B237" s="37" t="n">
        <v>2667</v>
      </c>
      <c r="C237" s="37" t="n">
        <v>1</v>
      </c>
      <c r="D237" s="37" t="n">
        <v>1</v>
      </c>
      <c r="E237" s="37" t="n">
        <v>1</v>
      </c>
      <c r="F237" s="37" t="n">
        <v>1</v>
      </c>
      <c r="G237" s="23" t="s">
        <v>816</v>
      </c>
    </row>
    <row r="238" customFormat="false" ht="15" hidden="false" customHeight="false" outlineLevel="0" collapsed="false">
      <c r="A238" s="34" t="n">
        <v>6230</v>
      </c>
      <c r="B238" s="37" t="n">
        <v>2705</v>
      </c>
      <c r="C238" s="37" t="n">
        <v>1</v>
      </c>
      <c r="D238" s="37" t="n">
        <v>1</v>
      </c>
      <c r="E238" s="37" t="n">
        <v>1</v>
      </c>
      <c r="F238" s="37" t="n">
        <v>1</v>
      </c>
      <c r="G238" s="23" t="s">
        <v>816</v>
      </c>
    </row>
    <row r="239" customFormat="false" ht="15" hidden="false" customHeight="false" outlineLevel="0" collapsed="false">
      <c r="A239" s="34" t="n">
        <v>6240</v>
      </c>
      <c r="B239" s="37" t="n">
        <v>2677</v>
      </c>
      <c r="C239" s="37" t="n">
        <v>1</v>
      </c>
      <c r="D239" s="37" t="n">
        <v>1</v>
      </c>
      <c r="E239" s="37" t="n">
        <v>1</v>
      </c>
      <c r="F239" s="37" t="n">
        <v>1</v>
      </c>
      <c r="G239" s="23" t="s">
        <v>816</v>
      </c>
    </row>
    <row r="240" customFormat="false" ht="15" hidden="false" customHeight="false" outlineLevel="0" collapsed="false">
      <c r="A240" s="34" t="n">
        <v>6250</v>
      </c>
      <c r="B240" s="37" t="n">
        <v>2689</v>
      </c>
      <c r="C240" s="37" t="n">
        <v>1</v>
      </c>
      <c r="D240" s="37" t="n">
        <v>1</v>
      </c>
      <c r="E240" s="37" t="n">
        <v>1</v>
      </c>
      <c r="F240" s="37" t="n">
        <v>1</v>
      </c>
      <c r="G240" s="23" t="s">
        <v>816</v>
      </c>
    </row>
    <row r="241" customFormat="false" ht="15" hidden="false" customHeight="false" outlineLevel="0" collapsed="false">
      <c r="A241" s="34" t="n">
        <v>6260</v>
      </c>
      <c r="B241" s="37" t="n">
        <v>2666</v>
      </c>
      <c r="C241" s="37" t="n">
        <v>1</v>
      </c>
      <c r="D241" s="37" t="n">
        <v>1</v>
      </c>
      <c r="E241" s="37" t="n">
        <v>1</v>
      </c>
      <c r="F241" s="37" t="n">
        <v>1</v>
      </c>
      <c r="G241" s="23" t="s">
        <v>816</v>
      </c>
    </row>
    <row r="242" customFormat="false" ht="15" hidden="false" customHeight="false" outlineLevel="0" collapsed="false">
      <c r="A242" s="34" t="n">
        <v>6270</v>
      </c>
      <c r="B242" s="37" t="n">
        <v>2667</v>
      </c>
      <c r="C242" s="37" t="n">
        <v>1</v>
      </c>
      <c r="D242" s="37" t="n">
        <v>1</v>
      </c>
      <c r="E242" s="37" t="n">
        <v>1</v>
      </c>
      <c r="F242" s="37" t="n">
        <v>1</v>
      </c>
      <c r="G242" s="23" t="s">
        <v>816</v>
      </c>
    </row>
    <row r="243" customFormat="false" ht="15" hidden="false" customHeight="false" outlineLevel="0" collapsed="false">
      <c r="A243" s="34" t="n">
        <v>6300</v>
      </c>
      <c r="B243" s="37" t="n">
        <v>887</v>
      </c>
      <c r="C243" s="37" t="n">
        <v>1</v>
      </c>
      <c r="D243" s="37" t="n">
        <v>1</v>
      </c>
      <c r="E243" s="37" t="n">
        <v>1</v>
      </c>
      <c r="F243" s="37" t="n">
        <v>1</v>
      </c>
      <c r="G243" s="23" t="s">
        <v>816</v>
      </c>
    </row>
    <row r="244" customFormat="false" ht="15" hidden="false" customHeight="false" outlineLevel="0" collapsed="false">
      <c r="A244" s="34" t="n">
        <v>7100</v>
      </c>
      <c r="B244" s="37" t="n">
        <v>904</v>
      </c>
      <c r="C244" s="37" t="n">
        <v>1</v>
      </c>
      <c r="D244" s="37" t="n">
        <v>1</v>
      </c>
      <c r="E244" s="37" t="n">
        <v>1</v>
      </c>
      <c r="F244" s="37" t="n">
        <v>1</v>
      </c>
      <c r="G244" s="23" t="s">
        <v>816</v>
      </c>
    </row>
    <row r="245" customFormat="false" ht="15" hidden="false" customHeight="false" outlineLevel="0" collapsed="false">
      <c r="A245" s="34" t="n">
        <v>7200</v>
      </c>
      <c r="B245" s="37" t="n">
        <v>890</v>
      </c>
      <c r="C245" s="37" t="n">
        <v>1</v>
      </c>
      <c r="D245" s="37" t="n">
        <v>1</v>
      </c>
      <c r="E245" s="37" t="n">
        <v>1</v>
      </c>
      <c r="F245" s="37" t="n">
        <v>1</v>
      </c>
      <c r="G245" s="23" t="s">
        <v>816</v>
      </c>
    </row>
    <row r="246" customFormat="false" ht="15" hidden="false" customHeight="false" outlineLevel="0" collapsed="false">
      <c r="A246" s="34" t="n">
        <v>8100</v>
      </c>
      <c r="B246" s="37" t="n">
        <v>884</v>
      </c>
      <c r="C246" s="37" t="n">
        <v>1</v>
      </c>
      <c r="D246" s="37" t="n">
        <v>1</v>
      </c>
      <c r="E246" s="37" t="n">
        <v>1</v>
      </c>
      <c r="F246" s="37" t="n">
        <v>1</v>
      </c>
      <c r="G246" s="23" t="s">
        <v>816</v>
      </c>
    </row>
    <row r="247" customFormat="false" ht="15" hidden="false" customHeight="false" outlineLevel="0" collapsed="false">
      <c r="F247" s="50" t="s">
        <v>817</v>
      </c>
      <c r="G247" s="51" t="n">
        <f aca="false">COUNTIF($G$215:$G$246,"&lt;&gt;CONSISTENT")</f>
        <v>0</v>
      </c>
    </row>
    <row r="250" customFormat="false" ht="15" hidden="false" customHeight="true" outlineLevel="0" collapsed="false">
      <c r="A250" s="49" t="s">
        <v>818</v>
      </c>
      <c r="B250" s="49"/>
      <c r="C250" s="49"/>
      <c r="D250" s="49"/>
      <c r="E250" s="49"/>
      <c r="F250" s="49"/>
      <c r="G250" s="49"/>
      <c r="H250" s="49"/>
      <c r="I250" s="49"/>
    </row>
    <row r="253" customFormat="false" ht="15" hidden="false" customHeight="false" outlineLevel="0" collapsed="false">
      <c r="A253" s="20" t="s">
        <v>819</v>
      </c>
      <c r="B253" s="21"/>
      <c r="C253" s="21"/>
      <c r="D253" s="21"/>
      <c r="E253" s="21"/>
      <c r="F253" s="21"/>
      <c r="G253" s="21"/>
      <c r="H253" s="21"/>
      <c r="I253" s="21"/>
    </row>
    <row r="254" customFormat="false" ht="27.75" hidden="false" customHeight="true" outlineLevel="0" collapsed="false">
      <c r="A254" s="26" t="s">
        <v>820</v>
      </c>
      <c r="B254" s="26"/>
      <c r="C254" s="26"/>
      <c r="D254" s="26"/>
      <c r="E254" s="26"/>
      <c r="F254" s="26"/>
      <c r="G254" s="26"/>
      <c r="H254" s="26"/>
      <c r="I254" s="26"/>
    </row>
    <row r="255" customFormat="false" ht="24" hidden="false" customHeight="true" outlineLevel="0" collapsed="false">
      <c r="A255" s="22" t="s">
        <v>821</v>
      </c>
      <c r="B255" s="64" t="s">
        <v>822</v>
      </c>
      <c r="C255" s="64"/>
      <c r="D255" s="64"/>
      <c r="E255" s="64"/>
      <c r="F255" s="64"/>
      <c r="G255" s="64"/>
      <c r="H255" s="64"/>
      <c r="I255" s="64"/>
    </row>
    <row r="256" customFormat="false" ht="30" hidden="false" customHeight="true" outlineLevel="0" collapsed="false">
      <c r="A256" s="23" t="s">
        <v>823</v>
      </c>
      <c r="B256" s="15" t="s">
        <v>824</v>
      </c>
      <c r="C256" s="15"/>
      <c r="D256" s="15"/>
      <c r="E256" s="15"/>
      <c r="F256" s="15"/>
      <c r="G256" s="15"/>
      <c r="H256" s="15"/>
      <c r="I256" s="15"/>
    </row>
    <row r="257" customFormat="false" ht="30" hidden="false" customHeight="true" outlineLevel="0" collapsed="false">
      <c r="A257" s="23" t="s">
        <v>825</v>
      </c>
      <c r="B257" s="15" t="s">
        <v>826</v>
      </c>
      <c r="C257" s="15"/>
      <c r="D257" s="15"/>
      <c r="E257" s="15"/>
      <c r="F257" s="15"/>
      <c r="G257" s="15"/>
      <c r="H257" s="15"/>
      <c r="I257" s="15"/>
    </row>
    <row r="258" customFormat="false" ht="30" hidden="false" customHeight="true" outlineLevel="0" collapsed="false">
      <c r="A258" s="23" t="s">
        <v>827</v>
      </c>
      <c r="B258" s="15" t="s">
        <v>828</v>
      </c>
      <c r="C258" s="15"/>
      <c r="D258" s="15"/>
      <c r="E258" s="15"/>
      <c r="F258" s="15"/>
      <c r="G258" s="15"/>
      <c r="H258" s="15"/>
      <c r="I258" s="15"/>
    </row>
    <row r="259" customFormat="false" ht="30" hidden="false" customHeight="true" outlineLevel="0" collapsed="false">
      <c r="A259" s="23" t="s">
        <v>829</v>
      </c>
      <c r="B259" s="15" t="s">
        <v>830</v>
      </c>
      <c r="C259" s="15"/>
      <c r="D259" s="15"/>
      <c r="E259" s="15"/>
      <c r="F259" s="15"/>
      <c r="G259" s="15"/>
      <c r="H259" s="15"/>
      <c r="I259" s="15"/>
    </row>
    <row r="260" customFormat="false" ht="30" hidden="false" customHeight="true" outlineLevel="0" collapsed="false">
      <c r="A260" s="23" t="s">
        <v>831</v>
      </c>
      <c r="B260" s="15" t="s">
        <v>832</v>
      </c>
      <c r="C260" s="15"/>
      <c r="D260" s="15"/>
      <c r="E260" s="15"/>
      <c r="F260" s="15"/>
      <c r="G260" s="15"/>
      <c r="H260" s="15"/>
      <c r="I260" s="15"/>
    </row>
    <row r="261" customFormat="false" ht="30" hidden="false" customHeight="true" outlineLevel="0" collapsed="false">
      <c r="A261" s="23" t="s">
        <v>833</v>
      </c>
      <c r="B261" s="15" t="s">
        <v>834</v>
      </c>
      <c r="C261" s="15"/>
      <c r="D261" s="15"/>
      <c r="E261" s="15"/>
      <c r="F261" s="15"/>
      <c r="G261" s="15"/>
      <c r="H261" s="15"/>
      <c r="I261" s="15"/>
    </row>
    <row r="262" customFormat="false" ht="30" hidden="false" customHeight="true" outlineLevel="0" collapsed="false">
      <c r="A262" s="23" t="s">
        <v>835</v>
      </c>
      <c r="B262" s="15" t="s">
        <v>836</v>
      </c>
      <c r="C262" s="15"/>
      <c r="D262" s="15"/>
      <c r="E262" s="15"/>
      <c r="F262" s="15"/>
      <c r="G262" s="15"/>
      <c r="H262" s="15"/>
      <c r="I262" s="15"/>
    </row>
    <row r="265" customFormat="false" ht="15" hidden="false" customHeight="false" outlineLevel="0" collapsed="false">
      <c r="A265" s="20" t="s">
        <v>837</v>
      </c>
      <c r="B265" s="21"/>
      <c r="C265" s="21"/>
      <c r="D265" s="21"/>
      <c r="E265" s="21"/>
      <c r="F265" s="21"/>
      <c r="G265" s="21"/>
      <c r="H265" s="21"/>
      <c r="I265" s="21"/>
    </row>
    <row r="266" customFormat="false" ht="13.5" hidden="false" customHeight="true" outlineLevel="0" collapsed="false">
      <c r="A266" s="26" t="s">
        <v>838</v>
      </c>
      <c r="B266" s="26"/>
      <c r="C266" s="26"/>
      <c r="D266" s="26"/>
      <c r="E266" s="26"/>
      <c r="F266" s="26"/>
      <c r="G266" s="26"/>
      <c r="H266" s="26"/>
      <c r="I266" s="26"/>
    </row>
    <row r="267" customFormat="false" ht="27.75" hidden="false" customHeight="true" outlineLevel="0" collapsed="false">
      <c r="A267" s="15" t="s">
        <v>839</v>
      </c>
      <c r="B267" s="15"/>
      <c r="C267" s="15"/>
      <c r="D267" s="15"/>
      <c r="E267" s="15"/>
      <c r="F267" s="15"/>
      <c r="G267" s="15"/>
      <c r="H267" s="15"/>
      <c r="I267" s="15"/>
    </row>
    <row r="268" customFormat="false" ht="27.75" hidden="false" customHeight="true" outlineLevel="0" collapsed="false">
      <c r="A268" s="15" t="s">
        <v>840</v>
      </c>
      <c r="B268" s="15"/>
      <c r="C268" s="15"/>
      <c r="D268" s="15"/>
      <c r="E268" s="15"/>
      <c r="F268" s="15"/>
      <c r="G268" s="15"/>
      <c r="H268" s="15"/>
      <c r="I268" s="15"/>
    </row>
    <row r="269" customFormat="false" ht="27.75" hidden="false" customHeight="true" outlineLevel="0" collapsed="false">
      <c r="A269" s="15" t="s">
        <v>841</v>
      </c>
      <c r="B269" s="15"/>
      <c r="C269" s="15"/>
      <c r="D269" s="15"/>
      <c r="E269" s="15"/>
      <c r="F269" s="15"/>
      <c r="G269" s="15"/>
      <c r="H269" s="15"/>
      <c r="I269" s="15"/>
    </row>
    <row r="270" customFormat="false" ht="27.75" hidden="false" customHeight="true" outlineLevel="0" collapsed="false">
      <c r="A270" s="15" t="s">
        <v>842</v>
      </c>
      <c r="B270" s="15"/>
      <c r="C270" s="15"/>
      <c r="D270" s="15"/>
      <c r="E270" s="15"/>
      <c r="F270" s="15"/>
      <c r="G270" s="15"/>
      <c r="H270" s="15"/>
      <c r="I270" s="15"/>
    </row>
    <row r="271" customFormat="false" ht="27.75" hidden="false" customHeight="true" outlineLevel="0" collapsed="false">
      <c r="A271" s="15" t="s">
        <v>843</v>
      </c>
      <c r="B271" s="15"/>
      <c r="C271" s="15"/>
      <c r="D271" s="15"/>
      <c r="E271" s="15"/>
      <c r="F271" s="15"/>
      <c r="G271" s="15"/>
      <c r="H271" s="15"/>
      <c r="I271" s="15"/>
    </row>
    <row r="272" customFormat="false" ht="27.75" hidden="false" customHeight="true" outlineLevel="0" collapsed="false">
      <c r="A272" s="15" t="s">
        <v>844</v>
      </c>
      <c r="B272" s="15"/>
      <c r="C272" s="15"/>
      <c r="D272" s="15"/>
      <c r="E272" s="15"/>
      <c r="F272" s="15"/>
      <c r="G272" s="15"/>
      <c r="H272" s="15"/>
      <c r="I272" s="15"/>
    </row>
  </sheetData>
  <mergeCells count="27">
    <mergeCell ref="A3:I3"/>
    <mergeCell ref="A6:I6"/>
    <mergeCell ref="A20:I20"/>
    <mergeCell ref="A38:I38"/>
    <mergeCell ref="A97:I97"/>
    <mergeCell ref="A101:I101"/>
    <mergeCell ref="A139:I139"/>
    <mergeCell ref="A170:I170"/>
    <mergeCell ref="A185:I185"/>
    <mergeCell ref="A213:I213"/>
    <mergeCell ref="A250:I250"/>
    <mergeCell ref="A254:I254"/>
    <mergeCell ref="B255:I255"/>
    <mergeCell ref="B256:I256"/>
    <mergeCell ref="B257:I257"/>
    <mergeCell ref="B258:I258"/>
    <mergeCell ref="B259:I259"/>
    <mergeCell ref="B260:I260"/>
    <mergeCell ref="B261:I261"/>
    <mergeCell ref="B262:I262"/>
    <mergeCell ref="A266:I266"/>
    <mergeCell ref="A267:I267"/>
    <mergeCell ref="A268:I268"/>
    <mergeCell ref="A269:I269"/>
    <mergeCell ref="A270:I270"/>
    <mergeCell ref="A271:I271"/>
    <mergeCell ref="A272:I272"/>
  </mergeCells>
  <conditionalFormatting sqref="E22:E34">
    <cfRule type="dataBar" priority="2">
      <dataBar showValue="1" minLength="10" maxLength="90">
        <cfvo type="num" val="0"/>
        <cfvo type="num" val="0.5"/>
        <color rgb="FFF4B183"/>
      </dataBar>
      <extLst>
        <ext xmlns:x14="http://schemas.microsoft.com/office/spreadsheetml/2009/9/main" uri="{B025F937-C7B1-47D3-B67F-A62EFF666E3E}">
          <x14:id>{CBB5EDB0-B025-4899-B472-CD572DDFD0E0}</x14:id>
        </ext>
      </extLst>
    </cfRule>
  </conditionalFormatting>
  <conditionalFormatting sqref="G40:G95">
    <cfRule type="containsText" priority="3" operator="containsText" aboveAverage="0" equalAverage="0" bottom="0" percent="0" rank="0" text="UNSUITABLE" dxfId="14">
      <formula>NOT(ISERROR(SEARCH("UNSUITABLE",G40)))</formula>
    </cfRule>
    <cfRule type="containsText" priority="4" operator="containsText" aboveAverage="0" equalAverage="0" bottom="0" percent="0" rank="0" text="RELIABLE" dxfId="15">
      <formula>NOT(ISERROR(SEARCH("RELIABLE",G40)))</formula>
    </cfRule>
  </conditionalFormatting>
  <hyperlinks>
    <hyperlink ref="I1" location="'Start Here'!A1" display="Back to Start Here"/>
  </hyperlink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 r:id="rId3"/>
    <tablePart r:id="rId4"/>
    <tablePart r:id="rId5"/>
    <tablePart r:id="rId6"/>
    <tablePart r:id="rId7"/>
  </tableParts>
  <extLst>
    <ext xmlns:x14="http://schemas.microsoft.com/office/spreadsheetml/2009/9/main" uri="{78C0D931-6437-407d-A8EE-F0AAD7539E65}">
      <x14:conditionalFormattings>
        <x14:conditionalFormatting xmlns:xm="http://schemas.microsoft.com/office/excel/2006/main">
          <x14:cfRule type="dataBar" id="{CBB5EDB0-B025-4899-B472-CD572DDFD0E0}">
            <x14:dataBar minLength="10" maxLength="90" axisPosition="automatic" gradient="false">
              <x14:cfvo type="num">
                <xm:f>0</xm:f>
              </x14:cfvo>
              <x14:cfvo type="num">
                <xm:f>0.5</xm:f>
              </x14:cfvo>
              <x14:negativeFillColor rgb="FFFF0000"/>
              <x14:axisColor rgb="FF000000"/>
            </x14:dataBar>
          </x14:cfRule>
          <xm:sqref>E22:E34</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I1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71"/>
    <col collapsed="false" customWidth="true" hidden="false" outlineLevel="0" max="2" min="2" style="0" width="18.71"/>
    <col collapsed="false" customWidth="true" hidden="false" outlineLevel="0" max="3" min="3" style="0" width="78.71"/>
    <col collapsed="false" customWidth="true" hidden="false" outlineLevel="0" max="6" min="4" style="0" width="20.71"/>
    <col collapsed="false" customWidth="true" hidden="false" outlineLevel="0" max="7" min="7" style="0" width="11.71"/>
    <col collapsed="false" customWidth="true" hidden="false" outlineLevel="0" max="8" min="8" style="0" width="10.71"/>
  </cols>
  <sheetData>
    <row r="1" customFormat="false" ht="19.7" hidden="false" customHeight="false" outlineLevel="0" collapsed="false">
      <c r="A1" s="19" t="s">
        <v>845</v>
      </c>
      <c r="I1" s="5" t="s">
        <v>61</v>
      </c>
    </row>
    <row r="2" customFormat="false" ht="15" hidden="false" customHeight="false" outlineLevel="0" collapsed="false">
      <c r="A2" s="2" t="s">
        <v>846</v>
      </c>
    </row>
    <row r="3" customFormat="false" ht="45" hidden="false" customHeight="true" outlineLevel="0" collapsed="false">
      <c r="A3" s="3" t="s">
        <v>847</v>
      </c>
      <c r="B3" s="3"/>
      <c r="C3" s="3"/>
      <c r="D3" s="3"/>
      <c r="E3" s="3"/>
      <c r="F3" s="3"/>
      <c r="G3" s="3"/>
      <c r="H3" s="3"/>
      <c r="I3" s="3"/>
    </row>
    <row r="5" customFormat="false" ht="15" hidden="false" customHeight="false" outlineLevel="0" collapsed="false">
      <c r="A5" s="65" t="s">
        <v>848</v>
      </c>
      <c r="B5" s="66" t="str">
        <f aca="false">IF(COUNTIF($H$10:$H$146,"FAIL")=0,"ALL "&amp;COUNTA($H$10:$H$146)&amp;" CHECKS PASS",COUNTIF($H$10:$H$146,"FAIL")&amp;" CHECK(S) FAIL")</f>
        <v>ALL 137 CHECKS PASS</v>
      </c>
    </row>
    <row r="6" customFormat="false" ht="15" hidden="false" customHeight="false" outlineLevel="0" collapsed="false">
      <c r="A6" s="16" t="s">
        <v>849</v>
      </c>
      <c r="B6" s="38" t="n">
        <f aca="false">COUNTA($H$10:$H$146)</f>
        <v>137</v>
      </c>
    </row>
    <row r="7" customFormat="false" ht="15" hidden="false" customHeight="false" outlineLevel="0" collapsed="false">
      <c r="A7" s="16" t="s">
        <v>850</v>
      </c>
      <c r="B7" s="46" t="str">
        <f aca="false">COUNTIF($H$10:$H$146,"PASS")&amp;" / "&amp;COUNTIF($H$10:$H$146,"FAIL")</f>
        <v>137 / 0</v>
      </c>
    </row>
    <row r="9" customFormat="false" ht="31.5" hidden="false" customHeight="true" outlineLevel="0" collapsed="false">
      <c r="A9" s="22" t="s">
        <v>851</v>
      </c>
      <c r="B9" s="22" t="s">
        <v>852</v>
      </c>
      <c r="C9" s="22" t="s">
        <v>223</v>
      </c>
      <c r="D9" s="22" t="s">
        <v>853</v>
      </c>
      <c r="E9" s="22" t="s">
        <v>854</v>
      </c>
      <c r="F9" s="22" t="s">
        <v>855</v>
      </c>
      <c r="G9" s="22" t="s">
        <v>856</v>
      </c>
      <c r="H9" s="22" t="s">
        <v>857</v>
      </c>
    </row>
    <row r="10" customFormat="false" ht="15" hidden="false" customHeight="false" outlineLevel="0" collapsed="false">
      <c r="A10" s="23" t="s">
        <v>858</v>
      </c>
      <c r="B10" s="23" t="s">
        <v>859</v>
      </c>
      <c r="C10" s="23" t="s">
        <v>860</v>
      </c>
      <c r="D10" s="37" t="n">
        <v>58340</v>
      </c>
      <c r="E10" s="33" t="n">
        <f aca="false">'Monthly P&amp;L'!$N$45</f>
        <v>58340</v>
      </c>
      <c r="F10" s="38" t="n">
        <f aca="false">ROUND(E10-D10,6)</f>
        <v>0</v>
      </c>
      <c r="G10" s="67" t="n">
        <v>0</v>
      </c>
      <c r="H10" s="68" t="str">
        <f aca="false">IF(ABS(F10)&lt;=G10,"PASS","FAIL")</f>
        <v>PASS</v>
      </c>
    </row>
    <row r="11" customFormat="false" ht="15" hidden="false" customHeight="false" outlineLevel="0" collapsed="false">
      <c r="A11" s="23" t="s">
        <v>861</v>
      </c>
      <c r="B11" s="23" t="s">
        <v>859</v>
      </c>
      <c r="C11" s="23" t="s">
        <v>862</v>
      </c>
      <c r="D11" s="37" t="n">
        <v>152682</v>
      </c>
      <c r="E11" s="33" t="n">
        <f aca="false">'Data Quality'!$B$16</f>
        <v>152682</v>
      </c>
      <c r="F11" s="38" t="n">
        <f aca="false">ROUND(E11-D11,6)</f>
        <v>0</v>
      </c>
      <c r="G11" s="67" t="n">
        <v>0</v>
      </c>
      <c r="H11" s="68" t="str">
        <f aca="false">IF(ABS(F11)&lt;=G11,"PASS","FAIL")</f>
        <v>PASS</v>
      </c>
    </row>
    <row r="12" customFormat="false" ht="15" hidden="false" customHeight="false" outlineLevel="0" collapsed="false">
      <c r="A12" s="23" t="s">
        <v>863</v>
      </c>
      <c r="B12" s="23" t="s">
        <v>859</v>
      </c>
      <c r="C12" s="23" t="s">
        <v>864</v>
      </c>
      <c r="D12" s="37" t="n">
        <v>58340</v>
      </c>
      <c r="E12" s="33" t="n">
        <f aca="false">'GL &amp; Cost Drivers'!$D$32</f>
        <v>58340</v>
      </c>
      <c r="F12" s="38" t="n">
        <f aca="false">ROUND(E12-D12,6)</f>
        <v>0</v>
      </c>
      <c r="G12" s="67" t="n">
        <v>0</v>
      </c>
      <c r="H12" s="68" t="str">
        <f aca="false">IF(ABS(F12)&lt;=G12,"PASS","FAIL")</f>
        <v>PASS</v>
      </c>
    </row>
    <row r="13" customFormat="false" ht="15" hidden="false" customHeight="false" outlineLevel="0" collapsed="false">
      <c r="A13" s="23" t="s">
        <v>865</v>
      </c>
      <c r="B13" s="23" t="s">
        <v>859</v>
      </c>
      <c r="C13" s="23" t="s">
        <v>866</v>
      </c>
      <c r="D13" s="37" t="n">
        <v>58340</v>
      </c>
      <c r="E13" s="33" t="n">
        <f aca="false">'Entity &amp; Division'!$L$14</f>
        <v>58340</v>
      </c>
      <c r="F13" s="38" t="n">
        <f aca="false">ROUND(E13-D13,6)</f>
        <v>0</v>
      </c>
      <c r="G13" s="67" t="n">
        <v>0</v>
      </c>
      <c r="H13" s="68" t="str">
        <f aca="false">IF(ABS(F13)&lt;=G13,"PASS","FAIL")</f>
        <v>PASS</v>
      </c>
    </row>
    <row r="14" customFormat="false" ht="15" hidden="false" customHeight="false" outlineLevel="0" collapsed="false">
      <c r="A14" s="23" t="s">
        <v>867</v>
      </c>
      <c r="B14" s="23" t="s">
        <v>69</v>
      </c>
      <c r="C14" s="23" t="s">
        <v>868</v>
      </c>
      <c r="D14" s="37" t="n">
        <v>202649002.152202</v>
      </c>
      <c r="E14" s="33" t="n">
        <f aca="false">'Monthly P&amp;L'!$C$45</f>
        <v>202649002.1522</v>
      </c>
      <c r="F14" s="47" t="n">
        <f aca="false">ROUND(E14-D14,6)</f>
        <v>-2E-006</v>
      </c>
      <c r="G14" s="67" t="n">
        <v>0.5</v>
      </c>
      <c r="H14" s="68" t="str">
        <f aca="false">IF(ABS(F14)&lt;=G14,"PASS","FAIL")</f>
        <v>PASS</v>
      </c>
    </row>
    <row r="15" customFormat="false" ht="15" hidden="false" customHeight="false" outlineLevel="0" collapsed="false">
      <c r="A15" s="23" t="s">
        <v>869</v>
      </c>
      <c r="B15" s="23" t="s">
        <v>69</v>
      </c>
      <c r="C15" s="23" t="s">
        <v>870</v>
      </c>
      <c r="D15" s="37" t="n">
        <v>92808017.9021998</v>
      </c>
      <c r="E15" s="33" t="n">
        <f aca="false">'Monthly P&amp;L'!$D$45</f>
        <v>92808017.9022</v>
      </c>
      <c r="F15" s="47" t="n">
        <f aca="false">ROUND(E15-D15,6)</f>
        <v>0</v>
      </c>
      <c r="G15" s="67" t="n">
        <v>0.5</v>
      </c>
      <c r="H15" s="68" t="str">
        <f aca="false">IF(ABS(F15)&lt;=G15,"PASS","FAIL")</f>
        <v>PASS</v>
      </c>
    </row>
    <row r="16" customFormat="false" ht="15" hidden="false" customHeight="false" outlineLevel="0" collapsed="false">
      <c r="A16" s="23" t="s">
        <v>871</v>
      </c>
      <c r="B16" s="23" t="s">
        <v>69</v>
      </c>
      <c r="C16" s="23" t="s">
        <v>872</v>
      </c>
      <c r="D16" s="37" t="n">
        <v>39708939.3079002</v>
      </c>
      <c r="E16" s="33" t="n">
        <f aca="false">'Monthly P&amp;L'!$G$45</f>
        <v>39708939.3079</v>
      </c>
      <c r="F16" s="47" t="n">
        <f aca="false">ROUND(E16-D16,6)</f>
        <v>-0</v>
      </c>
      <c r="G16" s="67" t="n">
        <v>0.5</v>
      </c>
      <c r="H16" s="68" t="str">
        <f aca="false">IF(ABS(F16)&lt;=G16,"PASS","FAIL")</f>
        <v>PASS</v>
      </c>
    </row>
    <row r="17" customFormat="false" ht="15" hidden="false" customHeight="false" outlineLevel="0" collapsed="false">
      <c r="A17" s="23" t="s">
        <v>873</v>
      </c>
      <c r="B17" s="23" t="s">
        <v>69</v>
      </c>
      <c r="C17" s="23" t="s">
        <v>874</v>
      </c>
      <c r="D17" s="37" t="n">
        <v>43812798.7776002</v>
      </c>
      <c r="E17" s="33" t="n">
        <f aca="false">'Monthly P&amp;L'!$H$45</f>
        <v>43812798.7776</v>
      </c>
      <c r="F17" s="47" t="n">
        <f aca="false">ROUND(E17-D17,6)</f>
        <v>-0</v>
      </c>
      <c r="G17" s="67" t="n">
        <v>0.5</v>
      </c>
      <c r="H17" s="68" t="str">
        <f aca="false">IF(ABS(F17)&lt;=G17,"PASS","FAIL")</f>
        <v>PASS</v>
      </c>
    </row>
    <row r="18" customFormat="false" ht="15" hidden="false" customHeight="false" outlineLevel="0" collapsed="false">
      <c r="A18" s="23" t="s">
        <v>875</v>
      </c>
      <c r="B18" s="23" t="s">
        <v>69</v>
      </c>
      <c r="C18" s="23" t="s">
        <v>876</v>
      </c>
      <c r="D18" s="37" t="n">
        <v>1841552.0637</v>
      </c>
      <c r="E18" s="33" t="n">
        <f aca="false">'Monthly P&amp;L'!$K$45</f>
        <v>1841552.0637</v>
      </c>
      <c r="F18" s="47" t="n">
        <f aca="false">ROUND(E18-D18,6)</f>
        <v>0</v>
      </c>
      <c r="G18" s="67" t="n">
        <v>0.5</v>
      </c>
      <c r="H18" s="68" t="str">
        <f aca="false">IF(ABS(F18)&lt;=G18,"PASS","FAIL")</f>
        <v>PASS</v>
      </c>
    </row>
    <row r="19" customFormat="false" ht="15" hidden="false" customHeight="false" outlineLevel="0" collapsed="false">
      <c r="A19" s="23" t="s">
        <v>877</v>
      </c>
      <c r="B19" s="23" t="s">
        <v>69</v>
      </c>
      <c r="C19" s="23" t="s">
        <v>878</v>
      </c>
      <c r="D19" s="37" t="n">
        <v>595918.8704</v>
      </c>
      <c r="E19" s="33" t="n">
        <f aca="false">'Monthly P&amp;L'!$L$45</f>
        <v>595918.8704</v>
      </c>
      <c r="F19" s="47" t="n">
        <f aca="false">ROUND(E19-D19,6)</f>
        <v>-0</v>
      </c>
      <c r="G19" s="67" t="n">
        <v>0.5</v>
      </c>
      <c r="H19" s="68" t="str">
        <f aca="false">IF(ABS(F19)&lt;=G19,"PASS","FAIL")</f>
        <v>PASS</v>
      </c>
    </row>
    <row r="20" customFormat="false" ht="15" hidden="false" customHeight="false" outlineLevel="0" collapsed="false">
      <c r="A20" s="23" t="s">
        <v>879</v>
      </c>
      <c r="B20" s="23" t="s">
        <v>69</v>
      </c>
      <c r="C20" s="23" t="s">
        <v>880</v>
      </c>
      <c r="D20" s="37" t="n">
        <v>2751000.6627</v>
      </c>
      <c r="E20" s="33" t="n">
        <f aca="false">'Monthly P&amp;L'!$M$45</f>
        <v>2751000.6627</v>
      </c>
      <c r="F20" s="47" t="n">
        <f aca="false">ROUND(E20-D20,6)</f>
        <v>0</v>
      </c>
      <c r="G20" s="67" t="n">
        <v>0.5</v>
      </c>
      <c r="H20" s="68" t="str">
        <f aca="false">IF(ABS(F20)&lt;=G20,"PASS","FAIL")</f>
        <v>PASS</v>
      </c>
    </row>
    <row r="21" customFormat="false" ht="15" hidden="false" customHeight="false" outlineLevel="0" collapsed="false">
      <c r="A21" s="23" t="s">
        <v>881</v>
      </c>
      <c r="B21" s="23" t="s">
        <v>882</v>
      </c>
      <c r="C21" s="23" t="s">
        <v>883</v>
      </c>
      <c r="D21" s="37" t="n">
        <v>202649002.152202</v>
      </c>
      <c r="E21" s="33" t="n">
        <f aca="false">'Entity &amp; Division'!$C$14</f>
        <v>202649002.1522</v>
      </c>
      <c r="F21" s="47" t="n">
        <f aca="false">ROUND(E21-D21,6)</f>
        <v>-2E-006</v>
      </c>
      <c r="G21" s="67" t="n">
        <v>0.5</v>
      </c>
      <c r="H21" s="68" t="str">
        <f aca="false">IF(ABS(F21)&lt;=G21,"PASS","FAIL")</f>
        <v>PASS</v>
      </c>
    </row>
    <row r="22" customFormat="false" ht="15" hidden="false" customHeight="false" outlineLevel="0" collapsed="false">
      <c r="A22" s="23" t="s">
        <v>884</v>
      </c>
      <c r="B22" s="23" t="s">
        <v>882</v>
      </c>
      <c r="C22" s="23" t="s">
        <v>885</v>
      </c>
      <c r="D22" s="37" t="n">
        <v>202649002.152202</v>
      </c>
      <c r="E22" s="33" t="n">
        <f aca="false">'Entity &amp; Division'!$C$25</f>
        <v>202649002.152199</v>
      </c>
      <c r="F22" s="47" t="n">
        <f aca="false">ROUND(E22-D22,6)</f>
        <v>-2E-006</v>
      </c>
      <c r="G22" s="67" t="n">
        <v>0.5</v>
      </c>
      <c r="H22" s="68" t="str">
        <f aca="false">IF(ABS(F22)&lt;=G22,"PASS","FAIL")</f>
        <v>PASS</v>
      </c>
    </row>
    <row r="23" customFormat="false" ht="15" hidden="false" customHeight="false" outlineLevel="0" collapsed="false">
      <c r="A23" s="23" t="s">
        <v>886</v>
      </c>
      <c r="B23" s="23" t="s">
        <v>69</v>
      </c>
      <c r="C23" s="23" t="s">
        <v>887</v>
      </c>
      <c r="D23" s="37" t="n">
        <v>61295630.9945002</v>
      </c>
      <c r="E23" s="33" t="n">
        <f aca="false">'Monthly P&amp;L'!$C$51</f>
        <v>61295630.9945</v>
      </c>
      <c r="F23" s="47" t="n">
        <f aca="false">ROUND(E23-D23,6)</f>
        <v>-0</v>
      </c>
      <c r="G23" s="67" t="n">
        <v>0.5</v>
      </c>
      <c r="H23" s="68" t="str">
        <f aca="false">IF(ABS(F23)&lt;=G23,"PASS","FAIL")</f>
        <v>PASS</v>
      </c>
    </row>
    <row r="24" customFormat="false" ht="15" hidden="false" customHeight="false" outlineLevel="0" collapsed="false">
      <c r="A24" s="23" t="s">
        <v>888</v>
      </c>
      <c r="B24" s="23" t="s">
        <v>69</v>
      </c>
      <c r="C24" s="23" t="s">
        <v>889</v>
      </c>
      <c r="D24" s="37" t="n">
        <v>70362583.5628997</v>
      </c>
      <c r="E24" s="33" t="n">
        <f aca="false">'Monthly P&amp;L'!$C$52</f>
        <v>70362583.5629</v>
      </c>
      <c r="F24" s="47" t="n">
        <f aca="false">ROUND(E24-D24,6)</f>
        <v>0</v>
      </c>
      <c r="G24" s="67" t="n">
        <v>0.5</v>
      </c>
      <c r="H24" s="68" t="str">
        <f aca="false">IF(ABS(F24)&lt;=G24,"PASS","FAIL")</f>
        <v>PASS</v>
      </c>
    </row>
    <row r="25" customFormat="false" ht="15" hidden="false" customHeight="false" outlineLevel="0" collapsed="false">
      <c r="A25" s="23" t="s">
        <v>890</v>
      </c>
      <c r="B25" s="23" t="s">
        <v>69</v>
      </c>
      <c r="C25" s="23" t="s">
        <v>891</v>
      </c>
      <c r="D25" s="37" t="n">
        <v>70990787.5948</v>
      </c>
      <c r="E25" s="33" t="n">
        <f aca="false">'Monthly P&amp;L'!$C$53</f>
        <v>70990787.5948</v>
      </c>
      <c r="F25" s="47" t="n">
        <f aca="false">ROUND(E25-D25,6)</f>
        <v>0</v>
      </c>
      <c r="G25" s="67" t="n">
        <v>0.5</v>
      </c>
      <c r="H25" s="68" t="str">
        <f aca="false">IF(ABS(F25)&lt;=G25,"PASS","FAIL")</f>
        <v>PASS</v>
      </c>
    </row>
    <row r="26" customFormat="false" ht="15" hidden="false" customHeight="false" outlineLevel="0" collapsed="false">
      <c r="A26" s="23" t="s">
        <v>892</v>
      </c>
      <c r="B26" s="23" t="s">
        <v>189</v>
      </c>
      <c r="C26" s="23" t="s">
        <v>893</v>
      </c>
      <c r="D26" s="37" t="n">
        <v>21148201.8375</v>
      </c>
      <c r="E26" s="33" t="n">
        <f aca="false">'Entity &amp; Division'!$C$8</f>
        <v>21148201.8375</v>
      </c>
      <c r="F26" s="47" t="n">
        <f aca="false">ROUND(E26-D26,6)</f>
        <v>0</v>
      </c>
      <c r="G26" s="67" t="n">
        <v>0.5</v>
      </c>
      <c r="H26" s="68" t="str">
        <f aca="false">IF(ABS(F26)&lt;=G26,"PASS","FAIL")</f>
        <v>PASS</v>
      </c>
    </row>
    <row r="27" customFormat="false" ht="15" hidden="false" customHeight="false" outlineLevel="0" collapsed="false">
      <c r="A27" s="23" t="s">
        <v>894</v>
      </c>
      <c r="B27" s="23" t="s">
        <v>189</v>
      </c>
      <c r="C27" s="23" t="s">
        <v>895</v>
      </c>
      <c r="D27" s="37" t="n">
        <v>29549094.2914</v>
      </c>
      <c r="E27" s="33" t="n">
        <f aca="false">'Entity &amp; Division'!$C$9</f>
        <v>29549094.2914</v>
      </c>
      <c r="F27" s="47" t="n">
        <f aca="false">ROUND(E27-D27,6)</f>
        <v>0</v>
      </c>
      <c r="G27" s="67" t="n">
        <v>0.5</v>
      </c>
      <c r="H27" s="68" t="str">
        <f aca="false">IF(ABS(F27)&lt;=G27,"PASS","FAIL")</f>
        <v>PASS</v>
      </c>
    </row>
    <row r="28" customFormat="false" ht="15" hidden="false" customHeight="false" outlineLevel="0" collapsed="false">
      <c r="A28" s="23" t="s">
        <v>896</v>
      </c>
      <c r="B28" s="23" t="s">
        <v>189</v>
      </c>
      <c r="C28" s="23" t="s">
        <v>897</v>
      </c>
      <c r="D28" s="37" t="n">
        <v>20503977.0544999</v>
      </c>
      <c r="E28" s="33" t="n">
        <f aca="false">'Entity &amp; Division'!$C$10</f>
        <v>20503977.0544999</v>
      </c>
      <c r="F28" s="47" t="n">
        <f aca="false">ROUND(E28-D28,6)</f>
        <v>0</v>
      </c>
      <c r="G28" s="67" t="n">
        <v>0.5</v>
      </c>
      <c r="H28" s="68" t="str">
        <f aca="false">IF(ABS(F28)&lt;=G28,"PASS","FAIL")</f>
        <v>PASS</v>
      </c>
    </row>
    <row r="29" customFormat="false" ht="15" hidden="false" customHeight="false" outlineLevel="0" collapsed="false">
      <c r="A29" s="23" t="s">
        <v>898</v>
      </c>
      <c r="B29" s="23" t="s">
        <v>189</v>
      </c>
      <c r="C29" s="23" t="s">
        <v>899</v>
      </c>
      <c r="D29" s="37" t="n">
        <v>48348041.9253999</v>
      </c>
      <c r="E29" s="33" t="n">
        <f aca="false">'Entity &amp; Division'!$C$11</f>
        <v>48348041.9253999</v>
      </c>
      <c r="F29" s="47" t="n">
        <f aca="false">ROUND(E29-D29,6)</f>
        <v>0</v>
      </c>
      <c r="G29" s="67" t="n">
        <v>0.5</v>
      </c>
      <c r="H29" s="68" t="str">
        <f aca="false">IF(ABS(F29)&lt;=G29,"PASS","FAIL")</f>
        <v>PASS</v>
      </c>
    </row>
    <row r="30" customFormat="false" ht="15" hidden="false" customHeight="false" outlineLevel="0" collapsed="false">
      <c r="A30" s="23" t="s">
        <v>900</v>
      </c>
      <c r="B30" s="23" t="s">
        <v>189</v>
      </c>
      <c r="C30" s="23" t="s">
        <v>901</v>
      </c>
      <c r="D30" s="37" t="n">
        <v>27763849.121</v>
      </c>
      <c r="E30" s="33" t="n">
        <f aca="false">'Entity &amp; Division'!$C$12</f>
        <v>27763849.121</v>
      </c>
      <c r="F30" s="47" t="n">
        <f aca="false">ROUND(E30-D30,6)</f>
        <v>0</v>
      </c>
      <c r="G30" s="67" t="n">
        <v>0.5</v>
      </c>
      <c r="H30" s="68" t="str">
        <f aca="false">IF(ABS(F30)&lt;=G30,"PASS","FAIL")</f>
        <v>PASS</v>
      </c>
    </row>
    <row r="31" customFormat="false" ht="15" hidden="false" customHeight="false" outlineLevel="0" collapsed="false">
      <c r="A31" s="23" t="s">
        <v>902</v>
      </c>
      <c r="B31" s="23" t="s">
        <v>189</v>
      </c>
      <c r="C31" s="23" t="s">
        <v>903</v>
      </c>
      <c r="D31" s="37" t="n">
        <v>55335837.9223999</v>
      </c>
      <c r="E31" s="33" t="n">
        <f aca="false">'Entity &amp; Division'!$C$13</f>
        <v>55335837.9223999</v>
      </c>
      <c r="F31" s="47" t="n">
        <f aca="false">ROUND(E31-D31,6)</f>
        <v>0</v>
      </c>
      <c r="G31" s="67" t="n">
        <v>0.5</v>
      </c>
      <c r="H31" s="68" t="str">
        <f aca="false">IF(ABS(F31)&lt;=G31,"PASS","FAIL")</f>
        <v>PASS</v>
      </c>
    </row>
    <row r="32" customFormat="false" ht="15" hidden="false" customHeight="false" outlineLevel="0" collapsed="false">
      <c r="A32" s="23" t="s">
        <v>904</v>
      </c>
      <c r="B32" s="23" t="s">
        <v>905</v>
      </c>
      <c r="C32" s="23" t="s">
        <v>906</v>
      </c>
      <c r="D32" s="37" t="n">
        <v>190396715.628601</v>
      </c>
      <c r="E32" s="33" t="n">
        <f aca="false">'Budget vs Actual'!$C$10</f>
        <v>190396715.6286</v>
      </c>
      <c r="F32" s="47" t="n">
        <f aca="false">ROUND(E32-D32,6)</f>
        <v>-0</v>
      </c>
      <c r="G32" s="67" t="n">
        <v>0.5</v>
      </c>
      <c r="H32" s="68" t="str">
        <f aca="false">IF(ABS(F32)&lt;=G32,"PASS","FAIL")</f>
        <v>PASS</v>
      </c>
    </row>
    <row r="33" customFormat="false" ht="15" hidden="false" customHeight="false" outlineLevel="0" collapsed="false">
      <c r="A33" s="23" t="s">
        <v>907</v>
      </c>
      <c r="B33" s="23" t="s">
        <v>905</v>
      </c>
      <c r="C33" s="23" t="s">
        <v>908</v>
      </c>
      <c r="D33" s="37" t="n">
        <v>197419752.8901</v>
      </c>
      <c r="E33" s="33" t="n">
        <f aca="false">'Budget vs Actual'!$D$10</f>
        <v>197419752.8901</v>
      </c>
      <c r="F33" s="47" t="n">
        <f aca="false">ROUND(E33-D33,6)</f>
        <v>-0</v>
      </c>
      <c r="G33" s="67" t="n">
        <v>0.5</v>
      </c>
      <c r="H33" s="68" t="str">
        <f aca="false">IF(ABS(F33)&lt;=G33,"PASS","FAIL")</f>
        <v>PASS</v>
      </c>
    </row>
    <row r="34" customFormat="false" ht="15" hidden="false" customHeight="false" outlineLevel="0" collapsed="false">
      <c r="A34" s="23" t="s">
        <v>909</v>
      </c>
      <c r="B34" s="23" t="s">
        <v>905</v>
      </c>
      <c r="C34" s="23" t="s">
        <v>910</v>
      </c>
      <c r="D34" s="37" t="n">
        <v>27537</v>
      </c>
      <c r="E34" s="33" t="n">
        <f aca="false">'Budget vs Actual'!$B$10</f>
        <v>27537</v>
      </c>
      <c r="F34" s="38" t="n">
        <f aca="false">ROUND(E34-D34,6)</f>
        <v>0</v>
      </c>
      <c r="G34" s="67" t="n">
        <v>0</v>
      </c>
      <c r="H34" s="68" t="str">
        <f aca="false">IF(ABS(F34)&lt;=G34,"PASS","FAIL")</f>
        <v>PASS</v>
      </c>
    </row>
    <row r="35" customFormat="false" ht="15" hidden="false" customHeight="false" outlineLevel="0" collapsed="false">
      <c r="A35" s="23" t="s">
        <v>911</v>
      </c>
      <c r="B35" s="23" t="s">
        <v>905</v>
      </c>
      <c r="C35" s="23" t="s">
        <v>912</v>
      </c>
      <c r="D35" s="37" t="n">
        <v>191627864.952701</v>
      </c>
      <c r="E35" s="33" t="n">
        <f aca="false">'Budget vs Actual'!$C$22</f>
        <v>191627864.9527</v>
      </c>
      <c r="F35" s="47" t="n">
        <f aca="false">ROUND(E35-D35,6)</f>
        <v>-1E-006</v>
      </c>
      <c r="G35" s="67" t="n">
        <v>0.5</v>
      </c>
      <c r="H35" s="68" t="str">
        <f aca="false">IF(ABS(F35)&lt;=G35,"PASS","FAIL")</f>
        <v>PASS</v>
      </c>
    </row>
    <row r="36" customFormat="false" ht="15" hidden="false" customHeight="false" outlineLevel="0" collapsed="false">
      <c r="A36" s="23" t="s">
        <v>913</v>
      </c>
      <c r="B36" s="23" t="s">
        <v>905</v>
      </c>
      <c r="C36" s="23" t="s">
        <v>914</v>
      </c>
      <c r="D36" s="37" t="n">
        <v>196293772.4929</v>
      </c>
      <c r="E36" s="33" t="n">
        <f aca="false">'Budget vs Actual'!$D$22</f>
        <v>196293772.4929</v>
      </c>
      <c r="F36" s="47" t="n">
        <f aca="false">ROUND(E36-D36,6)</f>
        <v>0</v>
      </c>
      <c r="G36" s="67" t="n">
        <v>0.5</v>
      </c>
      <c r="H36" s="68" t="str">
        <f aca="false">IF(ABS(F36)&lt;=G36,"PASS","FAIL")</f>
        <v>PASS</v>
      </c>
    </row>
    <row r="37" customFormat="false" ht="15" hidden="false" customHeight="false" outlineLevel="0" collapsed="false">
      <c r="A37" s="23" t="s">
        <v>915</v>
      </c>
      <c r="B37" s="23" t="s">
        <v>905</v>
      </c>
      <c r="C37" s="23" t="s">
        <v>916</v>
      </c>
      <c r="D37" s="37" t="n">
        <v>30953</v>
      </c>
      <c r="E37" s="33" t="n">
        <f aca="false">'Budget vs Actual'!$B$22</f>
        <v>30953</v>
      </c>
      <c r="F37" s="38" t="n">
        <f aca="false">ROUND(E37-D37,6)</f>
        <v>0</v>
      </c>
      <c r="G37" s="67" t="n">
        <v>0</v>
      </c>
      <c r="H37" s="68" t="str">
        <f aca="false">IF(ABS(F37)&lt;=G37,"PASS","FAIL")</f>
        <v>PASS</v>
      </c>
    </row>
    <row r="38" customFormat="false" ht="15" hidden="false" customHeight="false" outlineLevel="0" collapsed="false">
      <c r="A38" s="23" t="s">
        <v>917</v>
      </c>
      <c r="B38" s="23" t="s">
        <v>905</v>
      </c>
      <c r="C38" s="23" t="s">
        <v>918</v>
      </c>
      <c r="D38" s="37" t="n">
        <v>87801325.6996996</v>
      </c>
      <c r="E38" s="33" t="n">
        <f aca="false">'Budget vs Actual'!$C$11</f>
        <v>87801325.6996999</v>
      </c>
      <c r="F38" s="47" t="n">
        <f aca="false">ROUND(E38-D38,6)</f>
        <v>0</v>
      </c>
      <c r="G38" s="67" t="n">
        <v>0.5</v>
      </c>
      <c r="H38" s="68" t="str">
        <f aca="false">IF(ABS(F38)&lt;=G38,"PASS","FAIL")</f>
        <v>PASS</v>
      </c>
    </row>
    <row r="39" customFormat="false" ht="15" hidden="false" customHeight="false" outlineLevel="0" collapsed="false">
      <c r="A39" s="23" t="s">
        <v>919</v>
      </c>
      <c r="B39" s="23" t="s">
        <v>905</v>
      </c>
      <c r="C39" s="23" t="s">
        <v>920</v>
      </c>
      <c r="D39" s="37" t="n">
        <v>82505583.9006001</v>
      </c>
      <c r="E39" s="33" t="n">
        <f aca="false">'Budget vs Actual'!$D$11</f>
        <v>82505583.9005999</v>
      </c>
      <c r="F39" s="47" t="n">
        <f aca="false">ROUND(E39-D39,6)</f>
        <v>-0</v>
      </c>
      <c r="G39" s="67" t="n">
        <v>0.5</v>
      </c>
      <c r="H39" s="68" t="str">
        <f aca="false">IF(ABS(F39)&lt;=G39,"PASS","FAIL")</f>
        <v>PASS</v>
      </c>
    </row>
    <row r="40" customFormat="false" ht="15" hidden="false" customHeight="false" outlineLevel="0" collapsed="false">
      <c r="A40" s="23" t="s">
        <v>921</v>
      </c>
      <c r="B40" s="23" t="s">
        <v>905</v>
      </c>
      <c r="C40" s="23" t="s">
        <v>922</v>
      </c>
      <c r="D40" s="37" t="n">
        <v>10142</v>
      </c>
      <c r="E40" s="33" t="n">
        <f aca="false">'Budget vs Actual'!$B$11</f>
        <v>10142</v>
      </c>
      <c r="F40" s="38" t="n">
        <f aca="false">ROUND(E40-D40,6)</f>
        <v>0</v>
      </c>
      <c r="G40" s="67" t="n">
        <v>0</v>
      </c>
      <c r="H40" s="68" t="str">
        <f aca="false">IF(ABS(F40)&lt;=G40,"PASS","FAIL")</f>
        <v>PASS</v>
      </c>
    </row>
    <row r="41" customFormat="false" ht="15" hidden="false" customHeight="false" outlineLevel="0" collapsed="false">
      <c r="A41" s="23" t="s">
        <v>923</v>
      </c>
      <c r="B41" s="23" t="s">
        <v>905</v>
      </c>
      <c r="C41" s="23" t="s">
        <v>924</v>
      </c>
      <c r="D41" s="37" t="n">
        <v>87563588.9843997</v>
      </c>
      <c r="E41" s="33" t="n">
        <f aca="false">'Budget vs Actual'!$C$23</f>
        <v>87563588.9843999</v>
      </c>
      <c r="F41" s="47" t="n">
        <f aca="false">ROUND(E41-D41,6)</f>
        <v>0</v>
      </c>
      <c r="G41" s="67" t="n">
        <v>0.5</v>
      </c>
      <c r="H41" s="68" t="str">
        <f aca="false">IF(ABS(F41)&lt;=G41,"PASS","FAIL")</f>
        <v>PASS</v>
      </c>
    </row>
    <row r="42" customFormat="false" ht="15" hidden="false" customHeight="false" outlineLevel="0" collapsed="false">
      <c r="A42" s="23" t="s">
        <v>925</v>
      </c>
      <c r="B42" s="23" t="s">
        <v>905</v>
      </c>
      <c r="C42" s="23" t="s">
        <v>926</v>
      </c>
      <c r="D42" s="37" t="n">
        <v>82756589.5567</v>
      </c>
      <c r="E42" s="33" t="n">
        <f aca="false">'Budget vs Actual'!$D$23</f>
        <v>82756589.5566999</v>
      </c>
      <c r="F42" s="47" t="n">
        <f aca="false">ROUND(E42-D42,6)</f>
        <v>-0</v>
      </c>
      <c r="G42" s="67" t="n">
        <v>0.5</v>
      </c>
      <c r="H42" s="68" t="str">
        <f aca="false">IF(ABS(F42)&lt;=G42,"PASS","FAIL")</f>
        <v>PASS</v>
      </c>
    </row>
    <row r="43" customFormat="false" ht="15" hidden="false" customHeight="false" outlineLevel="0" collapsed="false">
      <c r="A43" s="23" t="s">
        <v>927</v>
      </c>
      <c r="B43" s="23" t="s">
        <v>905</v>
      </c>
      <c r="C43" s="23" t="s">
        <v>928</v>
      </c>
      <c r="D43" s="37" t="n">
        <v>11517</v>
      </c>
      <c r="E43" s="33" t="n">
        <f aca="false">'Budget vs Actual'!$B$23</f>
        <v>11517</v>
      </c>
      <c r="F43" s="38" t="n">
        <f aca="false">ROUND(E43-D43,6)</f>
        <v>0</v>
      </c>
      <c r="G43" s="67" t="n">
        <v>0</v>
      </c>
      <c r="H43" s="68" t="str">
        <f aca="false">IF(ABS(F43)&lt;=G43,"PASS","FAIL")</f>
        <v>PASS</v>
      </c>
    </row>
    <row r="44" customFormat="false" ht="15" hidden="false" customHeight="false" outlineLevel="0" collapsed="false">
      <c r="A44" s="23" t="s">
        <v>929</v>
      </c>
      <c r="B44" s="23" t="s">
        <v>905</v>
      </c>
      <c r="C44" s="23" t="s">
        <v>930</v>
      </c>
      <c r="D44" s="37" t="n">
        <v>38264640.1592001</v>
      </c>
      <c r="E44" s="33" t="n">
        <f aca="false">'Budget vs Actual'!$C$12</f>
        <v>38264640.1592</v>
      </c>
      <c r="F44" s="47" t="n">
        <f aca="false">ROUND(E44-D44,6)</f>
        <v>-0</v>
      </c>
      <c r="G44" s="67" t="n">
        <v>0.5</v>
      </c>
      <c r="H44" s="68" t="str">
        <f aca="false">IF(ABS(F44)&lt;=G44,"PASS","FAIL")</f>
        <v>PASS</v>
      </c>
    </row>
    <row r="45" customFormat="false" ht="15" hidden="false" customHeight="false" outlineLevel="0" collapsed="false">
      <c r="A45" s="23" t="s">
        <v>931</v>
      </c>
      <c r="B45" s="23" t="s">
        <v>905</v>
      </c>
      <c r="C45" s="23" t="s">
        <v>932</v>
      </c>
      <c r="D45" s="37" t="n">
        <v>35971789.9141</v>
      </c>
      <c r="E45" s="33" t="n">
        <f aca="false">'Budget vs Actual'!$D$12</f>
        <v>35971789.9141</v>
      </c>
      <c r="F45" s="47" t="n">
        <f aca="false">ROUND(E45-D45,6)</f>
        <v>-0</v>
      </c>
      <c r="G45" s="67" t="n">
        <v>0.5</v>
      </c>
      <c r="H45" s="68" t="str">
        <f aca="false">IF(ABS(F45)&lt;=G45,"PASS","FAIL")</f>
        <v>PASS</v>
      </c>
    </row>
    <row r="46" customFormat="false" ht="15" hidden="false" customHeight="false" outlineLevel="0" collapsed="false">
      <c r="A46" s="23" t="s">
        <v>933</v>
      </c>
      <c r="B46" s="23" t="s">
        <v>905</v>
      </c>
      <c r="C46" s="23" t="s">
        <v>934</v>
      </c>
      <c r="D46" s="37" t="n">
        <v>2721</v>
      </c>
      <c r="E46" s="33" t="n">
        <f aca="false">'Budget vs Actual'!$B$12</f>
        <v>2721</v>
      </c>
      <c r="F46" s="38" t="n">
        <f aca="false">ROUND(E46-D46,6)</f>
        <v>0</v>
      </c>
      <c r="G46" s="67" t="n">
        <v>0</v>
      </c>
      <c r="H46" s="68" t="str">
        <f aca="false">IF(ABS(F46)&lt;=G46,"PASS","FAIL")</f>
        <v>PASS</v>
      </c>
    </row>
    <row r="47" customFormat="false" ht="15" hidden="false" customHeight="false" outlineLevel="0" collapsed="false">
      <c r="A47" s="23" t="s">
        <v>935</v>
      </c>
      <c r="B47" s="23" t="s">
        <v>905</v>
      </c>
      <c r="C47" s="23" t="s">
        <v>936</v>
      </c>
      <c r="D47" s="37" t="n">
        <v>37123067.6416001</v>
      </c>
      <c r="E47" s="33" t="n">
        <f aca="false">'Budget vs Actual'!$C$24</f>
        <v>37123067.6416</v>
      </c>
      <c r="F47" s="47" t="n">
        <f aca="false">ROUND(E47-D47,6)</f>
        <v>-0</v>
      </c>
      <c r="G47" s="67" t="n">
        <v>0.5</v>
      </c>
      <c r="H47" s="68" t="str">
        <f aca="false">IF(ABS(F47)&lt;=G47,"PASS","FAIL")</f>
        <v>PASS</v>
      </c>
    </row>
    <row r="48" customFormat="false" ht="15" hidden="false" customHeight="false" outlineLevel="0" collapsed="false">
      <c r="A48" s="23" t="s">
        <v>937</v>
      </c>
      <c r="B48" s="23" t="s">
        <v>905</v>
      </c>
      <c r="C48" s="23" t="s">
        <v>938</v>
      </c>
      <c r="D48" s="37" t="n">
        <v>37083623.9063</v>
      </c>
      <c r="E48" s="33" t="n">
        <f aca="false">'Budget vs Actual'!$D$24</f>
        <v>37083623.9063</v>
      </c>
      <c r="F48" s="47" t="n">
        <f aca="false">ROUND(E48-D48,6)</f>
        <v>0</v>
      </c>
      <c r="G48" s="67" t="n">
        <v>0.5</v>
      </c>
      <c r="H48" s="68" t="str">
        <f aca="false">IF(ABS(F48)&lt;=G48,"PASS","FAIL")</f>
        <v>PASS</v>
      </c>
    </row>
    <row r="49" customFormat="false" ht="15" hidden="false" customHeight="false" outlineLevel="0" collapsed="false">
      <c r="A49" s="23" t="s">
        <v>939</v>
      </c>
      <c r="B49" s="23" t="s">
        <v>905</v>
      </c>
      <c r="C49" s="23" t="s">
        <v>940</v>
      </c>
      <c r="D49" s="37" t="n">
        <v>3101</v>
      </c>
      <c r="E49" s="33" t="n">
        <f aca="false">'Budget vs Actual'!$B$24</f>
        <v>3101</v>
      </c>
      <c r="F49" s="38" t="n">
        <f aca="false">ROUND(E49-D49,6)</f>
        <v>0</v>
      </c>
      <c r="G49" s="67" t="n">
        <v>0</v>
      </c>
      <c r="H49" s="68" t="str">
        <f aca="false">IF(ABS(F49)&lt;=G49,"PASS","FAIL")</f>
        <v>PASS</v>
      </c>
    </row>
    <row r="50" customFormat="false" ht="15" hidden="false" customHeight="false" outlineLevel="0" collapsed="false">
      <c r="A50" s="23" t="s">
        <v>941</v>
      </c>
      <c r="B50" s="23" t="s">
        <v>905</v>
      </c>
      <c r="C50" s="23" t="s">
        <v>942</v>
      </c>
      <c r="D50" s="37" t="n">
        <v>41457348.0924001</v>
      </c>
      <c r="E50" s="33" t="n">
        <f aca="false">'Budget vs Actual'!$C$13</f>
        <v>41457348.0924001</v>
      </c>
      <c r="F50" s="47" t="n">
        <f aca="false">ROUND(E50-D50,6)</f>
        <v>-0</v>
      </c>
      <c r="G50" s="67" t="n">
        <v>0.5</v>
      </c>
      <c r="H50" s="68" t="str">
        <f aca="false">IF(ABS(F50)&lt;=G50,"PASS","FAIL")</f>
        <v>PASS</v>
      </c>
    </row>
    <row r="51" customFormat="false" ht="15" hidden="false" customHeight="false" outlineLevel="0" collapsed="false">
      <c r="A51" s="23" t="s">
        <v>943</v>
      </c>
      <c r="B51" s="23" t="s">
        <v>905</v>
      </c>
      <c r="C51" s="23" t="s">
        <v>944</v>
      </c>
      <c r="D51" s="37" t="n">
        <v>38958919.3513998</v>
      </c>
      <c r="E51" s="33" t="n">
        <f aca="false">'Budget vs Actual'!$D$13</f>
        <v>38958919.3514</v>
      </c>
      <c r="F51" s="47" t="n">
        <f aca="false">ROUND(E51-D51,6)</f>
        <v>0</v>
      </c>
      <c r="G51" s="67" t="n">
        <v>0.5</v>
      </c>
      <c r="H51" s="68" t="str">
        <f aca="false">IF(ABS(F51)&lt;=G51,"PASS","FAIL")</f>
        <v>PASS</v>
      </c>
    </row>
    <row r="52" customFormat="false" ht="15" hidden="false" customHeight="false" outlineLevel="0" collapsed="false">
      <c r="A52" s="23" t="s">
        <v>945</v>
      </c>
      <c r="B52" s="23" t="s">
        <v>905</v>
      </c>
      <c r="C52" s="23" t="s">
        <v>946</v>
      </c>
      <c r="D52" s="37" t="n">
        <v>7125</v>
      </c>
      <c r="E52" s="33" t="n">
        <f aca="false">'Budget vs Actual'!$B$13</f>
        <v>7125</v>
      </c>
      <c r="F52" s="38" t="n">
        <f aca="false">ROUND(E52-D52,6)</f>
        <v>0</v>
      </c>
      <c r="G52" s="67" t="n">
        <v>0</v>
      </c>
      <c r="H52" s="68" t="str">
        <f aca="false">IF(ABS(F52)&lt;=G52,"PASS","FAIL")</f>
        <v>PASS</v>
      </c>
    </row>
    <row r="53" customFormat="false" ht="15" hidden="false" customHeight="false" outlineLevel="0" collapsed="false">
      <c r="A53" s="23" t="s">
        <v>947</v>
      </c>
      <c r="B53" s="23" t="s">
        <v>905</v>
      </c>
      <c r="C53" s="23" t="s">
        <v>948</v>
      </c>
      <c r="D53" s="37" t="n">
        <v>41160729.6026002</v>
      </c>
      <c r="E53" s="33" t="n">
        <f aca="false">'Budget vs Actual'!$C$25</f>
        <v>41160729.6026</v>
      </c>
      <c r="F53" s="47" t="n">
        <f aca="false">ROUND(E53-D53,6)</f>
        <v>-0</v>
      </c>
      <c r="G53" s="67" t="n">
        <v>0.5</v>
      </c>
      <c r="H53" s="68" t="str">
        <f aca="false">IF(ABS(F53)&lt;=G53,"PASS","FAIL")</f>
        <v>PASS</v>
      </c>
    </row>
    <row r="54" customFormat="false" ht="15" hidden="false" customHeight="false" outlineLevel="0" collapsed="false">
      <c r="A54" s="23" t="s">
        <v>949</v>
      </c>
      <c r="B54" s="23" t="s">
        <v>905</v>
      </c>
      <c r="C54" s="23" t="s">
        <v>950</v>
      </c>
      <c r="D54" s="37" t="n">
        <v>39236309.7374998</v>
      </c>
      <c r="E54" s="33" t="n">
        <f aca="false">'Budget vs Actual'!$D$25</f>
        <v>39236309.7375001</v>
      </c>
      <c r="F54" s="47" t="n">
        <f aca="false">ROUND(E54-D54,6)</f>
        <v>0</v>
      </c>
      <c r="G54" s="67" t="n">
        <v>0.5</v>
      </c>
      <c r="H54" s="68" t="str">
        <f aca="false">IF(ABS(F54)&lt;=G54,"PASS","FAIL")</f>
        <v>PASS</v>
      </c>
    </row>
    <row r="55" customFormat="false" ht="15" hidden="false" customHeight="false" outlineLevel="0" collapsed="false">
      <c r="A55" s="23" t="s">
        <v>951</v>
      </c>
      <c r="B55" s="23" t="s">
        <v>905</v>
      </c>
      <c r="C55" s="23" t="s">
        <v>952</v>
      </c>
      <c r="D55" s="37" t="n">
        <v>8153</v>
      </c>
      <c r="E55" s="33" t="n">
        <f aca="false">'Budget vs Actual'!$B$25</f>
        <v>8153</v>
      </c>
      <c r="F55" s="38" t="n">
        <f aca="false">ROUND(E55-D55,6)</f>
        <v>0</v>
      </c>
      <c r="G55" s="67" t="n">
        <v>0</v>
      </c>
      <c r="H55" s="68" t="str">
        <f aca="false">IF(ABS(F55)&lt;=G55,"PASS","FAIL")</f>
        <v>PASS</v>
      </c>
    </row>
    <row r="56" customFormat="false" ht="15" hidden="false" customHeight="false" outlineLevel="0" collapsed="false">
      <c r="A56" s="23" t="s">
        <v>953</v>
      </c>
      <c r="B56" s="23" t="s">
        <v>905</v>
      </c>
      <c r="C56" s="23" t="s">
        <v>954</v>
      </c>
      <c r="D56" s="37" t="n">
        <v>1742110.0938</v>
      </c>
      <c r="E56" s="33" t="n">
        <f aca="false">'Budget vs Actual'!$C$14</f>
        <v>1742110.0938</v>
      </c>
      <c r="F56" s="47" t="n">
        <f aca="false">ROUND(E56-D56,6)</f>
        <v>0</v>
      </c>
      <c r="G56" s="67" t="n">
        <v>0.5</v>
      </c>
      <c r="H56" s="68" t="str">
        <f aca="false">IF(ABS(F56)&lt;=G56,"PASS","FAIL")</f>
        <v>PASS</v>
      </c>
    </row>
    <row r="57" customFormat="false" ht="15" hidden="false" customHeight="false" outlineLevel="0" collapsed="false">
      <c r="A57" s="23" t="s">
        <v>955</v>
      </c>
      <c r="B57" s="23" t="s">
        <v>905</v>
      </c>
      <c r="C57" s="23" t="s">
        <v>956</v>
      </c>
      <c r="D57" s="37" t="n">
        <v>1638237.8038</v>
      </c>
      <c r="E57" s="33" t="n">
        <f aca="false">'Budget vs Actual'!$D$14</f>
        <v>1638237.8038</v>
      </c>
      <c r="F57" s="47" t="n">
        <f aca="false">ROUND(E57-D57,6)</f>
        <v>0</v>
      </c>
      <c r="G57" s="67" t="n">
        <v>0.5</v>
      </c>
      <c r="H57" s="68" t="str">
        <f aca="false">IF(ABS(F57)&lt;=G57,"PASS","FAIL")</f>
        <v>PASS</v>
      </c>
    </row>
    <row r="58" customFormat="false" ht="15" hidden="false" customHeight="false" outlineLevel="0" collapsed="false">
      <c r="A58" s="23" t="s">
        <v>957</v>
      </c>
      <c r="B58" s="23" t="s">
        <v>905</v>
      </c>
      <c r="C58" s="23" t="s">
        <v>958</v>
      </c>
      <c r="D58" s="37" t="n">
        <v>292</v>
      </c>
      <c r="E58" s="33" t="n">
        <f aca="false">'Budget vs Actual'!$B$14</f>
        <v>292</v>
      </c>
      <c r="F58" s="38" t="n">
        <f aca="false">ROUND(E58-D58,6)</f>
        <v>0</v>
      </c>
      <c r="G58" s="67" t="n">
        <v>0</v>
      </c>
      <c r="H58" s="68" t="str">
        <f aca="false">IF(ABS(F58)&lt;=G58,"PASS","FAIL")</f>
        <v>PASS</v>
      </c>
    </row>
    <row r="59" customFormat="false" ht="15" hidden="false" customHeight="false" outlineLevel="0" collapsed="false">
      <c r="A59" s="23" t="s">
        <v>959</v>
      </c>
      <c r="B59" s="23" t="s">
        <v>905</v>
      </c>
      <c r="C59" s="23" t="s">
        <v>960</v>
      </c>
      <c r="D59" s="37" t="n">
        <v>1762454.7938</v>
      </c>
      <c r="E59" s="33" t="n">
        <f aca="false">'Budget vs Actual'!$C$26</f>
        <v>1762454.7938</v>
      </c>
      <c r="F59" s="47" t="n">
        <f aca="false">ROUND(E59-D59,6)</f>
        <v>0</v>
      </c>
      <c r="G59" s="67" t="n">
        <v>0.5</v>
      </c>
      <c r="H59" s="68" t="str">
        <f aca="false">IF(ABS(F59)&lt;=G59,"PASS","FAIL")</f>
        <v>PASS</v>
      </c>
    </row>
    <row r="60" customFormat="false" ht="15" hidden="false" customHeight="false" outlineLevel="0" collapsed="false">
      <c r="A60" s="23" t="s">
        <v>961</v>
      </c>
      <c r="B60" s="23" t="s">
        <v>905</v>
      </c>
      <c r="C60" s="23" t="s">
        <v>962</v>
      </c>
      <c r="D60" s="37" t="n">
        <v>1621481.0638</v>
      </c>
      <c r="E60" s="33" t="n">
        <f aca="false">'Budget vs Actual'!$D$26</f>
        <v>1621481.0638</v>
      </c>
      <c r="F60" s="47" t="n">
        <f aca="false">ROUND(E60-D60,6)</f>
        <v>-0</v>
      </c>
      <c r="G60" s="67" t="n">
        <v>0.5</v>
      </c>
      <c r="H60" s="68" t="str">
        <f aca="false">IF(ABS(F60)&lt;=G60,"PASS","FAIL")</f>
        <v>PASS</v>
      </c>
    </row>
    <row r="61" customFormat="false" ht="15" hidden="false" customHeight="false" outlineLevel="0" collapsed="false">
      <c r="A61" s="23" t="s">
        <v>963</v>
      </c>
      <c r="B61" s="23" t="s">
        <v>905</v>
      </c>
      <c r="C61" s="23" t="s">
        <v>964</v>
      </c>
      <c r="D61" s="37" t="n">
        <v>325</v>
      </c>
      <c r="E61" s="33" t="n">
        <f aca="false">'Budget vs Actual'!$B$26</f>
        <v>325</v>
      </c>
      <c r="F61" s="38" t="n">
        <f aca="false">ROUND(E61-D61,6)</f>
        <v>0</v>
      </c>
      <c r="G61" s="67" t="n">
        <v>0</v>
      </c>
      <c r="H61" s="68" t="str">
        <f aca="false">IF(ABS(F61)&lt;=G61,"PASS","FAIL")</f>
        <v>PASS</v>
      </c>
    </row>
    <row r="62" customFormat="false" ht="15" hidden="false" customHeight="false" outlineLevel="0" collapsed="false">
      <c r="A62" s="23" t="s">
        <v>965</v>
      </c>
      <c r="B62" s="23" t="s">
        <v>905</v>
      </c>
      <c r="C62" s="23" t="s">
        <v>966</v>
      </c>
      <c r="D62" s="37" t="n">
        <v>525074.4574</v>
      </c>
      <c r="E62" s="33" t="n">
        <f aca="false">'Budget vs Actual'!$C$15</f>
        <v>525074.4574</v>
      </c>
      <c r="F62" s="47" t="n">
        <f aca="false">ROUND(E62-D62,6)</f>
        <v>-0</v>
      </c>
      <c r="G62" s="67" t="n">
        <v>0.5</v>
      </c>
      <c r="H62" s="68" t="str">
        <f aca="false">IF(ABS(F62)&lt;=G62,"PASS","FAIL")</f>
        <v>PASS</v>
      </c>
    </row>
    <row r="63" customFormat="false" ht="15" hidden="false" customHeight="false" outlineLevel="0" collapsed="false">
      <c r="A63" s="23" t="s">
        <v>967</v>
      </c>
      <c r="B63" s="23" t="s">
        <v>905</v>
      </c>
      <c r="C63" s="23" t="s">
        <v>968</v>
      </c>
      <c r="D63" s="37" t="n">
        <v>493909.0152</v>
      </c>
      <c r="E63" s="33" t="n">
        <f aca="false">'Budget vs Actual'!$D$15</f>
        <v>493909.0152</v>
      </c>
      <c r="F63" s="47" t="n">
        <f aca="false">ROUND(E63-D63,6)</f>
        <v>-0</v>
      </c>
      <c r="G63" s="67" t="n">
        <v>0.5</v>
      </c>
      <c r="H63" s="68" t="str">
        <f aca="false">IF(ABS(F63)&lt;=G63,"PASS","FAIL")</f>
        <v>PASS</v>
      </c>
    </row>
    <row r="64" customFormat="false" ht="15" hidden="false" customHeight="false" outlineLevel="0" collapsed="false">
      <c r="A64" s="23" t="s">
        <v>969</v>
      </c>
      <c r="B64" s="23" t="s">
        <v>905</v>
      </c>
      <c r="C64" s="23" t="s">
        <v>970</v>
      </c>
      <c r="D64" s="37" t="n">
        <v>589</v>
      </c>
      <c r="E64" s="33" t="n">
        <f aca="false">'Budget vs Actual'!$B$15</f>
        <v>589</v>
      </c>
      <c r="F64" s="38" t="n">
        <f aca="false">ROUND(E64-D64,6)</f>
        <v>0</v>
      </c>
      <c r="G64" s="67" t="n">
        <v>0</v>
      </c>
      <c r="H64" s="68" t="str">
        <f aca="false">IF(ABS(F64)&lt;=G64,"PASS","FAIL")</f>
        <v>PASS</v>
      </c>
    </row>
    <row r="65" customFormat="false" ht="15" hidden="false" customHeight="false" outlineLevel="0" collapsed="false">
      <c r="A65" s="23" t="s">
        <v>971</v>
      </c>
      <c r="B65" s="23" t="s">
        <v>905</v>
      </c>
      <c r="C65" s="23" t="s">
        <v>972</v>
      </c>
      <c r="D65" s="37" t="n">
        <v>539704.35</v>
      </c>
      <c r="E65" s="33" t="n">
        <f aca="false">'Budget vs Actual'!$C$27</f>
        <v>539704.35</v>
      </c>
      <c r="F65" s="47" t="n">
        <f aca="false">ROUND(E65-D65,6)</f>
        <v>-0</v>
      </c>
      <c r="G65" s="67" t="n">
        <v>0.5</v>
      </c>
      <c r="H65" s="68" t="str">
        <f aca="false">IF(ABS(F65)&lt;=G65,"PASS","FAIL")</f>
        <v>PASS</v>
      </c>
    </row>
    <row r="66" customFormat="false" ht="15" hidden="false" customHeight="false" outlineLevel="0" collapsed="false">
      <c r="A66" s="23" t="s">
        <v>973</v>
      </c>
      <c r="B66" s="23" t="s">
        <v>905</v>
      </c>
      <c r="C66" s="23" t="s">
        <v>974</v>
      </c>
      <c r="D66" s="37" t="n">
        <v>481316.270400001</v>
      </c>
      <c r="E66" s="33" t="n">
        <f aca="false">'Budget vs Actual'!$D$27</f>
        <v>481316.2704</v>
      </c>
      <c r="F66" s="47" t="n">
        <f aca="false">ROUND(E66-D66,6)</f>
        <v>-0</v>
      </c>
      <c r="G66" s="67" t="n">
        <v>0.5</v>
      </c>
      <c r="H66" s="68" t="str">
        <f aca="false">IF(ABS(F66)&lt;=G66,"PASS","FAIL")</f>
        <v>PASS</v>
      </c>
    </row>
    <row r="67" customFormat="false" ht="15" hidden="false" customHeight="false" outlineLevel="0" collapsed="false">
      <c r="A67" s="23" t="s">
        <v>975</v>
      </c>
      <c r="B67" s="23" t="s">
        <v>905</v>
      </c>
      <c r="C67" s="23" t="s">
        <v>976</v>
      </c>
      <c r="D67" s="37" t="n">
        <v>655</v>
      </c>
      <c r="E67" s="33" t="n">
        <f aca="false">'Budget vs Actual'!$B$27</f>
        <v>655</v>
      </c>
      <c r="F67" s="38" t="n">
        <f aca="false">ROUND(E67-D67,6)</f>
        <v>0</v>
      </c>
      <c r="G67" s="67" t="n">
        <v>0</v>
      </c>
      <c r="H67" s="68" t="str">
        <f aca="false">IF(ABS(F67)&lt;=G67,"PASS","FAIL")</f>
        <v>PASS</v>
      </c>
    </row>
    <row r="68" customFormat="false" ht="15" hidden="false" customHeight="false" outlineLevel="0" collapsed="false">
      <c r="A68" s="23" t="s">
        <v>977</v>
      </c>
      <c r="B68" s="23" t="s">
        <v>905</v>
      </c>
      <c r="C68" s="23" t="s">
        <v>978</v>
      </c>
      <c r="D68" s="37" t="n">
        <v>2812303.9037</v>
      </c>
      <c r="E68" s="33" t="n">
        <f aca="false">'Budget vs Actual'!$C$16</f>
        <v>2812303.9037</v>
      </c>
      <c r="F68" s="47" t="n">
        <f aca="false">ROUND(E68-D68,6)</f>
        <v>0</v>
      </c>
      <c r="G68" s="67" t="n">
        <v>0.5</v>
      </c>
      <c r="H68" s="68" t="str">
        <f aca="false">IF(ABS(F68)&lt;=G68,"PASS","FAIL")</f>
        <v>PASS</v>
      </c>
    </row>
    <row r="69" customFormat="false" ht="15" hidden="false" customHeight="false" outlineLevel="0" collapsed="false">
      <c r="A69" s="23" t="s">
        <v>979</v>
      </c>
      <c r="B69" s="23" t="s">
        <v>905</v>
      </c>
      <c r="C69" s="23" t="s">
        <v>980</v>
      </c>
      <c r="D69" s="37" t="n">
        <v>2645687.7164</v>
      </c>
      <c r="E69" s="33" t="n">
        <f aca="false">'Budget vs Actual'!$D$16</f>
        <v>2645687.7164</v>
      </c>
      <c r="F69" s="47" t="n">
        <f aca="false">ROUND(E69-D69,6)</f>
        <v>-0</v>
      </c>
      <c r="G69" s="67" t="n">
        <v>0.5</v>
      </c>
      <c r="H69" s="68" t="str">
        <f aca="false">IF(ABS(F69)&lt;=G69,"PASS","FAIL")</f>
        <v>PASS</v>
      </c>
    </row>
    <row r="70" customFormat="false" ht="15" hidden="false" customHeight="false" outlineLevel="0" collapsed="false">
      <c r="A70" s="23" t="s">
        <v>981</v>
      </c>
      <c r="B70" s="23" t="s">
        <v>905</v>
      </c>
      <c r="C70" s="23" t="s">
        <v>982</v>
      </c>
      <c r="D70" s="37" t="n">
        <v>294</v>
      </c>
      <c r="E70" s="33" t="n">
        <f aca="false">'Budget vs Actual'!$B$16</f>
        <v>294</v>
      </c>
      <c r="F70" s="38" t="n">
        <f aca="false">ROUND(E70-D70,6)</f>
        <v>0</v>
      </c>
      <c r="G70" s="67" t="n">
        <v>0</v>
      </c>
      <c r="H70" s="68" t="str">
        <f aca="false">IF(ABS(F70)&lt;=G70,"PASS","FAIL")</f>
        <v>PASS</v>
      </c>
    </row>
    <row r="71" customFormat="false" ht="15" hidden="false" customHeight="false" outlineLevel="0" collapsed="false">
      <c r="A71" s="23" t="s">
        <v>983</v>
      </c>
      <c r="B71" s="23" t="s">
        <v>905</v>
      </c>
      <c r="C71" s="23" t="s">
        <v>984</v>
      </c>
      <c r="D71" s="37" t="n">
        <v>2715839.9306</v>
      </c>
      <c r="E71" s="33" t="n">
        <f aca="false">'Budget vs Actual'!$C$28</f>
        <v>2715839.9306</v>
      </c>
      <c r="F71" s="47" t="n">
        <f aca="false">ROUND(E71-D71,6)</f>
        <v>0</v>
      </c>
      <c r="G71" s="67" t="n">
        <v>0.5</v>
      </c>
      <c r="H71" s="68" t="str">
        <f aca="false">IF(ABS(F71)&lt;=G71,"PASS","FAIL")</f>
        <v>PASS</v>
      </c>
    </row>
    <row r="72" customFormat="false" ht="15" hidden="false" customHeight="false" outlineLevel="0" collapsed="false">
      <c r="A72" s="23" t="s">
        <v>985</v>
      </c>
      <c r="B72" s="23" t="s">
        <v>905</v>
      </c>
      <c r="C72" s="23" t="s">
        <v>986</v>
      </c>
      <c r="D72" s="37" t="n">
        <v>2750949.9664</v>
      </c>
      <c r="E72" s="33" t="n">
        <f aca="false">'Budget vs Actual'!$D$28</f>
        <v>2750949.9664</v>
      </c>
      <c r="F72" s="47" t="n">
        <f aca="false">ROUND(E72-D72,6)</f>
        <v>-0</v>
      </c>
      <c r="G72" s="67" t="n">
        <v>0.5</v>
      </c>
      <c r="H72" s="68" t="str">
        <f aca="false">IF(ABS(F72)&lt;=G72,"PASS","FAIL")</f>
        <v>PASS</v>
      </c>
    </row>
    <row r="73" customFormat="false" ht="15" hidden="false" customHeight="false" outlineLevel="0" collapsed="false">
      <c r="A73" s="23" t="s">
        <v>987</v>
      </c>
      <c r="B73" s="23" t="s">
        <v>905</v>
      </c>
      <c r="C73" s="23" t="s">
        <v>988</v>
      </c>
      <c r="D73" s="37" t="n">
        <v>339</v>
      </c>
      <c r="E73" s="33" t="n">
        <f aca="false">'Budget vs Actual'!$B$28</f>
        <v>339</v>
      </c>
      <c r="F73" s="38" t="n">
        <f aca="false">ROUND(E73-D73,6)</f>
        <v>0</v>
      </c>
      <c r="G73" s="67" t="n">
        <v>0</v>
      </c>
      <c r="H73" s="68" t="str">
        <f aca="false">IF(ABS(F73)&lt;=G73,"PASS","FAIL")</f>
        <v>PASS</v>
      </c>
    </row>
    <row r="74" customFormat="false" ht="15" hidden="false" customHeight="false" outlineLevel="0" collapsed="false">
      <c r="A74" s="23" t="s">
        <v>989</v>
      </c>
      <c r="B74" s="23" t="s">
        <v>905</v>
      </c>
      <c r="C74" s="23" t="s">
        <v>990</v>
      </c>
      <c r="D74" s="37" t="n">
        <v>0</v>
      </c>
      <c r="E74" s="33" t="n">
        <f aca="false">'Budget vs Actual'!$F$34</f>
        <v>-7.45058059692383E-009</v>
      </c>
      <c r="F74" s="47" t="n">
        <f aca="false">ROUND(E74-D74,6)</f>
        <v>-0</v>
      </c>
      <c r="G74" s="67" t="n">
        <v>0.5</v>
      </c>
      <c r="H74" s="68" t="str">
        <f aca="false">IF(ABS(F74)&lt;=G74,"PASS","FAIL")</f>
        <v>PASS</v>
      </c>
    </row>
    <row r="75" customFormat="false" ht="15" hidden="false" customHeight="false" outlineLevel="0" collapsed="false">
      <c r="A75" s="23" t="s">
        <v>991</v>
      </c>
      <c r="B75" s="23" t="s">
        <v>905</v>
      </c>
      <c r="C75" s="23" t="s">
        <v>992</v>
      </c>
      <c r="D75" s="37" t="n">
        <v>0</v>
      </c>
      <c r="E75" s="33" t="n">
        <f aca="false">'Budget vs Actual'!$F$35</f>
        <v>-9.31322574615479E-010</v>
      </c>
      <c r="F75" s="47" t="n">
        <f aca="false">ROUND(E75-D75,6)</f>
        <v>-0</v>
      </c>
      <c r="G75" s="67" t="n">
        <v>0.5</v>
      </c>
      <c r="H75" s="68" t="str">
        <f aca="false">IF(ABS(F75)&lt;=G75,"PASS","FAIL")</f>
        <v>PASS</v>
      </c>
    </row>
    <row r="76" customFormat="false" ht="15" hidden="false" customHeight="false" outlineLevel="0" collapsed="false">
      <c r="A76" s="23" t="s">
        <v>993</v>
      </c>
      <c r="B76" s="23" t="s">
        <v>905</v>
      </c>
      <c r="C76" s="23" t="s">
        <v>994</v>
      </c>
      <c r="D76" s="37" t="n">
        <v>0</v>
      </c>
      <c r="E76" s="33" t="n">
        <f aca="false">'Budget vs Actual'!$F$36</f>
        <v>-4.90399543195963E-009</v>
      </c>
      <c r="F76" s="47" t="n">
        <f aca="false">ROUND(E76-D76,6)</f>
        <v>-0</v>
      </c>
      <c r="G76" s="67" t="n">
        <v>0.5</v>
      </c>
      <c r="H76" s="68" t="str">
        <f aca="false">IF(ABS(F76)&lt;=G76,"PASS","FAIL")</f>
        <v>PASS</v>
      </c>
    </row>
    <row r="77" customFormat="false" ht="15" hidden="false" customHeight="false" outlineLevel="0" collapsed="false">
      <c r="A77" s="23" t="s">
        <v>995</v>
      </c>
      <c r="B77" s="23" t="s">
        <v>905</v>
      </c>
      <c r="C77" s="23" t="s">
        <v>996</v>
      </c>
      <c r="D77" s="37" t="n">
        <v>0</v>
      </c>
      <c r="E77" s="33" t="n">
        <f aca="false">'Budget vs Actual'!$F$37</f>
        <v>9.54605638980866E-009</v>
      </c>
      <c r="F77" s="47" t="n">
        <f aca="false">ROUND(E77-D77,6)</f>
        <v>0</v>
      </c>
      <c r="G77" s="67" t="n">
        <v>0.5</v>
      </c>
      <c r="H77" s="68" t="str">
        <f aca="false">IF(ABS(F77)&lt;=G77,"PASS","FAIL")</f>
        <v>PASS</v>
      </c>
    </row>
    <row r="78" customFormat="false" ht="15" hidden="false" customHeight="false" outlineLevel="0" collapsed="false">
      <c r="A78" s="23" t="s">
        <v>997</v>
      </c>
      <c r="B78" s="23" t="s">
        <v>998</v>
      </c>
      <c r="C78" s="23" t="s">
        <v>999</v>
      </c>
      <c r="D78" s="37" t="n">
        <v>3483312.65270002</v>
      </c>
      <c r="E78" s="33" t="n">
        <f aca="false">'Forecast &amp; Prior Year'!$E$8</f>
        <v>3483312.65269834</v>
      </c>
      <c r="F78" s="47" t="n">
        <f aca="false">ROUND(E78-D78,6)</f>
        <v>-2E-006</v>
      </c>
      <c r="G78" s="67" t="n">
        <v>0.5</v>
      </c>
      <c r="H78" s="68" t="str">
        <f aca="false">IF(ABS(F78)&lt;=G78,"PASS","FAIL")</f>
        <v>PASS</v>
      </c>
    </row>
    <row r="79" customFormat="false" ht="15" hidden="false" customHeight="false" outlineLevel="0" collapsed="false">
      <c r="A79" s="23" t="s">
        <v>1000</v>
      </c>
      <c r="B79" s="23" t="s">
        <v>998</v>
      </c>
      <c r="C79" s="23" t="s">
        <v>1001</v>
      </c>
      <c r="D79" s="48" t="n">
        <v>0.026037590113326</v>
      </c>
      <c r="E79" s="69" t="n">
        <f aca="false">'Forecast &amp; Prior Year'!$I$8</f>
        <v>0.026037590113326</v>
      </c>
      <c r="F79" s="47" t="n">
        <f aca="false">ROUND(E79-D79,6)</f>
        <v>0</v>
      </c>
      <c r="G79" s="70" t="n">
        <v>1E-006</v>
      </c>
      <c r="H79" s="68" t="str">
        <f aca="false">IF(ABS(F79)&lt;=G79,"PASS","FAIL")</f>
        <v>PASS</v>
      </c>
    </row>
    <row r="80" customFormat="false" ht="15" hidden="false" customHeight="false" outlineLevel="0" collapsed="false">
      <c r="A80" s="23" t="s">
        <v>1002</v>
      </c>
      <c r="B80" s="23" t="s">
        <v>998</v>
      </c>
      <c r="C80" s="23" t="s">
        <v>1003</v>
      </c>
      <c r="D80" s="37" t="n">
        <v>27593</v>
      </c>
      <c r="E80" s="33" t="n">
        <f aca="false">'Forecast &amp; Prior Year'!$B$8</f>
        <v>27593</v>
      </c>
      <c r="F80" s="38" t="n">
        <f aca="false">ROUND(E80-D80,6)</f>
        <v>0</v>
      </c>
      <c r="G80" s="67" t="n">
        <v>0</v>
      </c>
      <c r="H80" s="68" t="str">
        <f aca="false">IF(ABS(F80)&lt;=G80,"PASS","FAIL")</f>
        <v>PASS</v>
      </c>
    </row>
    <row r="81" customFormat="false" ht="15" hidden="false" customHeight="false" outlineLevel="0" collapsed="false">
      <c r="A81" s="23" t="s">
        <v>1004</v>
      </c>
      <c r="B81" s="23" t="s">
        <v>998</v>
      </c>
      <c r="C81" s="23" t="s">
        <v>1005</v>
      </c>
      <c r="D81" s="37" t="n">
        <v>3556516.21000001</v>
      </c>
      <c r="E81" s="33" t="n">
        <f aca="false">'Forecast &amp; Prior Year'!$E$20</f>
        <v>3556516.2099981</v>
      </c>
      <c r="F81" s="47" t="n">
        <f aca="false">ROUND(E81-D81,6)</f>
        <v>-2E-006</v>
      </c>
      <c r="G81" s="67" t="n">
        <v>0.5</v>
      </c>
      <c r="H81" s="68" t="str">
        <f aca="false">IF(ABS(F81)&lt;=G81,"PASS","FAIL")</f>
        <v>PASS</v>
      </c>
    </row>
    <row r="82" customFormat="false" ht="15" hidden="false" customHeight="false" outlineLevel="0" collapsed="false">
      <c r="A82" s="23" t="s">
        <v>1006</v>
      </c>
      <c r="B82" s="23" t="s">
        <v>998</v>
      </c>
      <c r="C82" s="23" t="s">
        <v>1007</v>
      </c>
      <c r="D82" s="48" t="n">
        <v>0.265920195064456</v>
      </c>
      <c r="E82" s="69" t="n">
        <f aca="false">'Forecast &amp; Prior Year'!$I$20</f>
        <v>0.265920195064456</v>
      </c>
      <c r="F82" s="47" t="n">
        <f aca="false">ROUND(E82-D82,6)</f>
        <v>0</v>
      </c>
      <c r="G82" s="70" t="n">
        <v>1E-006</v>
      </c>
      <c r="H82" s="68" t="str">
        <f aca="false">IF(ABS(F82)&lt;=G82,"PASS","FAIL")</f>
        <v>PASS</v>
      </c>
    </row>
    <row r="83" customFormat="false" ht="15" hidden="false" customHeight="false" outlineLevel="0" collapsed="false">
      <c r="A83" s="23" t="s">
        <v>1008</v>
      </c>
      <c r="B83" s="23" t="s">
        <v>998</v>
      </c>
      <c r="C83" s="23" t="s">
        <v>1009</v>
      </c>
      <c r="D83" s="37" t="n">
        <v>30879</v>
      </c>
      <c r="E83" s="33" t="n">
        <f aca="false">'Forecast &amp; Prior Year'!$B$20</f>
        <v>30879</v>
      </c>
      <c r="F83" s="38" t="n">
        <f aca="false">ROUND(E83-D83,6)</f>
        <v>0</v>
      </c>
      <c r="G83" s="67" t="n">
        <v>0</v>
      </c>
      <c r="H83" s="68" t="str">
        <f aca="false">IF(ABS(F83)&lt;=G83,"PASS","FAIL")</f>
        <v>PASS</v>
      </c>
    </row>
    <row r="84" customFormat="false" ht="15" hidden="false" customHeight="false" outlineLevel="0" collapsed="false">
      <c r="A84" s="23" t="s">
        <v>1010</v>
      </c>
      <c r="B84" s="23" t="s">
        <v>998</v>
      </c>
      <c r="C84" s="23" t="s">
        <v>1011</v>
      </c>
      <c r="D84" s="37" t="n">
        <v>-2663835.23510001</v>
      </c>
      <c r="E84" s="33" t="n">
        <f aca="false">'Forecast &amp; Prior Year'!$E$9</f>
        <v>-2663835.23509963</v>
      </c>
      <c r="F84" s="47" t="n">
        <f aca="false">ROUND(E84-D84,6)</f>
        <v>0</v>
      </c>
      <c r="G84" s="67" t="n">
        <v>0.5</v>
      </c>
      <c r="H84" s="68" t="str">
        <f aca="false">IF(ABS(F84)&lt;=G84,"PASS","FAIL")</f>
        <v>PASS</v>
      </c>
    </row>
    <row r="85" customFormat="false" ht="15" hidden="false" customHeight="false" outlineLevel="0" collapsed="false">
      <c r="A85" s="23" t="s">
        <v>1012</v>
      </c>
      <c r="B85" s="23" t="s">
        <v>998</v>
      </c>
      <c r="C85" s="23" t="s">
        <v>1013</v>
      </c>
      <c r="D85" s="48" t="n">
        <v>0.0342625320434727</v>
      </c>
      <c r="E85" s="69" t="n">
        <f aca="false">'Forecast &amp; Prior Year'!$I$9</f>
        <v>0.0342625320434727</v>
      </c>
      <c r="F85" s="47" t="n">
        <f aca="false">ROUND(E85-D85,6)</f>
        <v>0</v>
      </c>
      <c r="G85" s="70" t="n">
        <v>1E-006</v>
      </c>
      <c r="H85" s="68" t="str">
        <f aca="false">IF(ABS(F85)&lt;=G85,"PASS","FAIL")</f>
        <v>PASS</v>
      </c>
    </row>
    <row r="86" customFormat="false" ht="15" hidden="false" customHeight="false" outlineLevel="0" collapsed="false">
      <c r="A86" s="23" t="s">
        <v>1014</v>
      </c>
      <c r="B86" s="23" t="s">
        <v>998</v>
      </c>
      <c r="C86" s="23" t="s">
        <v>1015</v>
      </c>
      <c r="D86" s="37" t="n">
        <v>10051</v>
      </c>
      <c r="E86" s="33" t="n">
        <f aca="false">'Forecast &amp; Prior Year'!$B$9</f>
        <v>10051</v>
      </c>
      <c r="F86" s="38" t="n">
        <f aca="false">ROUND(E86-D86,6)</f>
        <v>0</v>
      </c>
      <c r="G86" s="67" t="n">
        <v>0</v>
      </c>
      <c r="H86" s="68" t="str">
        <f aca="false">IF(ABS(F86)&lt;=G86,"PASS","FAIL")</f>
        <v>PASS</v>
      </c>
    </row>
    <row r="87" customFormat="false" ht="15" hidden="false" customHeight="false" outlineLevel="0" collapsed="false">
      <c r="A87" s="23" t="s">
        <v>1016</v>
      </c>
      <c r="B87" s="23" t="s">
        <v>998</v>
      </c>
      <c r="C87" s="23" t="s">
        <v>1017</v>
      </c>
      <c r="D87" s="37" t="n">
        <v>-2413633.44930001</v>
      </c>
      <c r="E87" s="33" t="n">
        <f aca="false">'Forecast &amp; Prior Year'!$E$21</f>
        <v>-2413633.44929944</v>
      </c>
      <c r="F87" s="47" t="n">
        <f aca="false">ROUND(E87-D87,6)</f>
        <v>1E-006</v>
      </c>
      <c r="G87" s="67" t="n">
        <v>0.5</v>
      </c>
      <c r="H87" s="68" t="str">
        <f aca="false">IF(ABS(F87)&lt;=G87,"PASS","FAIL")</f>
        <v>PASS</v>
      </c>
    </row>
    <row r="88" customFormat="false" ht="15" hidden="false" customHeight="false" outlineLevel="0" collapsed="false">
      <c r="A88" s="23" t="s">
        <v>1018</v>
      </c>
      <c r="B88" s="23" t="s">
        <v>998</v>
      </c>
      <c r="C88" s="23" t="s">
        <v>1019</v>
      </c>
      <c r="D88" s="48" t="n">
        <v>0.26995672203026</v>
      </c>
      <c r="E88" s="69" t="n">
        <f aca="false">'Forecast &amp; Prior Year'!$I$21</f>
        <v>0.26995672203026</v>
      </c>
      <c r="F88" s="47" t="n">
        <f aca="false">ROUND(E88-D88,6)</f>
        <v>0</v>
      </c>
      <c r="G88" s="70" t="n">
        <v>1E-006</v>
      </c>
      <c r="H88" s="68" t="str">
        <f aca="false">IF(ABS(F88)&lt;=G88,"PASS","FAIL")</f>
        <v>PASS</v>
      </c>
    </row>
    <row r="89" customFormat="false" ht="15" hidden="false" customHeight="false" outlineLevel="0" collapsed="false">
      <c r="A89" s="23" t="s">
        <v>1020</v>
      </c>
      <c r="B89" s="23" t="s">
        <v>998</v>
      </c>
      <c r="C89" s="23" t="s">
        <v>1021</v>
      </c>
      <c r="D89" s="37" t="n">
        <v>11443</v>
      </c>
      <c r="E89" s="33" t="n">
        <f aca="false">'Forecast &amp; Prior Year'!$B$21</f>
        <v>11443</v>
      </c>
      <c r="F89" s="38" t="n">
        <f aca="false">ROUND(E89-D89,6)</f>
        <v>0</v>
      </c>
      <c r="G89" s="67" t="n">
        <v>0</v>
      </c>
      <c r="H89" s="68" t="str">
        <f aca="false">IF(ABS(F89)&lt;=G89,"PASS","FAIL")</f>
        <v>PASS</v>
      </c>
    </row>
    <row r="90" customFormat="false" ht="15" hidden="false" customHeight="false" outlineLevel="0" collapsed="false">
      <c r="A90" s="23" t="s">
        <v>1022</v>
      </c>
      <c r="B90" s="23" t="s">
        <v>998</v>
      </c>
      <c r="C90" s="23" t="s">
        <v>1023</v>
      </c>
      <c r="D90" s="37" t="n">
        <v>-1134929.4258</v>
      </c>
      <c r="E90" s="33" t="n">
        <f aca="false">'Forecast &amp; Prior Year'!$E$10</f>
        <v>-1134929.42579993</v>
      </c>
      <c r="F90" s="47" t="n">
        <f aca="false">ROUND(E90-D90,6)</f>
        <v>0</v>
      </c>
      <c r="G90" s="67" t="n">
        <v>0.5</v>
      </c>
      <c r="H90" s="68" t="str">
        <f aca="false">IF(ABS(F90)&lt;=G90,"PASS","FAIL")</f>
        <v>PASS</v>
      </c>
    </row>
    <row r="91" customFormat="false" ht="15" hidden="false" customHeight="false" outlineLevel="0" collapsed="false">
      <c r="A91" s="23" t="s">
        <v>1024</v>
      </c>
      <c r="B91" s="23" t="s">
        <v>998</v>
      </c>
      <c r="C91" s="23" t="s">
        <v>1025</v>
      </c>
      <c r="D91" s="48" t="n">
        <v>0.0337190353437356</v>
      </c>
      <c r="E91" s="69" t="n">
        <f aca="false">'Forecast &amp; Prior Year'!$I$10</f>
        <v>0.0337190353437356</v>
      </c>
      <c r="F91" s="47" t="n">
        <f aca="false">ROUND(E91-D91,6)</f>
        <v>0</v>
      </c>
      <c r="G91" s="70" t="n">
        <v>1E-006</v>
      </c>
      <c r="H91" s="68" t="str">
        <f aca="false">IF(ABS(F91)&lt;=G91,"PASS","FAIL")</f>
        <v>PASS</v>
      </c>
    </row>
    <row r="92" customFormat="false" ht="15" hidden="false" customHeight="false" outlineLevel="0" collapsed="false">
      <c r="A92" s="23" t="s">
        <v>1026</v>
      </c>
      <c r="B92" s="23" t="s">
        <v>998</v>
      </c>
      <c r="C92" s="23" t="s">
        <v>1027</v>
      </c>
      <c r="D92" s="37" t="n">
        <v>2690</v>
      </c>
      <c r="E92" s="33" t="n">
        <f aca="false">'Forecast &amp; Prior Year'!$B$10</f>
        <v>2690</v>
      </c>
      <c r="F92" s="38" t="n">
        <f aca="false">ROUND(E92-D92,6)</f>
        <v>0</v>
      </c>
      <c r="G92" s="67" t="n">
        <v>0</v>
      </c>
      <c r="H92" s="68" t="str">
        <f aca="false">IF(ABS(F92)&lt;=G92,"PASS","FAIL")</f>
        <v>PASS</v>
      </c>
    </row>
    <row r="93" customFormat="false" ht="15" hidden="false" customHeight="false" outlineLevel="0" collapsed="false">
      <c r="A93" s="23" t="s">
        <v>1028</v>
      </c>
      <c r="B93" s="23" t="s">
        <v>998</v>
      </c>
      <c r="C93" s="23" t="s">
        <v>1029</v>
      </c>
      <c r="D93" s="37" t="n">
        <v>-621737.9732</v>
      </c>
      <c r="E93" s="33" t="n">
        <f aca="false">'Forecast &amp; Prior Year'!$E$22</f>
        <v>-621737.973199949</v>
      </c>
      <c r="F93" s="47" t="n">
        <f aca="false">ROUND(E93-D93,6)</f>
        <v>0</v>
      </c>
      <c r="G93" s="67" t="n">
        <v>0.5</v>
      </c>
      <c r="H93" s="68" t="str">
        <f aca="false">IF(ABS(F93)&lt;=G93,"PASS","FAIL")</f>
        <v>PASS</v>
      </c>
    </row>
    <row r="94" customFormat="false" ht="15" hidden="false" customHeight="false" outlineLevel="0" collapsed="false">
      <c r="A94" s="23" t="s">
        <v>1030</v>
      </c>
      <c r="B94" s="23" t="s">
        <v>998</v>
      </c>
      <c r="C94" s="23" t="s">
        <v>1031</v>
      </c>
      <c r="D94" s="48" t="n">
        <v>0.293281257458786</v>
      </c>
      <c r="E94" s="69" t="n">
        <f aca="false">'Forecast &amp; Prior Year'!$I$22</f>
        <v>0.293281257458786</v>
      </c>
      <c r="F94" s="47" t="n">
        <f aca="false">ROUND(E94-D94,6)</f>
        <v>0</v>
      </c>
      <c r="G94" s="70" t="n">
        <v>1E-006</v>
      </c>
      <c r="H94" s="68" t="str">
        <f aca="false">IF(ABS(F94)&lt;=G94,"PASS","FAIL")</f>
        <v>PASS</v>
      </c>
    </row>
    <row r="95" customFormat="false" ht="15" hidden="false" customHeight="false" outlineLevel="0" collapsed="false">
      <c r="A95" s="23" t="s">
        <v>1032</v>
      </c>
      <c r="B95" s="23" t="s">
        <v>998</v>
      </c>
      <c r="C95" s="23" t="s">
        <v>1033</v>
      </c>
      <c r="D95" s="37" t="n">
        <v>3102</v>
      </c>
      <c r="E95" s="33" t="n">
        <f aca="false">'Forecast &amp; Prior Year'!$B$22</f>
        <v>3102</v>
      </c>
      <c r="F95" s="38" t="n">
        <f aca="false">ROUND(E95-D95,6)</f>
        <v>0</v>
      </c>
      <c r="G95" s="67" t="n">
        <v>0</v>
      </c>
      <c r="H95" s="68" t="str">
        <f aca="false">IF(ABS(F95)&lt;=G95,"PASS","FAIL")</f>
        <v>PASS</v>
      </c>
    </row>
    <row r="96" customFormat="false" ht="15" hidden="false" customHeight="false" outlineLevel="0" collapsed="false">
      <c r="A96" s="23" t="s">
        <v>1034</v>
      </c>
      <c r="B96" s="23" t="s">
        <v>998</v>
      </c>
      <c r="C96" s="23" t="s">
        <v>1035</v>
      </c>
      <c r="D96" s="37" t="n">
        <v>-1266593.9645</v>
      </c>
      <c r="E96" s="33" t="n">
        <f aca="false">'Forecast &amp; Prior Year'!$E$11</f>
        <v>-1266593.96450017</v>
      </c>
      <c r="F96" s="47" t="n">
        <f aca="false">ROUND(E96-D96,6)</f>
        <v>-0</v>
      </c>
      <c r="G96" s="67" t="n">
        <v>0.5</v>
      </c>
      <c r="H96" s="68" t="str">
        <f aca="false">IF(ABS(F96)&lt;=G96,"PASS","FAIL")</f>
        <v>PASS</v>
      </c>
    </row>
    <row r="97" customFormat="false" ht="15" hidden="false" customHeight="false" outlineLevel="0" collapsed="false">
      <c r="A97" s="23" t="s">
        <v>1036</v>
      </c>
      <c r="B97" s="23" t="s">
        <v>998</v>
      </c>
      <c r="C97" s="23" t="s">
        <v>1037</v>
      </c>
      <c r="D97" s="48" t="n">
        <v>0.0341718658843619</v>
      </c>
      <c r="E97" s="69" t="n">
        <f aca="false">'Forecast &amp; Prior Year'!$I$11</f>
        <v>0.0341718658843619</v>
      </c>
      <c r="F97" s="47" t="n">
        <f aca="false">ROUND(E97-D97,6)</f>
        <v>0</v>
      </c>
      <c r="G97" s="70" t="n">
        <v>1E-006</v>
      </c>
      <c r="H97" s="68" t="str">
        <f aca="false">IF(ABS(F97)&lt;=G97,"PASS","FAIL")</f>
        <v>PASS</v>
      </c>
    </row>
    <row r="98" customFormat="false" ht="15" hidden="false" customHeight="false" outlineLevel="0" collapsed="false">
      <c r="A98" s="23" t="s">
        <v>1038</v>
      </c>
      <c r="B98" s="23" t="s">
        <v>998</v>
      </c>
      <c r="C98" s="23" t="s">
        <v>1039</v>
      </c>
      <c r="D98" s="37" t="n">
        <v>7048</v>
      </c>
      <c r="E98" s="33" t="n">
        <f aca="false">'Forecast &amp; Prior Year'!$B$11</f>
        <v>7048</v>
      </c>
      <c r="F98" s="38" t="n">
        <f aca="false">ROUND(E98-D98,6)</f>
        <v>0</v>
      </c>
      <c r="G98" s="67" t="n">
        <v>0</v>
      </c>
      <c r="H98" s="68" t="str">
        <f aca="false">IF(ABS(F98)&lt;=G98,"PASS","FAIL")</f>
        <v>PASS</v>
      </c>
    </row>
    <row r="99" customFormat="false" ht="15" hidden="false" customHeight="false" outlineLevel="0" collapsed="false">
      <c r="A99" s="23" t="s">
        <v>1040</v>
      </c>
      <c r="B99" s="23" t="s">
        <v>998</v>
      </c>
      <c r="C99" s="23" t="s">
        <v>1041</v>
      </c>
      <c r="D99" s="37" t="n">
        <v>-328049.773700002</v>
      </c>
      <c r="E99" s="33" t="n">
        <f aca="false">'Forecast &amp; Prior Year'!$E$23</f>
        <v>-328049.773700081</v>
      </c>
      <c r="F99" s="47" t="n">
        <f aca="false">ROUND(E99-D99,6)</f>
        <v>-0</v>
      </c>
      <c r="G99" s="67" t="n">
        <v>0.5</v>
      </c>
      <c r="H99" s="68" t="str">
        <f aca="false">IF(ABS(F99)&lt;=G99,"PASS","FAIL")</f>
        <v>PASS</v>
      </c>
    </row>
    <row r="100" customFormat="false" ht="15" hidden="false" customHeight="false" outlineLevel="0" collapsed="false">
      <c r="A100" s="23" t="s">
        <v>1042</v>
      </c>
      <c r="B100" s="23" t="s">
        <v>998</v>
      </c>
      <c r="C100" s="23" t="s">
        <v>1043</v>
      </c>
      <c r="D100" s="48" t="n">
        <v>0.278734727097305</v>
      </c>
      <c r="E100" s="69" t="n">
        <f aca="false">'Forecast &amp; Prior Year'!$I$23</f>
        <v>0.278734727097305</v>
      </c>
      <c r="F100" s="47" t="n">
        <f aca="false">ROUND(E100-D100,6)</f>
        <v>0</v>
      </c>
      <c r="G100" s="70" t="n">
        <v>1E-006</v>
      </c>
      <c r="H100" s="68" t="str">
        <f aca="false">IF(ABS(F100)&lt;=G100,"PASS","FAIL")</f>
        <v>PASS</v>
      </c>
    </row>
    <row r="101" customFormat="false" ht="15" hidden="false" customHeight="false" outlineLevel="0" collapsed="false">
      <c r="A101" s="23" t="s">
        <v>1044</v>
      </c>
      <c r="B101" s="23" t="s">
        <v>998</v>
      </c>
      <c r="C101" s="23" t="s">
        <v>1045</v>
      </c>
      <c r="D101" s="37" t="n">
        <v>8119</v>
      </c>
      <c r="E101" s="33" t="n">
        <f aca="false">'Forecast &amp; Prior Year'!$B$23</f>
        <v>8119</v>
      </c>
      <c r="F101" s="38" t="n">
        <f aca="false">ROUND(E101-D101,6)</f>
        <v>0</v>
      </c>
      <c r="G101" s="67" t="n">
        <v>0</v>
      </c>
      <c r="H101" s="68" t="str">
        <f aca="false">IF(ABS(F101)&lt;=G101,"PASS","FAIL")</f>
        <v>PASS</v>
      </c>
    </row>
    <row r="102" customFormat="false" ht="15" hidden="false" customHeight="false" outlineLevel="0" collapsed="false">
      <c r="A102" s="23" t="s">
        <v>1046</v>
      </c>
      <c r="B102" s="23" t="s">
        <v>998</v>
      </c>
      <c r="C102" s="23" t="s">
        <v>1047</v>
      </c>
      <c r="D102" s="37" t="n">
        <v>24372</v>
      </c>
      <c r="E102" s="33" t="n">
        <f aca="false">'Forecast &amp; Prior Year'!$B$32</f>
        <v>24372</v>
      </c>
      <c r="F102" s="38" t="n">
        <f aca="false">ROUND(E102-D102,6)</f>
        <v>0</v>
      </c>
      <c r="G102" s="67" t="n">
        <v>0</v>
      </c>
      <c r="H102" s="68" t="str">
        <f aca="false">IF(ABS(F102)&lt;=G102,"PASS","FAIL")</f>
        <v>PASS</v>
      </c>
    </row>
    <row r="103" customFormat="false" ht="15" hidden="false" customHeight="false" outlineLevel="0" collapsed="false">
      <c r="A103" s="23" t="s">
        <v>1048</v>
      </c>
      <c r="B103" s="23" t="s">
        <v>998</v>
      </c>
      <c r="C103" s="23" t="s">
        <v>1049</v>
      </c>
      <c r="D103" s="48" t="n">
        <v>0.02587992954217</v>
      </c>
      <c r="E103" s="69" t="n">
        <f aca="false">'Forecast &amp; Prior Year'!$C$32</f>
        <v>0.0258799295421703</v>
      </c>
      <c r="F103" s="47" t="n">
        <f aca="false">ROUND(E103-D103,6)</f>
        <v>0</v>
      </c>
      <c r="G103" s="70" t="n">
        <v>1E-006</v>
      </c>
      <c r="H103" s="68" t="str">
        <f aca="false">IF(ABS(F103)&lt;=G103,"PASS","FAIL")</f>
        <v>PASS</v>
      </c>
    </row>
    <row r="104" customFormat="false" ht="15" hidden="false" customHeight="false" outlineLevel="0" collapsed="false">
      <c r="A104" s="23" t="s">
        <v>1050</v>
      </c>
      <c r="B104" s="23" t="s">
        <v>998</v>
      </c>
      <c r="C104" s="23" t="s">
        <v>1051</v>
      </c>
      <c r="D104" s="48" t="n">
        <v>0.0366611698623283</v>
      </c>
      <c r="E104" s="69" t="n">
        <f aca="false">'Forecast &amp; Prior Year'!$D$32</f>
        <v>0.0366611698623287</v>
      </c>
      <c r="F104" s="47" t="n">
        <f aca="false">ROUND(E104-D104,6)</f>
        <v>0</v>
      </c>
      <c r="G104" s="70" t="n">
        <v>1E-006</v>
      </c>
      <c r="H104" s="68" t="str">
        <f aca="false">IF(ABS(F104)&lt;=G104,"PASS","FAIL")</f>
        <v>PASS</v>
      </c>
    </row>
    <row r="105" customFormat="false" ht="15" hidden="false" customHeight="false" outlineLevel="0" collapsed="false">
      <c r="A105" s="23" t="s">
        <v>1052</v>
      </c>
      <c r="B105" s="23" t="s">
        <v>998</v>
      </c>
      <c r="C105" s="23" t="s">
        <v>1053</v>
      </c>
      <c r="D105" s="37" t="n">
        <v>29131</v>
      </c>
      <c r="E105" s="33" t="n">
        <f aca="false">'Forecast &amp; Prior Year'!$B$49</f>
        <v>29131</v>
      </c>
      <c r="F105" s="38" t="n">
        <f aca="false">ROUND(E105-D105,6)</f>
        <v>0</v>
      </c>
      <c r="G105" s="67" t="n">
        <v>0</v>
      </c>
      <c r="H105" s="68" t="str">
        <f aca="false">IF(ABS(F105)&lt;=G105,"PASS","FAIL")</f>
        <v>PASS</v>
      </c>
    </row>
    <row r="106" customFormat="false" ht="15" hidden="false" customHeight="false" outlineLevel="0" collapsed="false">
      <c r="A106" s="23" t="s">
        <v>1054</v>
      </c>
      <c r="B106" s="23" t="s">
        <v>998</v>
      </c>
      <c r="C106" s="23" t="s">
        <v>1055</v>
      </c>
      <c r="D106" s="48" t="n">
        <v>0.268110999679075</v>
      </c>
      <c r="E106" s="69" t="n">
        <f aca="false">'Forecast &amp; Prior Year'!$C$49</f>
        <v>0.268110999679075</v>
      </c>
      <c r="F106" s="47" t="n">
        <f aca="false">ROUND(E106-D106,6)</f>
        <v>0</v>
      </c>
      <c r="G106" s="70" t="n">
        <v>1E-006</v>
      </c>
      <c r="H106" s="68" t="str">
        <f aca="false">IF(ABS(F106)&lt;=G106,"PASS","FAIL")</f>
        <v>PASS</v>
      </c>
    </row>
    <row r="107" customFormat="false" ht="15" hidden="false" customHeight="false" outlineLevel="0" collapsed="false">
      <c r="A107" s="23" t="s">
        <v>1056</v>
      </c>
      <c r="B107" s="23" t="s">
        <v>998</v>
      </c>
      <c r="C107" s="23" t="s">
        <v>1057</v>
      </c>
      <c r="D107" s="48" t="n">
        <v>0.292638184485183</v>
      </c>
      <c r="E107" s="69" t="n">
        <f aca="false">'Forecast &amp; Prior Year'!$D$49</f>
        <v>0.292638184485183</v>
      </c>
      <c r="F107" s="47" t="n">
        <f aca="false">ROUND(E107-D107,6)</f>
        <v>0</v>
      </c>
      <c r="G107" s="70" t="n">
        <v>1E-006</v>
      </c>
      <c r="H107" s="68" t="str">
        <f aca="false">IF(ABS(F107)&lt;=G107,"PASS","FAIL")</f>
        <v>PASS</v>
      </c>
    </row>
    <row r="108" customFormat="false" ht="15" hidden="false" customHeight="false" outlineLevel="0" collapsed="false">
      <c r="A108" s="23" t="s">
        <v>1058</v>
      </c>
      <c r="B108" s="23" t="s">
        <v>998</v>
      </c>
      <c r="C108" s="23" t="s">
        <v>1059</v>
      </c>
      <c r="D108" s="37" t="n">
        <v>8837</v>
      </c>
      <c r="E108" s="33" t="n">
        <f aca="false">'Forecast &amp; Prior Year'!$B$33</f>
        <v>8837</v>
      </c>
      <c r="F108" s="38" t="n">
        <f aca="false">ROUND(E108-D108,6)</f>
        <v>0</v>
      </c>
      <c r="G108" s="67" t="n">
        <v>0</v>
      </c>
      <c r="H108" s="68" t="str">
        <f aca="false">IF(ABS(F108)&lt;=G108,"PASS","FAIL")</f>
        <v>PASS</v>
      </c>
    </row>
    <row r="109" customFormat="false" ht="15" hidden="false" customHeight="false" outlineLevel="0" collapsed="false">
      <c r="A109" s="23" t="s">
        <v>1060</v>
      </c>
      <c r="B109" s="23" t="s">
        <v>998</v>
      </c>
      <c r="C109" s="23" t="s">
        <v>1061</v>
      </c>
      <c r="D109" s="48" t="n">
        <v>0.0343848016555233</v>
      </c>
      <c r="E109" s="69" t="n">
        <f aca="false">'Forecast &amp; Prior Year'!$C$33</f>
        <v>0.0343848016555231</v>
      </c>
      <c r="F109" s="47" t="n">
        <f aca="false">ROUND(E109-D109,6)</f>
        <v>-0</v>
      </c>
      <c r="G109" s="70" t="n">
        <v>1E-006</v>
      </c>
      <c r="H109" s="68" t="str">
        <f aca="false">IF(ABS(F109)&lt;=G109,"PASS","FAIL")</f>
        <v>PASS</v>
      </c>
    </row>
    <row r="110" customFormat="false" ht="15" hidden="false" customHeight="false" outlineLevel="0" collapsed="false">
      <c r="A110" s="23" t="s">
        <v>1062</v>
      </c>
      <c r="B110" s="23" t="s">
        <v>998</v>
      </c>
      <c r="C110" s="23" t="s">
        <v>1063</v>
      </c>
      <c r="D110" s="48" t="n">
        <v>0.0600059747885101</v>
      </c>
      <c r="E110" s="69" t="n">
        <f aca="false">'Forecast &amp; Prior Year'!$D$33</f>
        <v>0.0600059747885098</v>
      </c>
      <c r="F110" s="47" t="n">
        <f aca="false">ROUND(E110-D110,6)</f>
        <v>-0</v>
      </c>
      <c r="G110" s="70" t="n">
        <v>1E-006</v>
      </c>
      <c r="H110" s="68" t="str">
        <f aca="false">IF(ABS(F110)&lt;=G110,"PASS","FAIL")</f>
        <v>PASS</v>
      </c>
    </row>
    <row r="111" customFormat="false" ht="15" hidden="false" customHeight="false" outlineLevel="0" collapsed="false">
      <c r="A111" s="23" t="s">
        <v>1064</v>
      </c>
      <c r="B111" s="23" t="s">
        <v>998</v>
      </c>
      <c r="C111" s="23" t="s">
        <v>1065</v>
      </c>
      <c r="D111" s="37" t="n">
        <v>10799</v>
      </c>
      <c r="E111" s="33" t="n">
        <f aca="false">'Forecast &amp; Prior Year'!$B$50</f>
        <v>10799</v>
      </c>
      <c r="F111" s="38" t="n">
        <f aca="false">ROUND(E111-D111,6)</f>
        <v>0</v>
      </c>
      <c r="G111" s="67" t="n">
        <v>0</v>
      </c>
      <c r="H111" s="68" t="str">
        <f aca="false">IF(ABS(F111)&lt;=G111,"PASS","FAIL")</f>
        <v>PASS</v>
      </c>
    </row>
    <row r="112" customFormat="false" ht="15" hidden="false" customHeight="false" outlineLevel="0" collapsed="false">
      <c r="A112" s="23" t="s">
        <v>1066</v>
      </c>
      <c r="B112" s="23" t="s">
        <v>998</v>
      </c>
      <c r="C112" s="23" t="s">
        <v>1067</v>
      </c>
      <c r="D112" s="48" t="n">
        <v>0.269532640717708</v>
      </c>
      <c r="E112" s="69" t="n">
        <f aca="false">'Forecast &amp; Prior Year'!$C$50</f>
        <v>0.269532640717708</v>
      </c>
      <c r="F112" s="47" t="n">
        <f aca="false">ROUND(E112-D112,6)</f>
        <v>0</v>
      </c>
      <c r="G112" s="70" t="n">
        <v>1E-006</v>
      </c>
      <c r="H112" s="68" t="str">
        <f aca="false">IF(ABS(F112)&lt;=G112,"PASS","FAIL")</f>
        <v>PASS</v>
      </c>
    </row>
    <row r="113" customFormat="false" ht="15" hidden="false" customHeight="false" outlineLevel="0" collapsed="false">
      <c r="A113" s="23" t="s">
        <v>1068</v>
      </c>
      <c r="B113" s="23" t="s">
        <v>998</v>
      </c>
      <c r="C113" s="23" t="s">
        <v>1069</v>
      </c>
      <c r="D113" s="48" t="n">
        <v>0.291711412888676</v>
      </c>
      <c r="E113" s="69" t="n">
        <f aca="false">'Forecast &amp; Prior Year'!$D$50</f>
        <v>0.291711412888676</v>
      </c>
      <c r="F113" s="47" t="n">
        <f aca="false">ROUND(E113-D113,6)</f>
        <v>0</v>
      </c>
      <c r="G113" s="70" t="n">
        <v>1E-006</v>
      </c>
      <c r="H113" s="68" t="str">
        <f aca="false">IF(ABS(F113)&lt;=G113,"PASS","FAIL")</f>
        <v>PASS</v>
      </c>
    </row>
    <row r="114" customFormat="false" ht="15" hidden="false" customHeight="false" outlineLevel="0" collapsed="false">
      <c r="A114" s="23" t="s">
        <v>1070</v>
      </c>
      <c r="B114" s="23" t="s">
        <v>998</v>
      </c>
      <c r="C114" s="23" t="s">
        <v>1071</v>
      </c>
      <c r="D114" s="37" t="n">
        <v>2370</v>
      </c>
      <c r="E114" s="33" t="n">
        <f aca="false">'Forecast &amp; Prior Year'!$B$34</f>
        <v>2370</v>
      </c>
      <c r="F114" s="38" t="n">
        <f aca="false">ROUND(E114-D114,6)</f>
        <v>0</v>
      </c>
      <c r="G114" s="67" t="n">
        <v>0</v>
      </c>
      <c r="H114" s="68" t="str">
        <f aca="false">IF(ABS(F114)&lt;=G114,"PASS","FAIL")</f>
        <v>PASS</v>
      </c>
    </row>
    <row r="115" customFormat="false" ht="15" hidden="false" customHeight="false" outlineLevel="0" collapsed="false">
      <c r="A115" s="23" t="s">
        <v>1072</v>
      </c>
      <c r="B115" s="23" t="s">
        <v>998</v>
      </c>
      <c r="C115" s="23" t="s">
        <v>1073</v>
      </c>
      <c r="D115" s="48" t="n">
        <v>0.0334869759821911</v>
      </c>
      <c r="E115" s="69" t="n">
        <f aca="false">'Forecast &amp; Prior Year'!$C$34</f>
        <v>0.0334869759821912</v>
      </c>
      <c r="F115" s="47" t="n">
        <f aca="false">ROUND(E115-D115,6)</f>
        <v>0</v>
      </c>
      <c r="G115" s="70" t="n">
        <v>1E-006</v>
      </c>
      <c r="H115" s="68" t="str">
        <f aca="false">IF(ABS(F115)&lt;=G115,"PASS","FAIL")</f>
        <v>PASS</v>
      </c>
    </row>
    <row r="116" customFormat="false" ht="15" hidden="false" customHeight="false" outlineLevel="0" collapsed="false">
      <c r="A116" s="23" t="s">
        <v>1074</v>
      </c>
      <c r="B116" s="23" t="s">
        <v>998</v>
      </c>
      <c r="C116" s="23" t="s">
        <v>1075</v>
      </c>
      <c r="D116" s="48" t="n">
        <v>0.0612065089098243</v>
      </c>
      <c r="E116" s="69" t="n">
        <f aca="false">'Forecast &amp; Prior Year'!$D$34</f>
        <v>0.0612065089098244</v>
      </c>
      <c r="F116" s="47" t="n">
        <f aca="false">ROUND(E116-D116,6)</f>
        <v>0</v>
      </c>
      <c r="G116" s="70" t="n">
        <v>1E-006</v>
      </c>
      <c r="H116" s="68" t="str">
        <f aca="false">IF(ABS(F116)&lt;=G116,"PASS","FAIL")</f>
        <v>PASS</v>
      </c>
    </row>
    <row r="117" customFormat="false" ht="15" hidden="false" customHeight="false" outlineLevel="0" collapsed="false">
      <c r="A117" s="23" t="s">
        <v>1076</v>
      </c>
      <c r="B117" s="23" t="s">
        <v>998</v>
      </c>
      <c r="C117" s="23" t="s">
        <v>1077</v>
      </c>
      <c r="D117" s="37" t="n">
        <v>2927</v>
      </c>
      <c r="E117" s="33" t="n">
        <f aca="false">'Forecast &amp; Prior Year'!$B$51</f>
        <v>2927</v>
      </c>
      <c r="F117" s="38" t="n">
        <f aca="false">ROUND(E117-D117,6)</f>
        <v>0</v>
      </c>
      <c r="G117" s="67" t="n">
        <v>0</v>
      </c>
      <c r="H117" s="68" t="str">
        <f aca="false">IF(ABS(F117)&lt;=G117,"PASS","FAIL")</f>
        <v>PASS</v>
      </c>
    </row>
    <row r="118" customFormat="false" ht="15" hidden="false" customHeight="false" outlineLevel="0" collapsed="false">
      <c r="A118" s="23" t="s">
        <v>1078</v>
      </c>
      <c r="B118" s="23" t="s">
        <v>998</v>
      </c>
      <c r="C118" s="23" t="s">
        <v>1079</v>
      </c>
      <c r="D118" s="48" t="n">
        <v>0.298723981458437</v>
      </c>
      <c r="E118" s="69" t="n">
        <f aca="false">'Forecast &amp; Prior Year'!$C$51</f>
        <v>0.298723981458437</v>
      </c>
      <c r="F118" s="47" t="n">
        <f aca="false">ROUND(E118-D118,6)</f>
        <v>0</v>
      </c>
      <c r="G118" s="70" t="n">
        <v>1E-006</v>
      </c>
      <c r="H118" s="68" t="str">
        <f aca="false">IF(ABS(F118)&lt;=G118,"PASS","FAIL")</f>
        <v>PASS</v>
      </c>
    </row>
    <row r="119" customFormat="false" ht="15" hidden="false" customHeight="false" outlineLevel="0" collapsed="false">
      <c r="A119" s="23" t="s">
        <v>1080</v>
      </c>
      <c r="B119" s="23" t="s">
        <v>998</v>
      </c>
      <c r="C119" s="23" t="s">
        <v>1081</v>
      </c>
      <c r="D119" s="48" t="n">
        <v>0.290493776421502</v>
      </c>
      <c r="E119" s="69" t="n">
        <f aca="false">'Forecast &amp; Prior Year'!$D$51</f>
        <v>0.290493776421502</v>
      </c>
      <c r="F119" s="47" t="n">
        <f aca="false">ROUND(E119-D119,6)</f>
        <v>0</v>
      </c>
      <c r="G119" s="70" t="n">
        <v>1E-006</v>
      </c>
      <c r="H119" s="68" t="str">
        <f aca="false">IF(ABS(F119)&lt;=G119,"PASS","FAIL")</f>
        <v>PASS</v>
      </c>
    </row>
    <row r="120" customFormat="false" ht="15" hidden="false" customHeight="false" outlineLevel="0" collapsed="false">
      <c r="A120" s="23" t="s">
        <v>1082</v>
      </c>
      <c r="B120" s="23" t="s">
        <v>998</v>
      </c>
      <c r="C120" s="23" t="s">
        <v>1083</v>
      </c>
      <c r="D120" s="37" t="n">
        <v>6186</v>
      </c>
      <c r="E120" s="33" t="n">
        <f aca="false">'Forecast &amp; Prior Year'!$B$35</f>
        <v>6186</v>
      </c>
      <c r="F120" s="38" t="n">
        <f aca="false">ROUND(E120-D120,6)</f>
        <v>0</v>
      </c>
      <c r="G120" s="67" t="n">
        <v>0</v>
      </c>
      <c r="H120" s="68" t="str">
        <f aca="false">IF(ABS(F120)&lt;=G120,"PASS","FAIL")</f>
        <v>PASS</v>
      </c>
    </row>
    <row r="121" customFormat="false" ht="15" hidden="false" customHeight="false" outlineLevel="0" collapsed="false">
      <c r="A121" s="23" t="s">
        <v>1084</v>
      </c>
      <c r="B121" s="23" t="s">
        <v>998</v>
      </c>
      <c r="C121" s="23" t="s">
        <v>1085</v>
      </c>
      <c r="D121" s="48" t="n">
        <v>0.0345078930798945</v>
      </c>
      <c r="E121" s="69" t="n">
        <f aca="false">'Forecast &amp; Prior Year'!$C$35</f>
        <v>0.0345078930798946</v>
      </c>
      <c r="F121" s="47" t="n">
        <f aca="false">ROUND(E121-D121,6)</f>
        <v>0</v>
      </c>
      <c r="G121" s="70" t="n">
        <v>1E-006</v>
      </c>
      <c r="H121" s="68" t="str">
        <f aca="false">IF(ABS(F121)&lt;=G121,"PASS","FAIL")</f>
        <v>PASS</v>
      </c>
    </row>
    <row r="122" customFormat="false" ht="15" hidden="false" customHeight="false" outlineLevel="0" collapsed="false">
      <c r="A122" s="23" t="s">
        <v>1086</v>
      </c>
      <c r="B122" s="23" t="s">
        <v>998</v>
      </c>
      <c r="C122" s="23" t="s">
        <v>1087</v>
      </c>
      <c r="D122" s="48" t="n">
        <v>0.060635220737764</v>
      </c>
      <c r="E122" s="69" t="n">
        <f aca="false">'Forecast &amp; Prior Year'!$D$35</f>
        <v>0.0606352207377643</v>
      </c>
      <c r="F122" s="47" t="n">
        <f aca="false">ROUND(E122-D122,6)</f>
        <v>0</v>
      </c>
      <c r="G122" s="70" t="n">
        <v>1E-006</v>
      </c>
      <c r="H122" s="68" t="str">
        <f aca="false">IF(ABS(F122)&lt;=G122,"PASS","FAIL")</f>
        <v>PASS</v>
      </c>
    </row>
    <row r="123" customFormat="false" ht="15" hidden="false" customHeight="false" outlineLevel="0" collapsed="false">
      <c r="A123" s="23" t="s">
        <v>1088</v>
      </c>
      <c r="B123" s="23" t="s">
        <v>998</v>
      </c>
      <c r="C123" s="23" t="s">
        <v>1089</v>
      </c>
      <c r="D123" s="37" t="n">
        <v>7647</v>
      </c>
      <c r="E123" s="33" t="n">
        <f aca="false">'Forecast &amp; Prior Year'!$B$52</f>
        <v>7647</v>
      </c>
      <c r="F123" s="38" t="n">
        <f aca="false">ROUND(E123-D123,6)</f>
        <v>0</v>
      </c>
      <c r="G123" s="67" t="n">
        <v>0</v>
      </c>
      <c r="H123" s="68" t="str">
        <f aca="false">IF(ABS(F123)&lt;=G123,"PASS","FAIL")</f>
        <v>PASS</v>
      </c>
    </row>
    <row r="124" customFormat="false" ht="15" hidden="false" customHeight="false" outlineLevel="0" collapsed="false">
      <c r="A124" s="23" t="s">
        <v>1090</v>
      </c>
      <c r="B124" s="23" t="s">
        <v>998</v>
      </c>
      <c r="C124" s="23" t="s">
        <v>1091</v>
      </c>
      <c r="D124" s="48" t="n">
        <v>0.279822918668222</v>
      </c>
      <c r="E124" s="69" t="n">
        <f aca="false">'Forecast &amp; Prior Year'!$C$52</f>
        <v>0.279822918668222</v>
      </c>
      <c r="F124" s="47" t="n">
        <f aca="false">ROUND(E124-D124,6)</f>
        <v>0</v>
      </c>
      <c r="G124" s="70" t="n">
        <v>1E-006</v>
      </c>
      <c r="H124" s="68" t="str">
        <f aca="false">IF(ABS(F124)&lt;=G124,"PASS","FAIL")</f>
        <v>PASS</v>
      </c>
    </row>
    <row r="125" customFormat="false" ht="15" hidden="false" customHeight="false" outlineLevel="0" collapsed="false">
      <c r="A125" s="23" t="s">
        <v>1092</v>
      </c>
      <c r="B125" s="23" t="s">
        <v>998</v>
      </c>
      <c r="C125" s="23" t="s">
        <v>1093</v>
      </c>
      <c r="D125" s="48" t="n">
        <v>0.302212152094185</v>
      </c>
      <c r="E125" s="69" t="n">
        <f aca="false">'Forecast &amp; Prior Year'!$D$52</f>
        <v>0.302212152094185</v>
      </c>
      <c r="F125" s="47" t="n">
        <f aca="false">ROUND(E125-D125,6)</f>
        <v>0</v>
      </c>
      <c r="G125" s="70" t="n">
        <v>1E-006</v>
      </c>
      <c r="H125" s="68" t="str">
        <f aca="false">IF(ABS(F125)&lt;=G125,"PASS","FAIL")</f>
        <v>PASS</v>
      </c>
    </row>
    <row r="126" customFormat="false" ht="15" hidden="false" customHeight="false" outlineLevel="0" collapsed="false">
      <c r="A126" s="23" t="s">
        <v>1094</v>
      </c>
      <c r="B126" s="23" t="s">
        <v>1095</v>
      </c>
      <c r="C126" s="23" t="s">
        <v>1096</v>
      </c>
      <c r="D126" s="37" t="n">
        <v>109840984.250002</v>
      </c>
      <c r="E126" s="33" t="n">
        <f aca="false">'Gross Profit'!$G$11</f>
        <v>109840984.25</v>
      </c>
      <c r="F126" s="47" t="n">
        <f aca="false">ROUND(E126-D126,6)</f>
        <v>-2E-006</v>
      </c>
      <c r="G126" s="67" t="n">
        <v>0.5</v>
      </c>
      <c r="H126" s="68" t="str">
        <f aca="false">IF(ABS(F126)&lt;=G126,"PASS","FAIL")</f>
        <v>PASS</v>
      </c>
    </row>
    <row r="127" customFormat="false" ht="15" hidden="false" customHeight="false" outlineLevel="0" collapsed="false">
      <c r="A127" s="23" t="s">
        <v>1097</v>
      </c>
      <c r="B127" s="23" t="s">
        <v>1095</v>
      </c>
      <c r="C127" s="23" t="s">
        <v>1098</v>
      </c>
      <c r="D127" s="48" t="n">
        <v>0.542025783909385</v>
      </c>
      <c r="E127" s="69" t="n">
        <f aca="false">'Gross Profit'!$H$11</f>
        <v>0.54202578390938</v>
      </c>
      <c r="F127" s="47" t="n">
        <f aca="false">ROUND(E127-D127,6)</f>
        <v>-0</v>
      </c>
      <c r="G127" s="70" t="n">
        <v>1E-006</v>
      </c>
      <c r="H127" s="68" t="str">
        <f aca="false">IF(ABS(F127)&lt;=G127,"PASS","FAIL")</f>
        <v>PASS</v>
      </c>
    </row>
    <row r="128" customFormat="false" ht="15" hidden="false" customHeight="false" outlineLevel="0" collapsed="false">
      <c r="A128" s="23" t="s">
        <v>1099</v>
      </c>
      <c r="B128" s="23" t="s">
        <v>1095</v>
      </c>
      <c r="C128" s="23" t="s">
        <v>1100</v>
      </c>
      <c r="D128" s="37" t="n">
        <v>96992614.5260011</v>
      </c>
      <c r="E128" s="33" t="n">
        <f aca="false">'Gross Profit'!$G$15</f>
        <v>96992614.5259995</v>
      </c>
      <c r="F128" s="47" t="n">
        <f aca="false">ROUND(E128-D128,6)</f>
        <v>-2E-006</v>
      </c>
      <c r="G128" s="67" t="n">
        <v>0.5</v>
      </c>
      <c r="H128" s="68" t="str">
        <f aca="false">IF(ABS(F128)&lt;=G128,"PASS","FAIL")</f>
        <v>PASS</v>
      </c>
    </row>
    <row r="129" customFormat="false" ht="15" hidden="false" customHeight="false" outlineLevel="0" collapsed="false">
      <c r="A129" s="23" t="s">
        <v>1101</v>
      </c>
      <c r="B129" s="23" t="s">
        <v>1095</v>
      </c>
      <c r="C129" s="23" t="s">
        <v>1102</v>
      </c>
      <c r="D129" s="48" t="n">
        <v>0.511023663541754</v>
      </c>
      <c r="E129" s="69" t="n">
        <f aca="false">'Gross Profit'!$H$15</f>
        <v>0.511023663541749</v>
      </c>
      <c r="F129" s="47" t="n">
        <f aca="false">ROUND(E129-D129,6)</f>
        <v>-0</v>
      </c>
      <c r="G129" s="70" t="n">
        <v>1E-006</v>
      </c>
      <c r="H129" s="68" t="str">
        <f aca="false">IF(ABS(F129)&lt;=G129,"PASS","FAIL")</f>
        <v>PASS</v>
      </c>
    </row>
    <row r="130" customFormat="false" ht="15" hidden="false" customHeight="false" outlineLevel="0" collapsed="false">
      <c r="A130" s="23" t="s">
        <v>1103</v>
      </c>
      <c r="B130" s="23" t="s">
        <v>1095</v>
      </c>
      <c r="C130" s="23" t="s">
        <v>1104</v>
      </c>
      <c r="D130" s="37" t="n">
        <v>112374467.165402</v>
      </c>
      <c r="E130" s="33" t="n">
        <f aca="false">'Gross Profit'!$G$19</f>
        <v>112374467.1654</v>
      </c>
      <c r="F130" s="47" t="n">
        <f aca="false">ROUND(E130-D130,6)</f>
        <v>-2E-006</v>
      </c>
      <c r="G130" s="67" t="n">
        <v>0.5</v>
      </c>
      <c r="H130" s="68" t="str">
        <f aca="false">IF(ABS(F130)&lt;=G130,"PASS","FAIL")</f>
        <v>PASS</v>
      </c>
    </row>
    <row r="131" customFormat="false" ht="15" hidden="false" customHeight="false" outlineLevel="0" collapsed="false">
      <c r="A131" s="23" t="s">
        <v>1105</v>
      </c>
      <c r="B131" s="23" t="s">
        <v>1095</v>
      </c>
      <c r="C131" s="23" t="s">
        <v>1106</v>
      </c>
      <c r="D131" s="48" t="n">
        <v>0.547680603090355</v>
      </c>
      <c r="E131" s="69" t="n">
        <f aca="false">'Gross Profit'!$H$19</f>
        <v>0.54768060309035</v>
      </c>
      <c r="F131" s="47" t="n">
        <f aca="false">ROUND(E131-D131,6)</f>
        <v>-0</v>
      </c>
      <c r="G131" s="70" t="n">
        <v>1E-006</v>
      </c>
      <c r="H131" s="68" t="str">
        <f aca="false">IF(ABS(F131)&lt;=G131,"PASS","FAIL")</f>
        <v>PASS</v>
      </c>
    </row>
    <row r="132" customFormat="false" ht="15" hidden="false" customHeight="false" outlineLevel="0" collapsed="false">
      <c r="A132" s="23" t="s">
        <v>1107</v>
      </c>
      <c r="B132" s="23" t="s">
        <v>1095</v>
      </c>
      <c r="C132" s="23" t="s">
        <v>1108</v>
      </c>
      <c r="D132" s="37" t="n">
        <v>87586666.814701</v>
      </c>
      <c r="E132" s="33" t="n">
        <f aca="false">'Gross Profit'!$G$23</f>
        <v>87586666.8146998</v>
      </c>
      <c r="F132" s="47" t="n">
        <f aca="false">ROUND(E132-D132,6)</f>
        <v>-1E-006</v>
      </c>
      <c r="G132" s="67" t="n">
        <v>0.5</v>
      </c>
      <c r="H132" s="68" t="str">
        <f aca="false">IF(ABS(F132)&lt;=G132,"PASS","FAIL")</f>
        <v>PASS</v>
      </c>
    </row>
    <row r="133" customFormat="false" ht="15" hidden="false" customHeight="false" outlineLevel="0" collapsed="false">
      <c r="A133" s="23" t="s">
        <v>1109</v>
      </c>
      <c r="B133" s="23" t="s">
        <v>1095</v>
      </c>
      <c r="C133" s="23" t="s">
        <v>1110</v>
      </c>
      <c r="D133" s="48" t="n">
        <v>0.509509060711528</v>
      </c>
      <c r="E133" s="69" t="n">
        <f aca="false">'Gross Profit'!$H$23</f>
        <v>0.509509060711524</v>
      </c>
      <c r="F133" s="47" t="n">
        <f aca="false">ROUND(E133-D133,6)</f>
        <v>-0</v>
      </c>
      <c r="G133" s="70" t="n">
        <v>1E-006</v>
      </c>
      <c r="H133" s="68" t="str">
        <f aca="false">IF(ABS(F133)&lt;=G133,"PASS","FAIL")</f>
        <v>PASS</v>
      </c>
    </row>
    <row r="134" customFormat="false" ht="15" hidden="false" customHeight="false" outlineLevel="0" collapsed="false">
      <c r="A134" s="23" t="s">
        <v>1111</v>
      </c>
      <c r="B134" s="23" t="s">
        <v>1095</v>
      </c>
      <c r="C134" s="23" t="s">
        <v>1112</v>
      </c>
      <c r="D134" s="37" t="n">
        <v>78001531.3881008</v>
      </c>
      <c r="E134" s="33" t="n">
        <f aca="false">'Gross Profit'!$G$27</f>
        <v>78001531.3880996</v>
      </c>
      <c r="F134" s="47" t="n">
        <f aca="false">ROUND(E134-D134,6)</f>
        <v>-1E-006</v>
      </c>
      <c r="G134" s="67" t="n">
        <v>0.5</v>
      </c>
      <c r="H134" s="68" t="str">
        <f aca="false">IF(ABS(F134)&lt;=G134,"PASS","FAIL")</f>
        <v>PASS</v>
      </c>
    </row>
    <row r="135" customFormat="false" ht="15" hidden="false" customHeight="false" outlineLevel="0" collapsed="false">
      <c r="A135" s="23" t="s">
        <v>1113</v>
      </c>
      <c r="B135" s="23" t="s">
        <v>1095</v>
      </c>
      <c r="C135" s="23" t="s">
        <v>1114</v>
      </c>
      <c r="D135" s="48" t="n">
        <v>0.480544954269543</v>
      </c>
      <c r="E135" s="69" t="n">
        <f aca="false">'Gross Profit'!$H$27</f>
        <v>0.480544954269538</v>
      </c>
      <c r="F135" s="47" t="n">
        <f aca="false">ROUND(E135-D135,6)</f>
        <v>-0</v>
      </c>
      <c r="G135" s="70" t="n">
        <v>1E-006</v>
      </c>
      <c r="H135" s="68" t="str">
        <f aca="false">IF(ABS(F135)&lt;=G135,"PASS","FAIL")</f>
        <v>PASS</v>
      </c>
    </row>
    <row r="136" customFormat="false" ht="15" hidden="false" customHeight="false" outlineLevel="0" collapsed="false">
      <c r="A136" s="23" t="s">
        <v>1115</v>
      </c>
      <c r="B136" s="23" t="s">
        <v>1095</v>
      </c>
      <c r="C136" s="23" t="s">
        <v>1116</v>
      </c>
      <c r="D136" s="37" t="n">
        <v>82794099.1014008</v>
      </c>
      <c r="E136" s="33" t="n">
        <f aca="false">'Gross Profit'!$G$31</f>
        <v>82794099.1013998</v>
      </c>
      <c r="F136" s="47" t="n">
        <f aca="false">ROUND(E136-D136,6)</f>
        <v>-1E-006</v>
      </c>
      <c r="G136" s="67" t="n">
        <v>0.5</v>
      </c>
      <c r="H136" s="68" t="str">
        <f aca="false">IF(ABS(F136)&lt;=G136,"PASS","FAIL")</f>
        <v>PASS</v>
      </c>
    </row>
    <row r="137" customFormat="false" ht="15" hidden="false" customHeight="false" outlineLevel="0" collapsed="false">
      <c r="A137" s="23" t="s">
        <v>1117</v>
      </c>
      <c r="B137" s="23" t="s">
        <v>1095</v>
      </c>
      <c r="C137" s="23" t="s">
        <v>1118</v>
      </c>
      <c r="D137" s="48" t="n">
        <v>0.495442336366746</v>
      </c>
      <c r="E137" s="69" t="n">
        <f aca="false">'Gross Profit'!$H$31</f>
        <v>0.495442336366742</v>
      </c>
      <c r="F137" s="47" t="n">
        <f aca="false">ROUND(E137-D137,6)</f>
        <v>-0</v>
      </c>
      <c r="G137" s="70" t="n">
        <v>1E-006</v>
      </c>
      <c r="H137" s="68" t="str">
        <f aca="false">IF(ABS(F137)&lt;=G137,"PASS","FAIL")</f>
        <v>PASS</v>
      </c>
    </row>
    <row r="138" customFormat="false" ht="15" hidden="false" customHeight="false" outlineLevel="0" collapsed="false">
      <c r="A138" s="23" t="s">
        <v>1119</v>
      </c>
      <c r="B138" s="23" t="s">
        <v>882</v>
      </c>
      <c r="C138" s="23" t="s">
        <v>1120</v>
      </c>
      <c r="D138" s="37" t="n">
        <v>109840984.25</v>
      </c>
      <c r="E138" s="33" t="n">
        <f aca="false">'Gross Profit'!$G$11</f>
        <v>109840984.25</v>
      </c>
      <c r="F138" s="47" t="n">
        <f aca="false">ROUND(E138-D138,6)</f>
        <v>-0</v>
      </c>
      <c r="G138" s="67" t="n">
        <v>0.5</v>
      </c>
      <c r="H138" s="68" t="str">
        <f aca="false">IF(ABS(F138)&lt;=G138,"PASS","FAIL")</f>
        <v>PASS</v>
      </c>
    </row>
    <row r="139" customFormat="false" ht="15" hidden="false" customHeight="false" outlineLevel="0" collapsed="false">
      <c r="A139" s="23" t="s">
        <v>1121</v>
      </c>
      <c r="B139" s="23" t="s">
        <v>1095</v>
      </c>
      <c r="C139" s="23" t="s">
        <v>1122</v>
      </c>
      <c r="D139" s="37" t="n">
        <v>0</v>
      </c>
      <c r="E139" s="33" t="n">
        <f aca="false">'Gross Profit'!$K$54</f>
        <v>0</v>
      </c>
      <c r="F139" s="47" t="n">
        <f aca="false">ROUND(E139-D139,6)</f>
        <v>0</v>
      </c>
      <c r="G139" s="67" t="n">
        <v>0.5</v>
      </c>
      <c r="H139" s="68" t="str">
        <f aca="false">IF(ABS(F139)&lt;=G139,"PASS","FAIL")</f>
        <v>PASS</v>
      </c>
    </row>
    <row r="140" customFormat="false" ht="15" hidden="false" customHeight="false" outlineLevel="0" collapsed="false">
      <c r="A140" s="23" t="s">
        <v>1123</v>
      </c>
      <c r="B140" s="23" t="s">
        <v>1095</v>
      </c>
      <c r="C140" s="23" t="s">
        <v>1124</v>
      </c>
      <c r="D140" s="37" t="n">
        <v>0</v>
      </c>
      <c r="E140" s="33" t="n">
        <f aca="false">'Gross Profit'!$K$55</f>
        <v>0</v>
      </c>
      <c r="F140" s="47" t="n">
        <f aca="false">ROUND(E140-D140,6)</f>
        <v>0</v>
      </c>
      <c r="G140" s="67" t="n">
        <v>0.5</v>
      </c>
      <c r="H140" s="68" t="str">
        <f aca="false">IF(ABS(F140)&lt;=G140,"PASS","FAIL")</f>
        <v>PASS</v>
      </c>
    </row>
    <row r="141" customFormat="false" ht="15" hidden="false" customHeight="false" outlineLevel="0" collapsed="false">
      <c r="A141" s="23" t="s">
        <v>1125</v>
      </c>
      <c r="B141" s="23" t="s">
        <v>1095</v>
      </c>
      <c r="C141" s="23" t="s">
        <v>1126</v>
      </c>
      <c r="D141" s="37" t="n">
        <v>0</v>
      </c>
      <c r="E141" s="33" t="n">
        <f aca="false">'Gross Profit'!$K$56</f>
        <v>0</v>
      </c>
      <c r="F141" s="47" t="n">
        <f aca="false">ROUND(E141-D141,6)</f>
        <v>0</v>
      </c>
      <c r="G141" s="67" t="n">
        <v>0.5</v>
      </c>
      <c r="H141" s="68" t="str">
        <f aca="false">IF(ABS(F141)&lt;=G141,"PASS","FAIL")</f>
        <v>PASS</v>
      </c>
    </row>
    <row r="142" customFormat="false" ht="15" hidden="false" customHeight="false" outlineLevel="0" collapsed="false">
      <c r="A142" s="23" t="s">
        <v>1127</v>
      </c>
      <c r="B142" s="23" t="s">
        <v>905</v>
      </c>
      <c r="C142" s="23" t="s">
        <v>1128</v>
      </c>
      <c r="D142" s="37" t="n">
        <v>0</v>
      </c>
      <c r="E142" s="33" t="n">
        <f aca="false">'Budget vs Actual'!$J$592</f>
        <v>0</v>
      </c>
      <c r="F142" s="38" t="n">
        <f aca="false">ROUND(E142-D142,6)</f>
        <v>0</v>
      </c>
      <c r="G142" s="67" t="n">
        <v>0</v>
      </c>
      <c r="H142" s="68" t="str">
        <f aca="false">IF(ABS(F142)&lt;=G142,"PASS","FAIL")</f>
        <v>PASS</v>
      </c>
    </row>
    <row r="143" customFormat="false" ht="15" hidden="false" customHeight="false" outlineLevel="0" collapsed="false">
      <c r="A143" s="23" t="s">
        <v>1129</v>
      </c>
      <c r="B143" s="23" t="s">
        <v>1130</v>
      </c>
      <c r="C143" s="23" t="s">
        <v>1131</v>
      </c>
      <c r="D143" s="37" t="n">
        <v>0</v>
      </c>
      <c r="E143" s="33" t="n">
        <f aca="false">IF('Insights &amp; Actions'!$C$153="FOUND",0,1)+IF('Insights &amp; Actions'!$C$154="FOUND",0,1)+IF('Insights &amp; Actions'!$C$155="FOUND",0,1)+IF('Insights &amp; Actions'!$C$156="FOUND",0,1)+IF('Insights &amp; Actions'!$C$157="FOUND",0,1)+IF('Insights &amp; Actions'!$C$158="FOUND",0,1)+IF('Insights &amp; Actions'!$C$159="FOUND",0,1)+IF('Insights &amp; Actions'!$C$160="FOUND",0,1)+IF('Insights &amp; Actions'!$C$161="FOUND",0,1)+IF('Insights &amp; Actions'!$C$162="FOUND",0,1)+IF('Insights &amp; Actions'!$C$163="FOUND",0,1)+IF('Insights &amp; Actions'!$C$164="FOUND",0,1)</f>
        <v>0</v>
      </c>
      <c r="F143" s="38" t="n">
        <f aca="false">ROUND(E143-D143,6)</f>
        <v>0</v>
      </c>
      <c r="G143" s="67" t="n">
        <v>0</v>
      </c>
      <c r="H143" s="68" t="str">
        <f aca="false">IF(ABS(F143)&lt;=G143,"PASS","FAIL")</f>
        <v>PASS</v>
      </c>
    </row>
    <row r="144" customFormat="false" ht="15" hidden="false" customHeight="false" outlineLevel="0" collapsed="false">
      <c r="A144" s="23" t="s">
        <v>1132</v>
      </c>
      <c r="B144" s="23" t="s">
        <v>1133</v>
      </c>
      <c r="C144" s="23" t="s">
        <v>1134</v>
      </c>
      <c r="D144" s="37" t="n">
        <v>0</v>
      </c>
      <c r="E144" s="33" t="n">
        <f aca="false">'Data Quality'!$G$247</f>
        <v>0</v>
      </c>
      <c r="F144" s="38" t="n">
        <f aca="false">ROUND(E144-D144,6)</f>
        <v>0</v>
      </c>
      <c r="G144" s="67" t="n">
        <v>0</v>
      </c>
      <c r="H144" s="68" t="str">
        <f aca="false">IF(ABS(F144)&lt;=G144,"PASS","FAIL")</f>
        <v>PASS</v>
      </c>
    </row>
    <row r="145" customFormat="false" ht="15" hidden="false" customHeight="false" outlineLevel="0" collapsed="false">
      <c r="A145" s="23" t="s">
        <v>1135</v>
      </c>
      <c r="B145" s="23" t="s">
        <v>1136</v>
      </c>
      <c r="C145" s="23" t="s">
        <v>1137</v>
      </c>
      <c r="D145" s="37" t="n">
        <v>14</v>
      </c>
      <c r="E145" s="33" t="n">
        <f aca="false">Definitions!$C$23</f>
        <v>14</v>
      </c>
      <c r="F145" s="38" t="n">
        <f aca="false">ROUND(E145-D145,6)</f>
        <v>0</v>
      </c>
      <c r="G145" s="67" t="n">
        <v>0</v>
      </c>
      <c r="H145" s="68" t="str">
        <f aca="false">IF(ABS(F145)&lt;=G145,"PASS","FAIL")</f>
        <v>PASS</v>
      </c>
    </row>
    <row r="146" customFormat="false" ht="15" hidden="false" customHeight="false" outlineLevel="0" collapsed="false">
      <c r="A146" s="23" t="s">
        <v>1138</v>
      </c>
      <c r="B146" s="23" t="s">
        <v>859</v>
      </c>
      <c r="C146" s="23" t="s">
        <v>1139</v>
      </c>
      <c r="D146" s="37" t="n">
        <v>55043</v>
      </c>
      <c r="E146" s="33" t="n">
        <f aca="false">'Budget vs Actual'!$B$22+'Budget vs Actual'!$B$23+'Budget vs Actual'!$B$24+'Budget vs Actual'!$B$25+'Budget vs Actual'!$B$26+'Budget vs Actual'!$B$27+'Budget vs Actual'!$B$28</f>
        <v>55043</v>
      </c>
      <c r="F146" s="38" t="n">
        <f aca="false">ROUND(E146-D146,6)</f>
        <v>0</v>
      </c>
      <c r="G146" s="67" t="n">
        <v>0</v>
      </c>
      <c r="H146" s="68" t="str">
        <f aca="false">IF(ABS(F146)&lt;=G146,"PASS","FAIL")</f>
        <v>PASS</v>
      </c>
    </row>
    <row r="149" customFormat="false" ht="15" hidden="false" customHeight="false" outlineLevel="0" collapsed="false">
      <c r="A149" s="20" t="s">
        <v>1140</v>
      </c>
      <c r="B149" s="21"/>
      <c r="C149" s="21"/>
      <c r="D149" s="21"/>
      <c r="E149" s="21"/>
      <c r="F149" s="21"/>
      <c r="G149" s="21"/>
      <c r="H149" s="21"/>
    </row>
    <row r="150" customFormat="false" ht="27.75" hidden="false" customHeight="true" outlineLevel="0" collapsed="false">
      <c r="A150" s="26" t="s">
        <v>1141</v>
      </c>
      <c r="B150" s="26"/>
      <c r="C150" s="26"/>
      <c r="D150" s="26"/>
      <c r="E150" s="26"/>
      <c r="F150" s="26"/>
      <c r="G150" s="26"/>
      <c r="H150" s="26"/>
    </row>
    <row r="151" customFormat="false" ht="15" hidden="false" customHeight="false" outlineLevel="0" collapsed="false">
      <c r="A151" s="71" t="s">
        <v>50</v>
      </c>
      <c r="B151" s="71"/>
      <c r="C151" s="72" t="s">
        <v>51</v>
      </c>
      <c r="D151" s="72"/>
      <c r="E151" s="72"/>
      <c r="F151" s="72"/>
    </row>
    <row r="152" customFormat="false" ht="15" hidden="false" customHeight="false" outlineLevel="0" collapsed="false">
      <c r="A152" s="71" t="s">
        <v>1142</v>
      </c>
      <c r="B152" s="71"/>
      <c r="C152" s="72" t="s">
        <v>1143</v>
      </c>
      <c r="D152" s="72"/>
      <c r="E152" s="72"/>
      <c r="F152" s="72"/>
    </row>
    <row r="153" customFormat="false" ht="15" hidden="false" customHeight="false" outlineLevel="0" collapsed="false">
      <c r="A153" s="71" t="s">
        <v>1144</v>
      </c>
      <c r="B153" s="71"/>
      <c r="C153" s="72" t="s">
        <v>1145</v>
      </c>
      <c r="D153" s="72"/>
      <c r="E153" s="72"/>
      <c r="F153" s="72"/>
    </row>
    <row r="154" customFormat="false" ht="15" hidden="false" customHeight="false" outlineLevel="0" collapsed="false">
      <c r="A154" s="71" t="s">
        <v>1146</v>
      </c>
      <c r="B154" s="71"/>
      <c r="C154" s="72" t="s">
        <v>53</v>
      </c>
      <c r="D154" s="72"/>
      <c r="E154" s="72"/>
      <c r="F154" s="72"/>
    </row>
    <row r="155" customFormat="false" ht="15" hidden="false" customHeight="false" outlineLevel="0" collapsed="false">
      <c r="A155" s="71" t="s">
        <v>1147</v>
      </c>
      <c r="B155" s="71"/>
      <c r="C155" s="72" t="s">
        <v>1148</v>
      </c>
      <c r="D155" s="72"/>
      <c r="E155" s="72"/>
      <c r="F155" s="72"/>
    </row>
    <row r="156" customFormat="false" ht="15" hidden="false" customHeight="false" outlineLevel="0" collapsed="false">
      <c r="A156" s="71" t="s">
        <v>1149</v>
      </c>
      <c r="B156" s="71"/>
      <c r="C156" s="72" t="s">
        <v>55</v>
      </c>
      <c r="D156" s="72"/>
      <c r="E156" s="72"/>
      <c r="F156" s="72"/>
    </row>
    <row r="157" customFormat="false" ht="15" hidden="false" customHeight="false" outlineLevel="0" collapsed="false">
      <c r="A157" s="71" t="s">
        <v>56</v>
      </c>
      <c r="B157" s="71"/>
      <c r="C157" s="72" t="s">
        <v>57</v>
      </c>
      <c r="D157" s="72"/>
      <c r="E157" s="72"/>
      <c r="F157" s="72"/>
    </row>
    <row r="158" customFormat="false" ht="15" hidden="false" customHeight="false" outlineLevel="0" collapsed="false">
      <c r="A158" s="71" t="s">
        <v>1150</v>
      </c>
      <c r="B158" s="71"/>
      <c r="C158" s="72" t="s">
        <v>59</v>
      </c>
      <c r="D158" s="72"/>
      <c r="E158" s="72"/>
      <c r="F158" s="72"/>
    </row>
    <row r="159" customFormat="false" ht="15" hidden="false" customHeight="false" outlineLevel="0" collapsed="false">
      <c r="A159" s="71" t="s">
        <v>1151</v>
      </c>
      <c r="B159" s="71"/>
      <c r="C159" s="72" t="s">
        <v>1152</v>
      </c>
      <c r="D159" s="72"/>
      <c r="E159" s="72"/>
      <c r="F159" s="72"/>
    </row>
    <row r="160" customFormat="false" ht="15" hidden="false" customHeight="false" outlineLevel="0" collapsed="false">
      <c r="A160" s="71" t="s">
        <v>1153</v>
      </c>
      <c r="B160" s="71"/>
      <c r="C160" s="72" t="s">
        <v>1154</v>
      </c>
      <c r="D160" s="72"/>
      <c r="E160" s="72"/>
      <c r="F160" s="72"/>
    </row>
    <row r="161" customFormat="false" ht="15" hidden="false" customHeight="false" outlineLevel="0" collapsed="false">
      <c r="A161" s="71" t="s">
        <v>1155</v>
      </c>
      <c r="B161" s="71"/>
      <c r="C161" s="72" t="s">
        <v>1156</v>
      </c>
      <c r="D161" s="72"/>
      <c r="E161" s="72"/>
      <c r="F161" s="72"/>
    </row>
    <row r="162" customFormat="false" ht="15" hidden="false" customHeight="false" outlineLevel="0" collapsed="false">
      <c r="A162" s="71" t="s">
        <v>1157</v>
      </c>
      <c r="B162" s="71"/>
      <c r="C162" s="72" t="s">
        <v>1158</v>
      </c>
      <c r="D162" s="72"/>
      <c r="E162" s="72"/>
      <c r="F162" s="72"/>
    </row>
  </sheetData>
  <mergeCells count="26">
    <mergeCell ref="A3:I3"/>
    <mergeCell ref="A150:H150"/>
    <mergeCell ref="A151:B151"/>
    <mergeCell ref="C151:F151"/>
    <mergeCell ref="A152:B152"/>
    <mergeCell ref="C152:F152"/>
    <mergeCell ref="A153:B153"/>
    <mergeCell ref="C153:F153"/>
    <mergeCell ref="A154:B154"/>
    <mergeCell ref="C154:F154"/>
    <mergeCell ref="A155:B155"/>
    <mergeCell ref="C155:F155"/>
    <mergeCell ref="A156:B156"/>
    <mergeCell ref="C156:F156"/>
    <mergeCell ref="A157:B157"/>
    <mergeCell ref="C157:F157"/>
    <mergeCell ref="A158:B158"/>
    <mergeCell ref="C158:F158"/>
    <mergeCell ref="A159:B159"/>
    <mergeCell ref="C159:F159"/>
    <mergeCell ref="A160:B160"/>
    <mergeCell ref="C160:F160"/>
    <mergeCell ref="A161:B161"/>
    <mergeCell ref="C161:F161"/>
    <mergeCell ref="A162:B162"/>
    <mergeCell ref="C162:F162"/>
  </mergeCells>
  <conditionalFormatting sqref="H10:H146">
    <cfRule type="cellIs" priority="2" operator="equal" aboveAverage="0" equalAverage="0" bottom="0" percent="0" rank="0" text="" dxfId="19">
      <formula>"PASS"</formula>
    </cfRule>
    <cfRule type="cellIs" priority="3" operator="equal" aboveAverage="0" equalAverage="0" bottom="0" percent="0" rank="0" text="" dxfId="20">
      <formula>"FAIL"</formula>
    </cfRule>
  </conditionalFormatting>
  <conditionalFormatting sqref="B5">
    <cfRule type="containsText" priority="4" operator="containsText" aboveAverage="0" equalAverage="0" bottom="0" percent="0" rank="0" text="FAIL" dxfId="0">
      <formula>NOT(ISERROR(SEARCH("FAIL",B5)))</formula>
    </cfRule>
    <cfRule type="containsText" priority="5" operator="containsText" aboveAverage="0" equalAverage="0" bottom="0" percent="0" rank="0" text="PASS" dxfId="1">
      <formula>NOT(ISERROR(SEARCH("PASS",B5)))</formula>
    </cfRule>
  </conditionalFormatting>
  <hyperlinks>
    <hyperlink ref="I1" location="'Start Here'!A1" display="Back to Start Here"/>
  </hyperlink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D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71"/>
    <col collapsed="false" customWidth="true" hidden="false" outlineLevel="0" max="2" min="2" style="0" width="70.71"/>
    <col collapsed="false" customWidth="true" hidden="false" outlineLevel="0" max="3" min="3" style="0" width="36.71"/>
    <col collapsed="false" customWidth="true" hidden="false" outlineLevel="0" max="4" min="4" style="0" width="70.71"/>
  </cols>
  <sheetData>
    <row r="1" customFormat="false" ht="19.7" hidden="false" customHeight="false" outlineLevel="0" collapsed="false">
      <c r="A1" s="19" t="s">
        <v>1159</v>
      </c>
      <c r="D1" s="5" t="s">
        <v>61</v>
      </c>
    </row>
    <row r="2" customFormat="false" ht="15" hidden="false" customHeight="false" outlineLevel="0" collapsed="false">
      <c r="A2" s="2" t="s">
        <v>1160</v>
      </c>
    </row>
    <row r="3" customFormat="false" ht="33.75" hidden="false" customHeight="true" outlineLevel="0" collapsed="false">
      <c r="A3" s="3" t="s">
        <v>1161</v>
      </c>
      <c r="B3" s="3"/>
      <c r="C3" s="3"/>
      <c r="D3" s="3"/>
    </row>
    <row r="5" customFormat="false" ht="15" hidden="false" customHeight="false" outlineLevel="0" collapsed="false">
      <c r="A5" s="20" t="s">
        <v>1162</v>
      </c>
      <c r="B5" s="21"/>
      <c r="C5" s="21"/>
      <c r="D5" s="21"/>
    </row>
    <row r="6" customFormat="false" ht="42" hidden="false" customHeight="true" outlineLevel="0" collapsed="false">
      <c r="A6" s="26" t="s">
        <v>1163</v>
      </c>
      <c r="B6" s="26"/>
      <c r="C6" s="26"/>
      <c r="D6" s="26"/>
    </row>
    <row r="7" customFormat="false" ht="24" hidden="false" customHeight="true" outlineLevel="0" collapsed="false">
      <c r="A7" s="22" t="s">
        <v>1164</v>
      </c>
      <c r="B7" s="22" t="s">
        <v>1165</v>
      </c>
      <c r="C7" s="22" t="s">
        <v>1166</v>
      </c>
      <c r="D7" s="22" t="s">
        <v>208</v>
      </c>
    </row>
    <row r="8" customFormat="false" ht="30" hidden="false" customHeight="true" outlineLevel="0" collapsed="false">
      <c r="A8" s="23" t="s">
        <v>1167</v>
      </c>
      <c r="B8" s="6" t="s">
        <v>1168</v>
      </c>
      <c r="C8" s="6" t="s">
        <v>1169</v>
      </c>
      <c r="D8" s="6" t="s">
        <v>1170</v>
      </c>
    </row>
    <row r="9" customFormat="false" ht="30" hidden="false" customHeight="true" outlineLevel="0" collapsed="false">
      <c r="A9" s="23" t="s">
        <v>1171</v>
      </c>
      <c r="B9" s="6" t="s">
        <v>1172</v>
      </c>
      <c r="C9" s="6" t="s">
        <v>1169</v>
      </c>
      <c r="D9" s="6" t="s">
        <v>1173</v>
      </c>
    </row>
    <row r="10" customFormat="false" ht="45" hidden="false" customHeight="true" outlineLevel="0" collapsed="false">
      <c r="A10" s="23" t="s">
        <v>1174</v>
      </c>
      <c r="B10" s="6" t="s">
        <v>1175</v>
      </c>
      <c r="C10" s="6" t="s">
        <v>1176</v>
      </c>
      <c r="D10" s="6" t="s">
        <v>1177</v>
      </c>
    </row>
    <row r="11" customFormat="false" ht="60" hidden="false" customHeight="true" outlineLevel="0" collapsed="false">
      <c r="A11" s="23" t="s">
        <v>1178</v>
      </c>
      <c r="B11" s="6" t="s">
        <v>1179</v>
      </c>
      <c r="C11" s="6" t="s">
        <v>1180</v>
      </c>
      <c r="D11" s="6" t="s">
        <v>1181</v>
      </c>
    </row>
    <row r="12" customFormat="false" ht="30" hidden="false" customHeight="true" outlineLevel="0" collapsed="false">
      <c r="A12" s="23" t="s">
        <v>1182</v>
      </c>
      <c r="B12" s="6" t="s">
        <v>1183</v>
      </c>
      <c r="C12" s="6" t="s">
        <v>1169</v>
      </c>
      <c r="D12" s="6" t="s">
        <v>1184</v>
      </c>
    </row>
    <row r="13" customFormat="false" ht="30" hidden="false" customHeight="true" outlineLevel="0" collapsed="false">
      <c r="A13" s="23" t="s">
        <v>1185</v>
      </c>
      <c r="B13" s="6" t="s">
        <v>1186</v>
      </c>
      <c r="C13" s="6" t="s">
        <v>1187</v>
      </c>
      <c r="D13" s="6" t="s">
        <v>1188</v>
      </c>
    </row>
    <row r="14" customFormat="false" ht="45" hidden="false" customHeight="true" outlineLevel="0" collapsed="false">
      <c r="A14" s="23" t="s">
        <v>1189</v>
      </c>
      <c r="B14" s="6" t="s">
        <v>1190</v>
      </c>
      <c r="C14" s="6" t="s">
        <v>1191</v>
      </c>
      <c r="D14" s="6" t="s">
        <v>1192</v>
      </c>
    </row>
    <row r="15" customFormat="false" ht="30" hidden="false" customHeight="true" outlineLevel="0" collapsed="false">
      <c r="A15" s="23" t="s">
        <v>1193</v>
      </c>
      <c r="B15" s="6" t="s">
        <v>1194</v>
      </c>
      <c r="C15" s="6" t="s">
        <v>1187</v>
      </c>
      <c r="D15" s="6" t="s">
        <v>1195</v>
      </c>
    </row>
    <row r="16" customFormat="false" ht="30" hidden="false" customHeight="true" outlineLevel="0" collapsed="false">
      <c r="A16" s="23" t="s">
        <v>1196</v>
      </c>
      <c r="B16" s="6" t="s">
        <v>1197</v>
      </c>
      <c r="C16" s="6" t="s">
        <v>1198</v>
      </c>
      <c r="D16" s="6" t="s">
        <v>1199</v>
      </c>
    </row>
    <row r="17" customFormat="false" ht="45" hidden="false" customHeight="true" outlineLevel="0" collapsed="false">
      <c r="A17" s="23" t="s">
        <v>1200</v>
      </c>
      <c r="B17" s="6" t="s">
        <v>1201</v>
      </c>
      <c r="C17" s="6" t="s">
        <v>1187</v>
      </c>
      <c r="D17" s="6" t="s">
        <v>1202</v>
      </c>
    </row>
    <row r="18" customFormat="false" ht="30" hidden="false" customHeight="true" outlineLevel="0" collapsed="false">
      <c r="A18" s="23" t="s">
        <v>1203</v>
      </c>
      <c r="B18" s="6" t="s">
        <v>1204</v>
      </c>
      <c r="C18" s="6" t="s">
        <v>1198</v>
      </c>
      <c r="D18" s="6" t="s">
        <v>1205</v>
      </c>
    </row>
    <row r="19" customFormat="false" ht="30" hidden="false" customHeight="true" outlineLevel="0" collapsed="false">
      <c r="A19" s="23" t="s">
        <v>1206</v>
      </c>
      <c r="B19" s="6" t="s">
        <v>1207</v>
      </c>
      <c r="C19" s="6" t="s">
        <v>1198</v>
      </c>
      <c r="D19" s="6" t="s">
        <v>1208</v>
      </c>
    </row>
    <row r="20" customFormat="false" ht="30" hidden="false" customHeight="true" outlineLevel="0" collapsed="false">
      <c r="A20" s="23" t="s">
        <v>1209</v>
      </c>
      <c r="B20" s="6" t="s">
        <v>1210</v>
      </c>
      <c r="C20" s="6" t="s">
        <v>1211</v>
      </c>
      <c r="D20" s="6" t="s">
        <v>1212</v>
      </c>
    </row>
    <row r="21" customFormat="false" ht="30" hidden="false" customHeight="true" outlineLevel="0" collapsed="false">
      <c r="A21" s="23" t="s">
        <v>1213</v>
      </c>
      <c r="B21" s="6" t="s">
        <v>1214</v>
      </c>
      <c r="C21" s="6" t="s">
        <v>1187</v>
      </c>
      <c r="D21" s="6" t="s">
        <v>1215</v>
      </c>
    </row>
    <row r="23" customFormat="false" ht="15" hidden="false" customHeight="false" outlineLevel="0" collapsed="false">
      <c r="B23" s="50" t="s">
        <v>1216</v>
      </c>
      <c r="C23" s="73" t="n">
        <f aca="false">COUNTA($A$8:$A$21)</f>
        <v>14</v>
      </c>
    </row>
    <row r="24" customFormat="false" ht="15" hidden="false" customHeight="false" outlineLevel="0" collapsed="false">
      <c r="A24" s="63" t="s">
        <v>1217</v>
      </c>
      <c r="B24" s="63"/>
      <c r="C24" s="63"/>
      <c r="D24" s="63"/>
    </row>
    <row r="27" customFormat="false" ht="15" hidden="false" customHeight="false" outlineLevel="0" collapsed="false">
      <c r="A27" s="20" t="s">
        <v>1218</v>
      </c>
      <c r="B27" s="21"/>
      <c r="C27" s="21"/>
      <c r="D27" s="21"/>
    </row>
    <row r="28" customFormat="false" ht="24" hidden="false" customHeight="true" outlineLevel="0" collapsed="false">
      <c r="A28" s="22" t="s">
        <v>779</v>
      </c>
      <c r="B28" s="22" t="s">
        <v>1219</v>
      </c>
      <c r="C28" s="22" t="s">
        <v>1220</v>
      </c>
      <c r="D28" s="22" t="s">
        <v>1221</v>
      </c>
    </row>
    <row r="29" customFormat="false" ht="30" hidden="false" customHeight="true" outlineLevel="0" collapsed="false">
      <c r="A29" s="74" t="s">
        <v>1222</v>
      </c>
      <c r="B29" s="6" t="s">
        <v>1223</v>
      </c>
      <c r="C29" s="6" t="s">
        <v>1224</v>
      </c>
      <c r="D29" s="6" t="s">
        <v>1225</v>
      </c>
    </row>
    <row r="30" customFormat="false" ht="30" hidden="false" customHeight="true" outlineLevel="0" collapsed="false">
      <c r="A30" s="74" t="s">
        <v>1226</v>
      </c>
      <c r="B30" s="6" t="s">
        <v>1227</v>
      </c>
      <c r="C30" s="6" t="s">
        <v>1228</v>
      </c>
      <c r="D30" s="6" t="s">
        <v>1229</v>
      </c>
    </row>
    <row r="31" customFormat="false" ht="30" hidden="false" customHeight="true" outlineLevel="0" collapsed="false">
      <c r="A31" s="74" t="s">
        <v>418</v>
      </c>
      <c r="B31" s="6" t="s">
        <v>1230</v>
      </c>
      <c r="C31" s="6" t="s">
        <v>1231</v>
      </c>
      <c r="D31" s="6" t="s">
        <v>1232</v>
      </c>
    </row>
    <row r="32" customFormat="false" ht="30" hidden="false" customHeight="true" outlineLevel="0" collapsed="false">
      <c r="A32" s="74" t="s">
        <v>1233</v>
      </c>
      <c r="B32" s="6" t="s">
        <v>1234</v>
      </c>
      <c r="C32" s="6" t="s">
        <v>1235</v>
      </c>
      <c r="D32" s="6" t="s">
        <v>1236</v>
      </c>
    </row>
    <row r="33" customFormat="false" ht="30" hidden="false" customHeight="true" outlineLevel="0" collapsed="false">
      <c r="A33" s="74" t="s">
        <v>1237</v>
      </c>
      <c r="B33" s="6" t="s">
        <v>1238</v>
      </c>
      <c r="C33" s="6" t="s">
        <v>1239</v>
      </c>
      <c r="D33" s="6" t="s">
        <v>1240</v>
      </c>
    </row>
    <row r="34" customFormat="false" ht="30" hidden="false" customHeight="true" outlineLevel="0" collapsed="false">
      <c r="A34" s="74" t="s">
        <v>285</v>
      </c>
      <c r="B34" s="6" t="s">
        <v>1241</v>
      </c>
      <c r="C34" s="6" t="s">
        <v>1239</v>
      </c>
      <c r="D34" s="6" t="s">
        <v>1242</v>
      </c>
    </row>
    <row r="35" customFormat="false" ht="30" hidden="false" customHeight="true" outlineLevel="0" collapsed="false">
      <c r="A35" s="74" t="s">
        <v>284</v>
      </c>
      <c r="B35" s="6" t="s">
        <v>1243</v>
      </c>
      <c r="C35" s="6" t="s">
        <v>1239</v>
      </c>
      <c r="D35" s="6" t="s">
        <v>1244</v>
      </c>
    </row>
    <row r="36" customFormat="false" ht="45" hidden="false" customHeight="true" outlineLevel="0" collapsed="false">
      <c r="A36" s="74" t="s">
        <v>1245</v>
      </c>
      <c r="B36" s="6" t="s">
        <v>1246</v>
      </c>
      <c r="C36" s="6" t="s">
        <v>1247</v>
      </c>
      <c r="D36" s="6" t="s">
        <v>1248</v>
      </c>
    </row>
    <row r="37" customFormat="false" ht="30" hidden="false" customHeight="true" outlineLevel="0" collapsed="false">
      <c r="A37" s="74" t="s">
        <v>147</v>
      </c>
      <c r="B37" s="6" t="s">
        <v>1249</v>
      </c>
      <c r="C37" s="6" t="s">
        <v>1250</v>
      </c>
      <c r="D37" s="6"/>
    </row>
    <row r="38" customFormat="false" ht="30" hidden="false" customHeight="true" outlineLevel="0" collapsed="false">
      <c r="A38" s="74" t="s">
        <v>1251</v>
      </c>
      <c r="B38" s="6" t="s">
        <v>1252</v>
      </c>
      <c r="C38" s="6" t="s">
        <v>1250</v>
      </c>
      <c r="D38" s="6" t="s">
        <v>1253</v>
      </c>
    </row>
    <row r="39" customFormat="false" ht="30" hidden="false" customHeight="true" outlineLevel="0" collapsed="false">
      <c r="A39" s="74" t="s">
        <v>1254</v>
      </c>
      <c r="B39" s="6" t="s">
        <v>1255</v>
      </c>
      <c r="C39" s="6" t="s">
        <v>1256</v>
      </c>
      <c r="D39" s="6" t="s">
        <v>1257</v>
      </c>
    </row>
    <row r="40" customFormat="false" ht="30" hidden="false" customHeight="true" outlineLevel="0" collapsed="false">
      <c r="A40" s="74" t="s">
        <v>1258</v>
      </c>
      <c r="B40" s="6" t="s">
        <v>1259</v>
      </c>
      <c r="C40" s="6" t="s">
        <v>1250</v>
      </c>
      <c r="D40" s="6"/>
    </row>
    <row r="41" customFormat="false" ht="30" hidden="false" customHeight="true" outlineLevel="0" collapsed="false">
      <c r="A41" s="74" t="s">
        <v>1260</v>
      </c>
      <c r="B41" s="6" t="s">
        <v>1261</v>
      </c>
      <c r="C41" s="6" t="s">
        <v>1262</v>
      </c>
      <c r="D41" s="6" t="s">
        <v>1263</v>
      </c>
    </row>
    <row r="44" customFormat="false" ht="15" hidden="false" customHeight="false" outlineLevel="0" collapsed="false">
      <c r="A44" s="20" t="s">
        <v>1264</v>
      </c>
      <c r="B44" s="21"/>
      <c r="C44" s="21"/>
      <c r="D44" s="21"/>
    </row>
    <row r="45" customFormat="false" ht="42" hidden="false" customHeight="true" outlineLevel="0" collapsed="false">
      <c r="A45" s="26" t="s">
        <v>1265</v>
      </c>
      <c r="B45" s="26"/>
      <c r="C45" s="26"/>
      <c r="D45" s="26"/>
    </row>
    <row r="46" customFormat="false" ht="15" hidden="false" customHeight="true" outlineLevel="0" collapsed="false">
      <c r="A46" s="75" t="n">
        <v>1</v>
      </c>
      <c r="B46" s="76" t="s">
        <v>1266</v>
      </c>
      <c r="C46" s="76"/>
      <c r="D46" s="76"/>
    </row>
    <row r="47" customFormat="false" ht="15" hidden="false" customHeight="true" outlineLevel="0" collapsed="false">
      <c r="A47" s="75" t="n">
        <v>2</v>
      </c>
      <c r="B47" s="76" t="s">
        <v>1267</v>
      </c>
      <c r="C47" s="76"/>
      <c r="D47" s="76"/>
    </row>
    <row r="48" customFormat="false" ht="15" hidden="false" customHeight="true" outlineLevel="0" collapsed="false">
      <c r="A48" s="75" t="n">
        <v>3</v>
      </c>
      <c r="B48" s="76" t="s">
        <v>1268</v>
      </c>
      <c r="C48" s="76"/>
      <c r="D48" s="76"/>
    </row>
    <row r="49" customFormat="false" ht="15" hidden="false" customHeight="true" outlineLevel="0" collapsed="false">
      <c r="A49" s="75" t="n">
        <v>4</v>
      </c>
      <c r="B49" s="76" t="s">
        <v>1269</v>
      </c>
      <c r="C49" s="76"/>
      <c r="D49" s="76"/>
    </row>
    <row r="50" customFormat="false" ht="15" hidden="false" customHeight="true" outlineLevel="0" collapsed="false">
      <c r="A50" s="75" t="n">
        <v>5</v>
      </c>
      <c r="B50" s="76" t="s">
        <v>1270</v>
      </c>
      <c r="C50" s="76"/>
      <c r="D50" s="76"/>
    </row>
    <row r="51" customFormat="false" ht="15" hidden="false" customHeight="true" outlineLevel="0" collapsed="false">
      <c r="A51" s="75" t="n">
        <v>6</v>
      </c>
      <c r="B51" s="76" t="s">
        <v>1271</v>
      </c>
      <c r="C51" s="76"/>
      <c r="D51" s="76"/>
    </row>
    <row r="52" customFormat="false" ht="15" hidden="false" customHeight="true" outlineLevel="0" collapsed="false">
      <c r="A52" s="75" t="n">
        <v>7</v>
      </c>
      <c r="B52" s="76" t="s">
        <v>1272</v>
      </c>
      <c r="C52" s="76"/>
      <c r="D52" s="76"/>
    </row>
    <row r="53" customFormat="false" ht="15" hidden="false" customHeight="true" outlineLevel="0" collapsed="false">
      <c r="A53" s="75" t="n">
        <v>8</v>
      </c>
      <c r="B53" s="76" t="s">
        <v>1273</v>
      </c>
      <c r="C53" s="76"/>
      <c r="D53" s="76"/>
    </row>
    <row r="56" customFormat="false" ht="15" hidden="false" customHeight="false" outlineLevel="0" collapsed="false">
      <c r="A56" s="20" t="s">
        <v>1274</v>
      </c>
      <c r="B56" s="21"/>
      <c r="C56" s="21"/>
      <c r="D56" s="21"/>
    </row>
    <row r="57" customFormat="false" ht="27.75" hidden="false" customHeight="true" outlineLevel="0" collapsed="false">
      <c r="A57" s="15" t="s">
        <v>1275</v>
      </c>
      <c r="B57" s="15"/>
      <c r="C57" s="15"/>
      <c r="D57" s="15"/>
    </row>
    <row r="58" customFormat="false" ht="27.75" hidden="false" customHeight="true" outlineLevel="0" collapsed="false">
      <c r="A58" s="15" t="s">
        <v>1276</v>
      </c>
      <c r="B58" s="15"/>
      <c r="C58" s="15"/>
      <c r="D58" s="15"/>
    </row>
    <row r="59" customFormat="false" ht="27.75" hidden="false" customHeight="true" outlineLevel="0" collapsed="false">
      <c r="A59" s="15" t="s">
        <v>1277</v>
      </c>
      <c r="B59" s="15"/>
      <c r="C59" s="15"/>
      <c r="D59" s="15"/>
    </row>
    <row r="60" customFormat="false" ht="27.75" hidden="false" customHeight="true" outlineLevel="0" collapsed="false">
      <c r="A60" s="15" t="s">
        <v>1278</v>
      </c>
      <c r="B60" s="15"/>
      <c r="C60" s="15"/>
      <c r="D60" s="15"/>
    </row>
    <row r="61" customFormat="false" ht="27.75" hidden="false" customHeight="true" outlineLevel="0" collapsed="false">
      <c r="A61" s="15" t="s">
        <v>1279</v>
      </c>
      <c r="B61" s="15"/>
      <c r="C61" s="15"/>
      <c r="D61" s="15"/>
    </row>
    <row r="62" customFormat="false" ht="27.75" hidden="false" customHeight="true" outlineLevel="0" collapsed="false">
      <c r="A62" s="15" t="s">
        <v>1280</v>
      </c>
      <c r="B62" s="15"/>
      <c r="C62" s="15"/>
      <c r="D62" s="15"/>
    </row>
    <row r="63" customFormat="false" ht="27.75" hidden="false" customHeight="true" outlineLevel="0" collapsed="false">
      <c r="A63" s="15" t="s">
        <v>1281</v>
      </c>
      <c r="B63" s="15"/>
      <c r="C63" s="15"/>
      <c r="D63" s="15"/>
    </row>
    <row r="66" customFormat="false" ht="15" hidden="false" customHeight="false" outlineLevel="0" collapsed="false">
      <c r="A66" s="20" t="s">
        <v>1282</v>
      </c>
      <c r="B66" s="21"/>
      <c r="C66" s="21"/>
      <c r="D66" s="21"/>
    </row>
    <row r="67" customFormat="false" ht="42" hidden="false" customHeight="true" outlineLevel="0" collapsed="false">
      <c r="A67" s="26" t="s">
        <v>1283</v>
      </c>
      <c r="B67" s="26"/>
      <c r="C67" s="26"/>
      <c r="D67" s="26"/>
    </row>
    <row r="68" customFormat="false" ht="24" hidden="false" customHeight="true" outlineLevel="0" collapsed="false">
      <c r="A68" s="22" t="s">
        <v>3</v>
      </c>
      <c r="B68" s="22" t="s">
        <v>1284</v>
      </c>
      <c r="C68" s="22" t="s">
        <v>1285</v>
      </c>
    </row>
    <row r="69" customFormat="false" ht="35.05" hidden="false" customHeight="false" outlineLevel="0" collapsed="false">
      <c r="A69" s="16" t="s">
        <v>69</v>
      </c>
      <c r="B69" s="77" t="s">
        <v>1286</v>
      </c>
      <c r="C69" s="77" t="s">
        <v>1287</v>
      </c>
    </row>
    <row r="70" customFormat="false" ht="35.05" hidden="false" customHeight="false" outlineLevel="0" collapsed="false">
      <c r="A70" s="16" t="s">
        <v>905</v>
      </c>
      <c r="B70" s="77" t="s">
        <v>1288</v>
      </c>
      <c r="C70" s="77" t="s">
        <v>1289</v>
      </c>
    </row>
    <row r="71" customFormat="false" ht="46.25" hidden="false" customHeight="false" outlineLevel="0" collapsed="false">
      <c r="A71" s="16" t="s">
        <v>1290</v>
      </c>
      <c r="B71" s="77" t="s">
        <v>1291</v>
      </c>
      <c r="C71" s="77" t="s">
        <v>1292</v>
      </c>
    </row>
    <row r="72" customFormat="false" ht="23.85" hidden="false" customHeight="false" outlineLevel="0" collapsed="false">
      <c r="A72" s="16" t="s">
        <v>1293</v>
      </c>
      <c r="B72" s="77" t="s">
        <v>1294</v>
      </c>
      <c r="C72" s="77" t="s">
        <v>1295</v>
      </c>
    </row>
    <row r="73" customFormat="false" ht="35.05" hidden="false" customHeight="false" outlineLevel="0" collapsed="false">
      <c r="A73" s="16" t="s">
        <v>1296</v>
      </c>
      <c r="B73" s="77" t="s">
        <v>1297</v>
      </c>
      <c r="C73" s="77" t="s">
        <v>1298</v>
      </c>
    </row>
    <row r="74" customFormat="false" ht="35.05" hidden="false" customHeight="false" outlineLevel="0" collapsed="false">
      <c r="A74" s="16" t="s">
        <v>1095</v>
      </c>
      <c r="B74" s="77" t="s">
        <v>1299</v>
      </c>
      <c r="C74" s="77" t="s">
        <v>1300</v>
      </c>
    </row>
    <row r="75" customFormat="false" ht="23.85" hidden="false" customHeight="false" outlineLevel="0" collapsed="false">
      <c r="A75" s="16" t="s">
        <v>1301</v>
      </c>
      <c r="B75" s="77" t="s">
        <v>1302</v>
      </c>
      <c r="C75" s="77" t="s">
        <v>1303</v>
      </c>
    </row>
    <row r="76" customFormat="false" ht="35.05" hidden="false" customHeight="false" outlineLevel="0" collapsed="false">
      <c r="A76" s="16" t="s">
        <v>1133</v>
      </c>
      <c r="B76" s="77" t="s">
        <v>1304</v>
      </c>
      <c r="C76" s="77" t="s">
        <v>1305</v>
      </c>
    </row>
    <row r="77" customFormat="false" ht="23.85" hidden="false" customHeight="false" outlineLevel="0" collapsed="false">
      <c r="A77" s="16" t="s">
        <v>1306</v>
      </c>
      <c r="B77" s="77" t="s">
        <v>1307</v>
      </c>
      <c r="C77" s="77" t="s">
        <v>1308</v>
      </c>
    </row>
    <row r="78" customFormat="false" ht="15" hidden="false" customHeight="false" outlineLevel="0" collapsed="false">
      <c r="A78" s="16" t="s">
        <v>1309</v>
      </c>
      <c r="B78" s="77" t="s">
        <v>1310</v>
      </c>
      <c r="C78" s="77" t="s">
        <v>1311</v>
      </c>
    </row>
  </sheetData>
  <mergeCells count="20">
    <mergeCell ref="A3:D3"/>
    <mergeCell ref="A6:D6"/>
    <mergeCell ref="A24:D24"/>
    <mergeCell ref="A45:D45"/>
    <mergeCell ref="B46:D46"/>
    <mergeCell ref="B47:D47"/>
    <mergeCell ref="B48:D48"/>
    <mergeCell ref="B49:D49"/>
    <mergeCell ref="B50:D50"/>
    <mergeCell ref="B51:D51"/>
    <mergeCell ref="B52:D52"/>
    <mergeCell ref="B53:D53"/>
    <mergeCell ref="A57:D57"/>
    <mergeCell ref="A58:D58"/>
    <mergeCell ref="A59:D59"/>
    <mergeCell ref="A60:D60"/>
    <mergeCell ref="A61:D61"/>
    <mergeCell ref="A62:D62"/>
    <mergeCell ref="A63:D63"/>
    <mergeCell ref="A67:D67"/>
  </mergeCells>
  <conditionalFormatting sqref="C8:C21">
    <cfRule type="containsText" priority="2" operator="containsText" aboveAverage="0" equalAverage="0" bottom="0" percent="0" rank="0" text="Unresolved" dxfId="14">
      <formula>NOT(ISERROR(SEARCH("Unresolved",C8)))</formula>
    </cfRule>
    <cfRule type="beginsWith" priority="3" operator="beginsWith" aboveAverage="0" equalAverage="0" bottom="0" percent="0" rank="0" text="Proposed" dxfId="9">
      <formula>LEFT(C8,LEN("Proposed"))="Proposed"</formula>
    </cfRule>
    <cfRule type="beginsWith" priority="4" operator="beginsWith" aboveAverage="0" equalAverage="0" bottom="0" percent="0" rank="0" text="Confirmed" dxfId="15">
      <formula>LEFT(C8,LEN("Confirmed"))="Confirmed"</formula>
    </cfRule>
  </conditionalFormatting>
  <hyperlinks>
    <hyperlink ref="D1" location="'Start Here'!A1" display="Back to Start Here"/>
  </hyperlink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2026-10-29T12:55:33Z</dcterms:created>
  <dc:creator>Phase 5 generator</dc:creator>
  <dc:description>Phase 5 workbook v1.0; local use only; not published</dc:description>
  <dc:language>en-US</dc:language>
  <cp:lastModifiedBy>Phase 5 generator</cp:lastModifiedBy>
  <dcterms:modified xsi:type="dcterms:W3CDTF">2026-10-29T12:55:33Z</dcterms:modified>
  <cp:revision>0</cp:revision>
  <dc:subject>NovaBridge Industries (synthetic data)</dc:subject>
  <dc:title>FP&amp;A month-end close analysis (Phase 5)</dc:title>
</cp:coreProperties>
</file>

<file path=docProps/custom.xml><?xml version="1.0" encoding="utf-8"?>
<Properties xmlns="http://schemas.openxmlformats.org/officeDocument/2006/custom-properties" xmlns:vt="http://schemas.openxmlformats.org/officeDocument/2006/docPropsVTypes"/>
</file>